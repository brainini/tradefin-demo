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Params" sheetId="2" state="visible" r:id="rId2"/>
    <sheet xmlns:r="http://schemas.openxmlformats.org/officeDocument/2006/relationships" name="02_Buyers" sheetId="3" state="visible" r:id="rId3"/>
    <sheet xmlns:r="http://schemas.openxmlformats.org/officeDocument/2006/relationships" name="03_RateBuild" sheetId="4" state="visible" r:id="rId4"/>
    <sheet xmlns:r="http://schemas.openxmlformats.org/officeDocument/2006/relationships" name="04_AR_Ledger" sheetId="5" state="visible" r:id="rId5"/>
    <sheet xmlns:r="http://schemas.openxmlformats.org/officeDocument/2006/relationships" name="05_NPV" sheetId="6" state="visible" r:id="rId6"/>
    <sheet xmlns:r="http://schemas.openxmlformats.org/officeDocument/2006/relationships" name="06_WeeklyGap" sheetId="7" state="visible" r:id="rId7"/>
    <sheet xmlns:r="http://schemas.openxmlformats.org/officeDocument/2006/relationships" name="07_Solver" sheetId="8" state="visible" r:id="rId8"/>
    <sheet xmlns:r="http://schemas.openxmlformats.org/officeDocument/2006/relationships" name="08_Sensitivity" sheetId="9" state="visible" r:id="rId9"/>
    <sheet xmlns:r="http://schemas.openxmlformats.org/officeDocument/2006/relationships" name="09_Chart" sheetId="10" state="visible" r:id="rId10"/>
    <sheet xmlns:r="http://schemas.openxmlformats.org/officeDocument/2006/relationships" name="10_LimitLP" sheetId="11" state="visible" r:id="rId11"/>
    <sheet xmlns:r="http://schemas.openxmlformats.org/officeDocument/2006/relationships" name="11_Scenario" sheetId="12" state="visible" r:id="rId12"/>
    <sheet xmlns:r="http://schemas.openxmlformats.org/officeDocument/2006/relationships" name="12_ECL" sheetId="13" state="visible" r:id="rId13"/>
    <sheet xmlns:r="http://schemas.openxmlformats.org/officeDocument/2006/relationships" name="13_EarlyWarning" sheetId="14" state="visible" r:id="rId14"/>
    <sheet xmlns:r="http://schemas.openxmlformats.org/officeDocument/2006/relationships" name="14_ReportInput" sheetId="15" state="visible" r:id="rId15"/>
    <sheet xmlns:r="http://schemas.openxmlformats.org/officeDocument/2006/relationships" name="15_Bond" sheetId="16" state="visible" r:id="rId16"/>
    <sheet xmlns:r="http://schemas.openxmlformats.org/officeDocument/2006/relationships" name="16_Compare" sheetId="17" state="visible" r:id="rId17"/>
  </sheets>
  <definedNames>
    <definedName name="SOFR">'01_Params'!$D$5</definedName>
    <definedName name="TSOFR1M">'01_Params'!$D$6</definedName>
    <definedName name="TSOFR3M">'01_Params'!$D$7</definedName>
    <definedName name="CD91D">'01_Params'!$D$8</definedName>
    <definedName name="BOK_Base">'01_Params'!$D$9</definedName>
    <definedName name="USDKRW">'01_Params'!$D$10</definedName>
    <definedName name="Hana31">'01_Params'!$D$11</definedName>
    <definedName name="Hana92">'01_Params'!$D$12</definedName>
    <definedName name="Hana184">'01_Params'!$D$13</definedName>
    <definedName name="ImplSpread31">'01_Params'!$D$14</definedName>
    <definedName name="ImplSpread92">'01_Params'!$D$15</definedName>
    <definedName name="DayBasis">'01_Params'!$D$16</definedName>
    <definedName name="DayBasisKRW">'01_Params'!$D$17</definedName>
    <definedName name="Fee_KRW">'01_Params'!$D$18</definedName>
    <definedName name="CollectFee">'01_Params'!$D$19</definedName>
    <definedName name="FactoringFee">'01_Params'!$D$20</definedName>
    <definedName name="KS_Direct_AC">'01_Params'!$D$21</definedName>
    <definedName name="KS_Direct_Oth">'01_Params'!$D$22</definedName>
    <definedName name="KS_Direct_Gen">'01_Params'!$D$23</definedName>
    <definedName name="KS_PlusLo">'01_Params'!$D$24</definedName>
    <definedName name="KS_PlusHi">'01_Params'!$D$25</definedName>
    <definedName name="KS_PlusLC">'01_Params'!$D$26</definedName>
    <definedName name="KS_Forfaiting">'01_Params'!$D$27</definedName>
    <definedName name="KS_GuarLo">'01_Params'!$D$28</definedName>
    <definedName name="KS_GuarHi">'01_Params'!$D$29</definedName>
    <definedName name="Cov">'01_Params'!$D$30</definedName>
    <definedName name="Spread_S">'01_Params'!$D$31</definedName>
    <definedName name="Spread_A">'01_Params'!$D$32</definedName>
    <definedName name="Spread_B">'01_Params'!$D$33</definedName>
    <definedName name="Spread_C">'01_Params'!$D$34</definedName>
    <definedName name="Prem_S">'01_Params'!$D$35</definedName>
    <definedName name="Prem_A">'01_Params'!$D$36</definedName>
    <definedName name="Prem_B">'01_Params'!$D$37</definedName>
    <definedName name="Prem_C">'01_Params'!$D$38</definedName>
    <definedName name="PD_S">'01_Params'!$D$39</definedName>
    <definedName name="PD_A">'01_Params'!$D$40</definedName>
    <definedName name="PD_B">'01_Params'!$D$41</definedName>
    <definedName name="PD_C">'01_Params'!$D$42</definedName>
    <definedName name="LGD">'01_Params'!$D$43</definedName>
    <definedName name="EarlyPay_2_10_30">'01_Params'!$D$44</definedName>
    <definedName name="Equity_USD">'01_Params'!$D$45</definedName>
    <definedName name="Alpha">'01_Params'!$D$46</definedName>
    <definedName name="s_S">'01_Params'!$D$47</definedName>
    <definedName name="s_A">'01_Params'!$D$48</definedName>
    <definedName name="s_B">'01_Params'!$D$49</definedName>
    <definedName name="s_C">'01_Params'!$D$50</definedName>
    <definedName name="Fed_Lo">'01_Params'!$D$51</definedName>
    <definedName name="Fed_Hi">'01_Params'!$D$52</definedName>
    <definedName name="Tenor">'01_Params'!$D$53</definedName>
    <definedName name="Grace">'01_Params'!$D$54</definedName>
    <definedName name="Cap_A">'01_Params'!$D$55</definedName>
    <definedName name="Cap_B">'01_Params'!$D$56</definedName>
    <definedName name="Cap_C_OA">'01_Params'!$D$57</definedName>
    <definedName name="ShareCap_B">'01_Params'!$D$58</definedName>
    <definedName name="CtryCap_02">'01_Params'!$D$59</definedName>
    <definedName name="CtryCap_3">'01_Params'!$D$60</definedName>
    <definedName name="CtryCap_45">'01_Params'!$D$61</definedName>
    <definedName name="CtryCap_67">'01_Params'!$D$62</definedName>
    <definedName name="TotalCapShare">'01_Params'!$D$63</definedName>
    <definedName name="Util">'01_Params'!$D$64</definedName>
    <definedName name="GM">'01_Params'!$D$65</definedName>
    <definedName name="StratMin">'01_Params'!$D$66</definedName>
    <definedName name="NoticeWarnDays">'01_Params'!$D$67</definedName>
    <definedName name="LGD_LC">'01_Params'!$D$68</definedName>
    <definedName name="Rho">'01_Params'!$D$69</definedName>
    <definedName name="AsOf">'01_Params'!$D$72</definedName>
    <definedName name="GradeRule">'01_Params'!$D$73</definedName>
    <definedName name="InsuranceType">'01_Params'!$D$74</definedName>
    <definedName name="SaleWeek">'01_Params'!$D$75</definedName>
    <definedName name="Cash0">'01_Params'!$D$76</definedName>
    <definedName name="CheckAmt">'01_Params'!$D$77</definedName>
    <definedName name="SaleX">'07_Solver'!$H$6:$H$12</definedName>
    <definedName name="SaleCost">'07_Solver'!$D$15</definedName>
    <definedName name="L">'10_LimitLP'!$F$5:$F$154</definedName>
    <definedName name="UB">'10_LimitLP'!$D$5:$D$154</definedName>
    <definedName name="LB">'10_LimitLP'!$E$5:$E$154</definedName>
    <definedName name="coef">'10_LimitLP'!$G$5:$G$154</definedName>
    <definedName name="elc">'10_LimitLP'!$H$5:$H$154</definedName>
    <definedName name="ctry">'10_LimitLP'!$B$5:$B$154</definedName>
    <definedName name="grade_lp">'10_LimitLP'!$C$5:$C$154</definedName>
    <definedName name="L_ref">'10_LimitLP'!$P$5:$P$154</definedName>
    <definedName name="cur_limit">'10_LimitLP'!$I$5:$I$154</definedName>
    <definedName name="Obj">'10_LimitLP'!$C$2</definedName>
    <definedName name="TotalL">'10_LimitLP'!$U$5</definedName>
    <definedName name="TotalCap">'10_LimitLP'!$W$5</definedName>
    <definedName name="ELuse">'10_LimitLP'!$U$6</definedName>
    <definedName name="ELbudget">'10_LimitLP'!$W$6</definedName>
    <definedName name="B_Used">'10_LimitLP'!$U$7</definedName>
    <definedName name="B_Cap">'10_LimitLP'!$W$7</definedName>
    <definedName name="CtryUsed">'10_LimitLP'!$Z$12:$Z$31</definedName>
    <definedName name="CtryCap">'10_LimitLP'!$Y$12:$Y$31</definedName>
    <definedName name="ScenarioSel">'11_Scenario'!$C$38</definedName>
    <definedName name="TotalLoss">'11_Scenario'!$C$42</definedName>
    <definedName name="inv_id">'13_EarlyWarning'!$A$5:$A$304</definedName>
    <definedName name="inv_buyer">'13_EarlyWarning'!$B$5:$B$304</definedName>
    <definedName name="inv_paid">'13_EarlyWarning'!$K$5:$K$304</definedName>
    <definedName name="inv_usd">'13_EarlyWarning'!$J$5:$J$304</definedName>
    <definedName name="inv_due">'13_EarlyWarning'!$H$5:$H$304</definedName>
    <definedName name="inv_stage">'13_EarlyWarning'!$P$5:$P$304</definedName>
    <definedName name="inv_deadline">'13_EarlyWarning'!$Q$5:$Q$304</definedName>
    <definedName name="inv_daysleft">'13_EarlyWarning'!$R$5:$R$304</definedName>
    <definedName name="inv_alert">'13_EarlyWarning'!$S$5:$S$304</definedName>
    <definedName name="inv_fraud">'13_EarlyWarning'!$V$5:$V$304</definedName>
    <definedName name="inv_nonlc_dpd">'13_EarlyWarning'!$W$5:$W$304</definedName>
    <definedName name="inv_hold30">'13_EarlyWarning'!$X$5:$X$304</definedName>
    <definedName name="inv_bucket">'13_EarlyWarning'!$Y$5:$Y$304</definedName>
    <definedName name="inv_imm_rank">'13_EarlyWarning'!$Z$5:$Z$304</definedName>
    <definedName name="ew_ship_hold">'13_EarlyWarning'!$AH$5:$AH$154</definedName>
    <definedName name="ew_hold_rank">'13_EarlyWarning'!$AQ$5:$AQ$154</definedName>
    <definedName name="ew_buyer">'13_EarlyWarning'!$AB$5:$AB$154</definedName>
    <definedName name="ew_oldest">'13_EarlyWarning'!$AF$5:$AF$154</definedName>
    <definedName name="solver_adj" localSheetId="7" hidden="1">'07_Solver'!$H$6:$H$12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1" localSheetId="7" hidden="1">'07_Solver'!$H$6:$H$12</definedName>
    <definedName name="solver_lhs2" localSheetId="7" hidden="1">'07_Solver'!$B$14:$I$14</definedName>
    <definedName name="solver_lin" localSheetId="7" hidden="1">1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2</definedName>
    <definedName name="solver_nwt" localSheetId="7" hidden="1">1</definedName>
    <definedName name="solver_opt" localSheetId="7" hidden="1">'07_Solver'!$D$15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3</definedName>
    <definedName name="solver_rhs1" localSheetId="7" hidden="1">'07_Solver'!$G$6:$G$12</definedName>
    <definedName name="solver_rhs2" localSheetId="7" hidden="1">0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10" hidden="1">'10_LimitLP'!$F$5:$F$154</definedName>
    <definedName name="solver_cvg" localSheetId="10" hidden="1">0.0001</definedName>
    <definedName name="solver_drv" localSheetId="10" hidden="1">1</definedName>
    <definedName name="solver_eng" localSheetId="10" hidden="1">2</definedName>
    <definedName name="solver_est" localSheetId="10" hidden="1">1</definedName>
    <definedName name="solver_itr" localSheetId="10" hidden="1">2147483647</definedName>
    <definedName name="solver_lhs1" localSheetId="10" hidden="1">'10_LimitLP'!$F$5:$F$154</definedName>
    <definedName name="solver_lhs2" localSheetId="10" hidden="1">'10_LimitLP'!$F$5:$F$154</definedName>
    <definedName name="solver_lhs3" localSheetId="10" hidden="1">'10_LimitLP'!$U$5</definedName>
    <definedName name="solver_lhs4" localSheetId="10" hidden="1">'10_LimitLP'!$U$6</definedName>
    <definedName name="solver_lhs5" localSheetId="10" hidden="1">'10_LimitLP'!$Z$12:$Z$31</definedName>
    <definedName name="solver_lhs6" localSheetId="10" hidden="1">'10_LimitLP'!$U$7</definedName>
    <definedName name="solver_lin" localSheetId="10" hidden="1">1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6</definedName>
    <definedName name="solver_nwt" localSheetId="10" hidden="1">1</definedName>
    <definedName name="solver_opt" localSheetId="10" hidden="1">'10_LimitLP'!$C$2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2" localSheetId="10" hidden="1">3</definedName>
    <definedName name="solver_rel3" localSheetId="10" hidden="1">1</definedName>
    <definedName name="solver_rel4" localSheetId="10" hidden="1">1</definedName>
    <definedName name="solver_rel5" localSheetId="10" hidden="1">1</definedName>
    <definedName name="solver_rel6" localSheetId="10" hidden="1">1</definedName>
    <definedName name="solver_rhs1" localSheetId="10" hidden="1">'10_LimitLP'!$D$5:$D$154</definedName>
    <definedName name="solver_rhs2" localSheetId="10" hidden="1">'10_LimitLP'!$E$5:$E$154</definedName>
    <definedName name="solver_rhs3" localSheetId="10" hidden="1">'10_LimitLP'!$W$5</definedName>
    <definedName name="solver_rhs4" localSheetId="10" hidden="1">'10_LimitLP'!$W$6</definedName>
    <definedName name="solver_rhs5" localSheetId="10" hidden="1">'10_LimitLP'!$Y$12:$Y$31</definedName>
    <definedName name="solver_rhs6" localSheetId="10" hidden="1">'10_LimitLP'!$W$7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1</definedName>
    <definedName name="solver_val" localSheetId="10" hidden="1">0</definedName>
    <definedName name="solver_ver" localSheetId="10" hidden="1">3</definedName>
  </definedNames>
  <calcPr calcId="124519" calcMode="autoNoTable" fullCalcOnLoad="1"/>
</workbook>
</file>

<file path=xl/styles.xml><?xml version="1.0" encoding="utf-8"?>
<styleSheet xmlns="http://schemas.openxmlformats.org/spreadsheetml/2006/main">
  <numFmts count="13">
    <numFmt numFmtId="164" formatCode="0.000%"/>
    <numFmt numFmtId="165" formatCode="#,##0.0"/>
    <numFmt numFmtId="166" formatCode="0.00000%"/>
    <numFmt numFmtId="167" formatCode="yyyy-mm-dd h:mm:ss"/>
    <numFmt numFmtId="168" formatCode="yyyy-mm-dd"/>
    <numFmt numFmtId="169" formatCode="0.0"/>
    <numFmt numFmtId="170" formatCode="0.0000"/>
    <numFmt numFmtId="171" formatCode="0.000000"/>
    <numFmt numFmtId="172" formatCode="0.00000"/>
    <numFmt numFmtId="173" formatCode="&quot;W&quot;0"/>
    <numFmt numFmtId="174" formatCode="0.0%"/>
    <numFmt numFmtId="175" formatCode="0.000"/>
    <numFmt numFmtId="176" formatCode="0.0000%"/>
  </numFmts>
  <fonts count="9">
    <font>
      <name val="Calibri"/>
      <family val="2"/>
      <color theme="1"/>
      <sz val="11"/>
      <scheme val="minor"/>
    </font>
    <font>
      <name val="Malgun Gothic"/>
      <b val="1"/>
      <color rgb="00000000"/>
      <sz val="14"/>
    </font>
    <font>
      <name val="Malgun Gothic"/>
      <b val="1"/>
      <color rgb="00000000"/>
      <sz val="10"/>
    </font>
    <font>
      <name val="Malgun Gothic"/>
      <color rgb="00000000"/>
      <sz val="10"/>
    </font>
    <font>
      <name val="Malgun Gothic"/>
      <i val="1"/>
      <color rgb="005B6475"/>
      <sz val="10"/>
    </font>
    <font>
      <name val="Malgun Gothic"/>
      <color rgb="001F5FD1"/>
      <sz val="10"/>
    </font>
    <font>
      <name val="Malgun Gothic"/>
      <b val="1"/>
      <color rgb="00FFFFFF"/>
      <sz val="10"/>
    </font>
    <font>
      <name val="Malgun Gothic"/>
      <sz val="10"/>
    </font>
    <font>
      <name val="Malgun Gothic"/>
      <i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ECEAE3"/>
      </patternFill>
    </fill>
    <fill>
      <patternFill patternType="solid">
        <fgColor rgb="00DCEBF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3" fillId="0" borderId="0" pivotButton="0" quotePrefix="0" xfId="0"/>
    <xf numFmtId="164" fontId="2" fillId="3" borderId="1" pivotButton="0" quotePrefix="0" xfId="0"/>
    <xf numFmtId="0" fontId="5" fillId="0" borderId="0" pivotButton="0" quotePrefix="0" xfId="0"/>
    <xf numFmtId="165" fontId="2" fillId="3" borderId="1" pivotButton="0" quotePrefix="0" xfId="0"/>
    <xf numFmtId="166" fontId="2" fillId="3" borderId="1" pivotButton="0" quotePrefix="0" xfId="0"/>
    <xf numFmtId="164" fontId="2" fillId="5" borderId="1" pivotButton="0" quotePrefix="0" xfId="0"/>
    <xf numFmtId="1" fontId="2" fillId="3" borderId="1" pivotButton="0" quotePrefix="0" xfId="0"/>
    <xf numFmtId="3" fontId="2" fillId="3" borderId="1" pivotButton="0" quotePrefix="0" xfId="0"/>
    <xf numFmtId="10" fontId="2" fillId="3" borderId="1" pivotButton="0" quotePrefix="0" xfId="0"/>
    <xf numFmtId="164" fontId="2" fillId="4" borderId="1" pivotButton="0" quotePrefix="0" xfId="0"/>
    <xf numFmtId="10" fontId="2" fillId="4" borderId="1" pivotButton="0" quotePrefix="0" xfId="0"/>
    <xf numFmtId="3" fontId="2" fillId="4" borderId="1" pivotButton="0" quotePrefix="0" xfId="0"/>
    <xf numFmtId="1" fontId="2" fillId="4" borderId="1" pivotButton="0" quotePrefix="0" xfId="0"/>
    <xf numFmtId="168" fontId="2" fillId="4" borderId="1" pivotButton="0" quotePrefix="0" xfId="0"/>
    <xf numFmtId="0" fontId="2" fillId="4" borderId="1" pivotButton="0" quotePrefix="0" xfId="0"/>
    <xf numFmtId="169" fontId="2" fillId="4" borderId="1" pivotButton="0" quotePrefix="0" xfId="0"/>
    <xf numFmtId="0" fontId="2" fillId="7" borderId="1" pivotButton="0" quotePrefix="0" xfId="0"/>
    <xf numFmtId="0" fontId="6" fillId="8" borderId="1" pivotButton="0" quotePrefix="0" xfId="0"/>
    <xf numFmtId="0" fontId="2" fillId="5" borderId="1" pivotButton="0" quotePrefix="0" xfId="0"/>
    <xf numFmtId="168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7" fillId="5" borderId="0" pivotButton="0" quotePrefix="0" xfId="0"/>
    <xf numFmtId="10" fontId="7" fillId="5" borderId="0" pivotButton="0" quotePrefix="0" xfId="0"/>
    <xf numFmtId="164" fontId="7" fillId="5" borderId="0" pivotButton="0" quotePrefix="0" xfId="0"/>
    <xf numFmtId="3" fontId="7" fillId="5" borderId="0" pivotButton="0" quotePrefix="0" xfId="0"/>
    <xf numFmtId="170" fontId="7" fillId="5" borderId="0" pivotButton="0" quotePrefix="0" xfId="0"/>
    <xf numFmtId="171" fontId="7" fillId="5" borderId="0" pivotButton="0" quotePrefix="0" xfId="0"/>
    <xf numFmtId="172" fontId="7" fillId="5" borderId="0" pivotButton="0" quotePrefix="0" xfId="0"/>
    <xf numFmtId="3" fontId="3" fillId="5" borderId="1" pivotButton="0" quotePrefix="0" xfId="0"/>
    <xf numFmtId="1" fontId="3" fillId="5" borderId="1" pivotButton="0" quotePrefix="0" xfId="0"/>
    <xf numFmtId="164" fontId="3" fillId="5" borderId="1" pivotButton="0" quotePrefix="0" xfId="0"/>
    <xf numFmtId="10" fontId="3" fillId="3" borderId="1" pivotButton="0" quotePrefix="0" xfId="0"/>
    <xf numFmtId="3" fontId="3" fillId="3" borderId="1" pivotButton="0" quotePrefix="0" xfId="0"/>
    <xf numFmtId="0" fontId="8" fillId="0" borderId="0" pivotButton="0" quotePrefix="0" xfId="0"/>
    <xf numFmtId="10" fontId="3" fillId="5" borderId="1" pivotButton="0" quotePrefix="0" xfId="0"/>
    <xf numFmtId="169" fontId="3" fillId="4" borderId="1" pivotButton="0" quotePrefix="0" xfId="0"/>
    <xf numFmtId="1" fontId="3" fillId="4" borderId="1" pivotButton="0" quotePrefix="0" xfId="0"/>
    <xf numFmtId="2" fontId="3" fillId="5" borderId="1" pivotButton="0" quotePrefix="0" xfId="0"/>
    <xf numFmtId="166" fontId="3" fillId="5" borderId="1" pivotButton="0" quotePrefix="0" xfId="0"/>
    <xf numFmtId="4" fontId="3" fillId="5" borderId="1" pivotButton="0" quotePrefix="0" xfId="0"/>
    <xf numFmtId="4" fontId="3" fillId="3" borderId="1" pivotButton="0" quotePrefix="0" xfId="0"/>
    <xf numFmtId="173" fontId="2" fillId="2" borderId="1" pivotButton="0" quotePrefix="0" xfId="0"/>
    <xf numFmtId="169" fontId="3" fillId="5" borderId="1" pivotButton="0" quotePrefix="0" xfId="0"/>
    <xf numFmtId="169" fontId="3" fillId="3" borderId="1" pivotButton="0" quotePrefix="0" xfId="0"/>
    <xf numFmtId="170" fontId="3" fillId="6" borderId="1" pivotButton="0" quotePrefix="0" xfId="0"/>
    <xf numFmtId="170" fontId="3" fillId="5" borderId="1" pivotButton="0" quotePrefix="0" xfId="0"/>
    <xf numFmtId="170" fontId="2" fillId="5" borderId="1" pivotButton="0" quotePrefix="0" xfId="0"/>
    <xf numFmtId="10" fontId="3" fillId="4" borderId="1" pivotButton="0" quotePrefix="0" xfId="0"/>
    <xf numFmtId="4" fontId="2" fillId="5" borderId="1" pivotButton="0" quotePrefix="0" xfId="0"/>
    <xf numFmtId="3" fontId="3" fillId="6" borderId="1" pivotButton="0" quotePrefix="0" xfId="0"/>
    <xf numFmtId="171" fontId="3" fillId="5" borderId="1" pivotButton="0" quotePrefix="0" xfId="0"/>
    <xf numFmtId="9" fontId="3" fillId="5" borderId="1" pivotButton="0" quotePrefix="0" xfId="0"/>
    <xf numFmtId="170" fontId="3" fillId="4" borderId="1" pivotButton="0" quotePrefix="0" xfId="0"/>
    <xf numFmtId="170" fontId="3" fillId="3" borderId="1" pivotButton="0" quotePrefix="0" xfId="0"/>
    <xf numFmtId="1" fontId="3" fillId="3" borderId="1" pivotButton="0" quotePrefix="0" xfId="0"/>
    <xf numFmtId="165" fontId="3" fillId="3" borderId="1" pivotButton="0" quotePrefix="0" xfId="0"/>
    <xf numFmtId="165" fontId="3" fillId="4" borderId="1" pivotButton="0" quotePrefix="0" xfId="0"/>
    <xf numFmtId="165" fontId="3" fillId="5" borderId="1" pivotButton="0" quotePrefix="0" xfId="0"/>
    <xf numFmtId="174" fontId="3" fillId="5" borderId="1" pivotButton="0" quotePrefix="0" xfId="0"/>
    <xf numFmtId="175" fontId="3" fillId="5" borderId="1" pivotButton="0" quotePrefix="0" xfId="0"/>
    <xf numFmtId="3" fontId="2" fillId="5" borderId="1" pivotButton="0" quotePrefix="0" xfId="0"/>
    <xf numFmtId="174" fontId="3" fillId="4" borderId="1" pivotButton="0" quotePrefix="0" xfId="0"/>
    <xf numFmtId="174" fontId="3" fillId="3" borderId="1" pivotButton="0" quotePrefix="0" xfId="0"/>
    <xf numFmtId="168" fontId="3" fillId="5" borderId="1" pivotButton="0" quotePrefix="0" xfId="0"/>
    <xf numFmtId="0" fontId="2" fillId="7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" fontId="0" fillId="0" borderId="0" pivotButton="0" quotePrefix="0" xfId="0"/>
    <xf numFmtId="168" fontId="7" fillId="5" borderId="0" pivotButton="0" quotePrefix="0" xfId="0"/>
    <xf numFmtId="9" fontId="7" fillId="5" borderId="0" pivotButton="0" quotePrefix="0" xfId="0"/>
    <xf numFmtId="3" fontId="3" fillId="4" borderId="1" pivotButton="0" quotePrefix="0" xfId="0"/>
    <xf numFmtId="9" fontId="3" fillId="4" borderId="1" pivotButton="0" quotePrefix="0" xfId="0"/>
    <xf numFmtId="176" fontId="3" fillId="5" borderId="1" pivotButton="0" quotePrefix="0" xfId="0"/>
  </cellXfs>
  <cellStyles count="1">
    <cellStyle name="Normal" xfId="0" builtinId="0" hidden="0"/>
  </cellStyles>
  <dxfs count="6">
    <dxf>
      <font>
        <b val="1"/>
        <color rgb="00C00000"/>
      </font>
    </dxf>
    <dxf>
      <fill>
        <patternFill patternType="solid">
          <fgColor rgb="00F4B6B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3E9"/>
        </patternFill>
      </fill>
    </dxf>
    <dxf>
      <font>
        <b val="1"/>
        <color rgb="00FFFFFF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누적현금(USD천) — 조치 전·후</a:t>
            </a:r>
          </a:p>
        </rich>
      </tx>
    </title>
    <plotArea>
      <lineChart>
        <grouping val="standard"/>
        <ser>
          <idx val="0"/>
          <order val="0"/>
          <tx>
            <strRef>
              <f>'06_WeeklyGap'!A8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'06_WeeklyGap'!$B$4:$I$4</f>
            </numRef>
          </cat>
          <val>
            <numRef>
              <f>'06_WeeklyGap'!$B$8:$I$8</f>
            </numRef>
          </val>
        </ser>
        <ser>
          <idx val="1"/>
          <order val="1"/>
          <tx>
            <strRef>
              <f>'06_WeeklyGap'!A11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'06_WeeklyGap'!$B$4:$I$4</f>
            </numRef>
          </cat>
          <val>
            <numRef>
              <f>'06_WeeklyGap'!$B$11:$I$11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USD천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등급별 할인율 구성(부보 기준)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'03_RateBuild'!B14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'03_RateBuild'!$B$15:$B$18</f>
            </numRef>
          </val>
        </ser>
        <ser>
          <idx val="1"/>
          <order val="1"/>
          <tx>
            <strRef>
              <f>'03_RateBuild'!C14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'03_RateBuild'!$C$15:$C$18</f>
            </numRef>
          </val>
        </ser>
        <ser>
          <idx val="2"/>
          <order val="2"/>
          <tx>
            <strRef>
              <f>'03_RateBuild'!D14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'03_RateBuild'!$D$15:$D$18</f>
            </numRef>
          </val>
        </ser>
        <ser>
          <idx val="3"/>
          <order val="3"/>
          <tx>
            <strRef>
              <f>'03_RateBuild'!E14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'03_RateBuild'!$A$15:$A$18</f>
            </numRef>
          </cat>
          <val>
            <numRef>
              <f>'03_RateBuild'!$E$15:$E$18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등급별 한도 합계(USD) — 현행 vs 해 찾기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'10_LimitLP'!V37</f>
            </strRef>
          </tx>
          <spPr>
            <a:ln xmlns:a="http://schemas.openxmlformats.org/drawingml/2006/main">
              <a:prstDash val="solid"/>
            </a:ln>
          </spPr>
          <cat>
            <numRef>
              <f>'10_LimitLP'!$T$38:$T$41</f>
            </numRef>
          </cat>
          <val>
            <numRef>
              <f>'10_LimitLP'!$V$38:$V$41</f>
            </numRef>
          </val>
        </ser>
        <ser>
          <idx val="1"/>
          <order val="1"/>
          <tx>
            <strRef>
              <f>'10_LimitLP'!W37</f>
            </strRef>
          </tx>
          <spPr>
            <a:ln xmlns:a="http://schemas.openxmlformats.org/drawingml/2006/main">
              <a:prstDash val="solid"/>
            </a:ln>
          </spPr>
          <cat>
            <numRef>
              <f>'10_LimitLP'!$T$38:$T$41</f>
            </numRef>
          </cat>
          <val>
            <numRef>
              <f>'10_LimitLP'!$W$38:$W$41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몬테카를로 손실 분포(데이터 표 F9 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'11_Scenario'!C52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'11_Scenario'!$B$53:$B$63</f>
            </numRef>
          </cat>
          <val>
            <numRef>
              <f>'11_Scenario'!$C$53:$C$63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시나리오별 EL(USD)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'11_Scenario'!$B$15:$G$15</f>
            </numRef>
          </cat>
          <val>
            <numRef>
              <f>'11_Scenario'!$B$20:$G$20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tradefin</author>
  </authors>
  <commentList>
    <comment ref="A1" authorId="0" shapeId="0">
      <text>
        <t>d4_start_scored.csv 전체(머리글 포함)를 복사해 이 셀(A1)에 '값 붙여넣기'(Ctrl+Alt+V → 값).
A~AI = 붙여넣기 칸, AK~BI = 계산 열(회색, 수정 금지). 머리글을 빼고 복사했다면 A2에 붙여 넣는다.</t>
      </text>
    </comment>
  </commentList>
</comments>
</file>

<file path=xl/comments/comment2.xml><?xml version="1.0" encoding="utf-8"?>
<comments xmlns="http://schemas.openxmlformats.org/spreadsheetml/2006/main">
  <authors>
    <author>tradefin</author>
  </authors>
  <commentList>
    <comment ref="AJ1" authorId="0" shapeId="0">
      <text>
        <t>데이터 표의 '열 입력 셀'(비워 둔다). 데이터 표를 다시 만들 때: AG6:AH1006 선택 → 데이터 → 가상 분석 → 데이터 표 → 열 입력 셀 $AJ$1 → 확인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d4_limit_model.xlsx — Day4 한도 최적화·할인율·시나리오·조기경보 워크북 (가상 한빛정밀(주) 교육용)</t>
        </is>
      </c>
    </row>
    <row r="3" ht="32" customHeight="1">
      <c r="A3" s="2" t="inlineStr">
        <is>
          <t>파일</t>
        </is>
      </c>
      <c r="B3" s="3" t="inlineStr">
        <is>
          <t>빈 틀(공개 저장소 labs/day4) — 02_Buyers에 d4_start_scored.csv를 붙여 넣어 시작</t>
        </is>
      </c>
    </row>
    <row r="4" ht="32" customHeight="1">
      <c r="A4" s="2" t="inlineStr">
        <is>
          <t>목적</t>
        </is>
      </c>
      <c r="B4" s="3" t="inlineStr">
        <is>
          <t>등급(PD)·보험·금융비용을 반영해 바이어별 신용한도를 선형계획(LP)으로 배분하고, 할인율·NPV, 4단계 충격·몬테카를로, 충당금, 조기경보를 한 파일에서 계산한다.</t>
        </is>
      </c>
    </row>
    <row r="5" ht="32" customHeight="1">
      <c r="A5" s="2" t="inlineStr">
        <is>
          <t>기준일</t>
        </is>
      </c>
      <c r="B5" s="3" t="inlineStr">
        <is>
          <t>2026-09-30(01_Params AsOf) · 금리 2026-09-23(Term SOFR 3M 4.047%, 하나은행 환가료) · 원/달러 1,360.0(ECOS 매매기준율 09-23)</t>
        </is>
      </c>
    </row>
    <row r="6" ht="32" customHeight="1">
      <c r="A6" s="2" t="inlineStr">
        <is>
          <t>색 규칙</t>
        </is>
      </c>
      <c r="B6" s="3" t="inlineStr">
        <is>
          <t>파랑 = 공시·규정값 · 노랑 = [가정]·[교육용 가정](바꿔 볼 수 있음) · 회색 = 수식(수정 금지) · 주황 = 결정변수(해 찾기가 채움) · 연두 = 붙여넣기 칸</t>
        </is>
      </c>
    </row>
    <row r="7" ht="32" customHeight="1">
      <c r="A7" s="2" t="inlineStr">
        <is>
          <t>시작(Lab 1)</t>
        </is>
      </c>
      <c r="B7" s="3" t="inlineStr">
        <is>
          <t>① 01_Params 노랑 칸 확인 ② d4_start_scored.csv 전체(머리글 포함)를 복사 → 02_Buyers A1에 '값 붙여넣기'(Ctrl+Alt+V → 값) — 회색 열이 150행 채워지는지 확인 ③ 03_RateBuild 검산표 ✔ ④ 05_NPV 은행 견적 1,669.54달러·6.59%</t>
        </is>
      </c>
    </row>
    <row r="8" ht="32" customHeight="1">
      <c r="A8" s="2" t="inlineStr">
        <is>
          <t>한도 LP(Lab 2)</t>
        </is>
      </c>
      <c r="B8" s="3" t="inlineStr">
        <is>
          <t>10_LimitLP → 데이터 → 해 찾기: 목표 $C$2(Obj) 최대 · 변수 $F$5:$F$154 · 제약 6줄(시트 오른쪽 '해 찾기 입력표') · '제한되지 않는 변수를 음이 아닌 수로' ✔ · 해법 '단순 LP' → 해 찾기 → 보고서 '해답'·'민감도'</t>
        </is>
      </c>
    </row>
    <row r="9" ht="32" customHeight="1">
      <c r="A9" s="2" t="inlineStr">
        <is>
          <t>해 찾기 켜기</t>
        </is>
      </c>
      <c r="B9" s="3" t="inlineStr">
        <is>
          <t>파일 → 옵션 → 추가 기능 → 관리: Excel 추가 기능 → 이동 → '해 찾기 추가 기능' ✔. 웹 Excel에는 없다(Frontline Solver App·Google Sheets+OpenSolver)</t>
        </is>
      </c>
    </row>
    <row r="10" ht="32" customHeight="1">
      <c r="A10" s="2" t="inlineStr">
        <is>
          <t>시나리오(Lab 3)</t>
        </is>
      </c>
      <c r="B10" s="3" t="inlineStr">
        <is>
          <t>11_Scenario: S0~S4 결과표 · 실제 충격 재현(R2026) · 몬테카를로(드롭다운에서 시나리오 선택 → F9). 계산 옵션은 '데이터 표를 제외하고 자동'으로 저장돼 있다 — 데이터 표 1,000회는 F9를 눌러야 갱신</t>
        </is>
      </c>
    </row>
    <row r="11" ht="32" customHeight="1">
      <c r="A11" s="2" t="inlineStr">
        <is>
          <t>조기경보</t>
        </is>
      </c>
      <c r="B11" s="3" t="inlineStr">
        <is>
          <t>13_EarlyWarning: open_inv(기준일 미결 인보이스 ≤300행) → 단계(D-3/D+7/D+15/D+30)·K-SURE 사고발생통지 기한(결제기일 + 1개월)·선적 보류. 선적 보류 바이어는 02_Buyers UB가 0이 된다</t>
        </is>
      </c>
    </row>
    <row r="12" ht="32" customHeight="1">
      <c r="A12" s="2" t="inlineStr">
        <is>
          <t>리포트(Lab 4)</t>
        </is>
      </c>
      <c r="B12" s="3" t="inlineStr">
        <is>
          <t>14_ReportInput 표 5개 → 프롬프트 P4-1(바이어 실명 없이 ID만). 한도 변경·선적 보류·K-SURE 통지는 사람이 승인한다</t>
        </is>
      </c>
    </row>
    <row r="13" ht="32" customHeight="1">
      <c r="A13" s="2" t="inlineStr">
        <is>
          <t>🔵 선택</t>
        </is>
      </c>
      <c r="B13" s="3" t="inlineStr">
        <is>
          <t>06_WeeklyGap·07_Solver(유동성 갭 최소비용 매각) · 08_Sensitivity · 12_ECL(충당금 3종) · 15_Bond(공공조달 보증 EAD) · 01_Params GradeRule = quantile(분위수 등급 비교)</t>
        </is>
      </c>
    </row>
    <row r="14" ht="32" customHeight="1">
      <c r="A14" s="2" t="inlineStr">
        <is>
          <t>🟣 Challenge</t>
        </is>
      </c>
      <c r="B14" s="3" t="inlineStr">
        <is>
          <t>labs/day4/d4_challenge.ipynb(PuLP 3.3.2 · scipy linprog · 몬테카를로 1-요인) → 16_Compare에 PuLP 해를 붙여 비교</t>
        </is>
      </c>
    </row>
    <row r="15" ht="32" customHeight="1">
      <c r="A15" s="2" t="inlineStr">
        <is>
          <t>Excel 버전</t>
        </is>
      </c>
      <c r="B15" s="3" t="inlineStr">
        <is>
          <t>Microsoft 365·Excel 2019 이상 권장(MAXIFS). Excel 2016은 13_EarlyWarning '최장 연체일' 표시만 #NAME? — 선적 보류 판정·한도는 정상</t>
        </is>
      </c>
    </row>
    <row r="16" ht="32" customHeight="1">
      <c r="A16" s="2" t="inlineStr">
        <is>
          <t>주의</t>
        </is>
      </c>
      <c r="B16" s="3" t="inlineStr">
        <is>
          <t>K-SURE 개별보험 요율표는 비공개 — 보험료는 [가정]. 위약금 15/1000은 약관 제21조③ 한정 조항(일반화 금지). PD 배수·국가 한도율·자기자본은 교육용 가정</t>
        </is>
      </c>
    </row>
    <row r="17" ht="32" customHeight="1">
      <c r="A17" s="2" t="inlineStr">
        <is>
          <t>출처</t>
        </is>
      </c>
      <c r="B17" s="3" t="inlineStr">
        <is>
          <t>G03(금리·요율 P1~P23) · G01 §2.5.1(한도 공식) · R09 §2.8(충격 크기) · G02 §2.6(보증 EAD) · 03 Part2 §4(절차) — 01_Params G·J열</t>
        </is>
      </c>
    </row>
    <row r="18" ht="32" customHeight="1">
      <c r="A18" s="2" t="inlineStr">
        <is>
          <t>데이터</t>
        </is>
      </c>
      <c r="B18" s="3" t="inlineStr">
        <is>
          <t>(가상) 한빛정밀(주) 합성 데이터 — 실존 기업·인물과 무관. 회사 실데이터는 익명화 템플릿을 거친 뒤에만 넣는다</t>
        </is>
      </c>
    </row>
    <row r="20">
      <c r="A20" s="4" t="inlineStr">
        <is>
          <t>색 견본</t>
        </is>
      </c>
      <c r="B20" s="5" t="inlineStr">
        <is>
          <t>공시·규정</t>
        </is>
      </c>
      <c r="C20" s="6" t="inlineStr">
        <is>
          <t>가정</t>
        </is>
      </c>
      <c r="D20" s="7" t="inlineStr">
        <is>
          <t>수식</t>
        </is>
      </c>
      <c r="E20" s="8" t="inlineStr">
        <is>
          <t>결정변수</t>
        </is>
      </c>
      <c r="F20" s="9" t="inlineStr">
        <is>
          <t>붙여넣기</t>
        </is>
      </c>
    </row>
    <row r="22">
      <c r="A22" s="2" t="inlineStr">
        <is>
          <t>시트</t>
        </is>
      </c>
      <c r="B22" s="2" t="inlineStr">
        <is>
          <t>내용</t>
        </is>
      </c>
    </row>
    <row r="23">
      <c r="A23" s="7" t="inlineStr">
        <is>
          <t>00_README</t>
        </is>
      </c>
      <c r="B23" s="3" t="inlineStr">
        <is>
          <t>이 안내</t>
        </is>
      </c>
    </row>
    <row r="24">
      <c r="A24" s="7" t="inlineStr">
        <is>
          <t>01_Params</t>
        </is>
      </c>
      <c r="B24" s="3" t="inlineStr">
        <is>
          <t>파라미터 65개(이름 정의) + AsOf·GradeRule 등</t>
        </is>
      </c>
    </row>
    <row r="25">
      <c r="A25" s="7" t="inlineStr">
        <is>
          <t>02_Buyers</t>
        </is>
      </c>
      <c r="B25" s="3" t="inlineStr">
        <is>
          <t>d4_start_scored 붙여넣기(A~AI) + 계산 열(AK~BI): PD·r·Need·Cap·Ins·Self·UB·LB·coef</t>
        </is>
      </c>
    </row>
    <row r="26">
      <c r="A26" s="7" t="inlineStr">
        <is>
          <t>03_RateBuild</t>
        </is>
      </c>
      <c r="B26" s="3" t="inlineStr">
        <is>
          <t>등급별 위험조정 할인율·NPV 검산(USD 100,000·90일)</t>
        </is>
      </c>
    </row>
    <row r="27">
      <c r="A27" s="7" t="inlineStr">
        <is>
          <t>04_AR_Ledger</t>
        </is>
      </c>
      <c r="B27" s="3" t="inlineStr">
        <is>
          <t>G03 예제 원장 R1~R7(🔵)</t>
        </is>
      </c>
    </row>
    <row r="28">
      <c r="A28" s="7" t="inlineStr">
        <is>
          <t>05_NPV</t>
        </is>
      </c>
      <c r="B28" s="3" t="inlineStr">
        <is>
          <t>은행 견적 대조 + 바이어별 채권 NPV·부보 판정</t>
        </is>
      </c>
    </row>
    <row r="29">
      <c r="A29" s="7" t="inlineStr">
        <is>
          <t>06_WeeklyGap</t>
        </is>
      </c>
      <c r="B29" s="3" t="inlineStr">
        <is>
          <t>8주 유동성 갭(🔵)</t>
        </is>
      </c>
    </row>
    <row r="30">
      <c r="A30" s="7" t="inlineStr">
        <is>
          <t>07_Solver</t>
        </is>
      </c>
      <c r="B30" s="3" t="inlineStr">
        <is>
          <t>최소비용 매각 LP(🔵, 해 찾기 모델 저장됨)</t>
        </is>
      </c>
    </row>
    <row r="31">
      <c r="A31" s="7" t="inlineStr">
        <is>
          <t>08_Sensitivity</t>
        </is>
      </c>
      <c r="B31" s="3" t="inlineStr">
        <is>
          <t>TSOFR ±100bp·PD×2·LGD 40/80%</t>
        </is>
      </c>
    </row>
    <row r="32">
      <c r="A32" s="7" t="inlineStr">
        <is>
          <t>09_Chart</t>
        </is>
      </c>
      <c r="B32" s="3" t="inlineStr">
        <is>
          <t>누적현금·할인율 구성·등급별 한도 차트</t>
        </is>
      </c>
    </row>
    <row r="33">
      <c r="A33" s="7" t="inlineStr">
        <is>
          <t>10_LimitLP</t>
        </is>
      </c>
      <c r="B33" s="3" t="inlineStr">
        <is>
          <t>한도 배분 LP(해 찾기 모델 저장됨) + 국가 한도 블록</t>
        </is>
      </c>
    </row>
    <row r="34">
      <c r="A34" s="7" t="inlineStr">
        <is>
          <t>11_Scenario</t>
        </is>
      </c>
      <c r="B34" s="3" t="inlineStr">
        <is>
          <t>S0~S4 + 사용자(카드) U1 · 실제 충격 재현 · 몬테카를로 데이터 표</t>
        </is>
      </c>
    </row>
    <row r="35">
      <c r="A35" s="7" t="inlineStr">
        <is>
          <t>12_ECL</t>
        </is>
      </c>
      <c r="B35" s="3" t="inlineStr">
        <is>
          <t>충당금 매트릭스 3종(🔵)</t>
        </is>
      </c>
    </row>
    <row r="36">
      <c r="A36" s="7" t="inlineStr">
        <is>
          <t>13_EarlyWarning</t>
        </is>
      </c>
      <c r="B36" s="3" t="inlineStr">
        <is>
          <t>조기경보 룰(인보이스·바이어 단위)</t>
        </is>
      </c>
    </row>
    <row r="37">
      <c r="A37" s="7" t="inlineStr">
        <is>
          <t>14_ReportInput</t>
        </is>
      </c>
      <c r="B37" s="3" t="inlineStr">
        <is>
          <t>경영진 리포트 입력 표 5개</t>
        </is>
      </c>
    </row>
    <row r="38">
      <c r="A38" s="7" t="inlineStr">
        <is>
          <t>15_Bond</t>
        </is>
      </c>
      <c r="B38" s="3" t="inlineStr">
        <is>
          <t>공공조달 보증 EAD(🔵)</t>
        </is>
      </c>
    </row>
    <row r="39">
      <c r="A39" s="7" t="inlineStr">
        <is>
          <t>16_Compare</t>
        </is>
      </c>
      <c r="B39" s="3" t="inlineStr">
        <is>
          <t>Excel vs PuLP(🟣)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6" customWidth="1" min="3" max="3"/>
    <col width="13" customWidth="1" min="4" max="4"/>
    <col width="9" customWidth="1" min="5" max="5"/>
    <col width="11" customWidth="1" min="6" max="6"/>
    <col width="46" customWidth="1" min="7" max="7"/>
    <col width="11" customWidth="1" min="8" max="8"/>
    <col width="52" customWidth="1" min="9" max="9"/>
    <col width="40" customWidth="1" min="10" max="10"/>
  </cols>
  <sheetData>
    <row r="1">
      <c r="A1" s="1" t="inlineStr">
        <is>
          <t>01_Params — 파라미터(셀마다 이름 정의, d4_params.csv와 같은 값)</t>
        </is>
      </c>
    </row>
    <row r="2">
      <c r="A2" s="10" t="inlineStr">
        <is>
          <t>값은 소수로 넣는다(4.047% = 0.04047, 백분율 서식). 파랑 = 공시·규정 · 노랑 = [가정]·[교육용 가정](🔵 바꿔 보기) · 회색 = 계산</t>
        </is>
      </c>
    </row>
    <row r="4">
      <c r="A4" s="11" t="inlineStr">
        <is>
          <t>param_id</t>
        </is>
      </c>
      <c r="B4" s="11" t="inlineStr">
        <is>
          <t>이름(Excel)</t>
        </is>
      </c>
      <c r="C4" s="11" t="inlineStr">
        <is>
          <t>항목</t>
        </is>
      </c>
      <c r="D4" s="11" t="inlineStr">
        <is>
          <t>값</t>
        </is>
      </c>
      <c r="E4" s="11" t="inlineStr">
        <is>
          <t>단위</t>
        </is>
      </c>
      <c r="F4" s="11" t="inlineStr">
        <is>
          <t>구분</t>
        </is>
      </c>
      <c r="G4" s="11" t="inlineStr">
        <is>
          <t>출처</t>
        </is>
      </c>
      <c r="H4" s="11" t="inlineStr">
        <is>
          <t>기준일</t>
        </is>
      </c>
      <c r="I4" s="11" t="inlineStr">
        <is>
          <t>메모</t>
        </is>
      </c>
      <c r="J4" s="11" t="inlineStr">
        <is>
          <t>URL</t>
        </is>
      </c>
    </row>
    <row r="5">
      <c r="A5" s="12" t="inlineStr">
        <is>
          <t>P1</t>
        </is>
      </c>
      <c r="B5" s="7" t="inlineStr">
        <is>
          <t>SOFR</t>
        </is>
      </c>
      <c r="C5" s="13" t="inlineStr">
        <is>
          <t>SOFR(익일물 담보 기준금리)</t>
        </is>
      </c>
      <c r="D5" s="14" t="n">
        <v>0.0388</v>
      </c>
      <c r="E5" s="13" t="inlineStr">
        <is>
          <t>연율</t>
        </is>
      </c>
      <c r="F5" s="13" t="inlineStr">
        <is>
          <t>확인</t>
        </is>
      </c>
      <c r="G5" s="13" t="inlineStr">
        <is>
          <t>NY Fed SOFR API [G03 1]</t>
        </is>
      </c>
      <c r="H5" s="13" t="inlineStr">
        <is>
          <t>2026-09-24</t>
        </is>
      </c>
      <c r="I5" s="13" t="inlineStr">
        <is>
          <t>09-16 3.62% → 09-17 3.85%(FOMC 인상 다음 날)</t>
        </is>
      </c>
      <c r="J5" s="15" t="inlineStr">
        <is>
          <t>https://markets.newyorkfed.org/api/rates/secured/sofr/last/10.json</t>
        </is>
      </c>
    </row>
    <row r="6">
      <c r="A6" s="12" t="inlineStr">
        <is>
          <t>P2</t>
        </is>
      </c>
      <c r="B6" s="7" t="inlineStr">
        <is>
          <t>TSOFR1M</t>
        </is>
      </c>
      <c r="C6" s="13" t="inlineStr">
        <is>
          <t>Term SOFR 1개월</t>
        </is>
      </c>
      <c r="D6" s="14" t="n">
        <v>0.03901</v>
      </c>
      <c r="E6" s="13" t="inlineStr">
        <is>
          <t>연율</t>
        </is>
      </c>
      <c r="F6" s="13" t="inlineStr">
        <is>
          <t>확인</t>
        </is>
      </c>
      <c r="G6" s="13" t="inlineStr">
        <is>
          <t>CME Term SOFR(Chatham 재배포) [G03 5]</t>
        </is>
      </c>
      <c r="H6" s="13" t="inlineStr">
        <is>
          <t>2026-09-23</t>
        </is>
      </c>
      <c r="I6" s="13" t="inlineStr">
        <is>
          <t>CME 원 페이지는 자동 조회 차단 — 수업 당일 브라우저로 확인</t>
        </is>
      </c>
      <c r="J6" s="15" t="inlineStr">
        <is>
          <t>https://cf.com/rates/us</t>
        </is>
      </c>
    </row>
    <row r="7">
      <c r="A7" s="12" t="inlineStr">
        <is>
          <t>P3</t>
        </is>
      </c>
      <c r="B7" s="7" t="inlineStr">
        <is>
          <t>TSOFR3M</t>
        </is>
      </c>
      <c r="C7" s="13" t="inlineStr">
        <is>
          <t>Term SOFR 3개월</t>
        </is>
      </c>
      <c r="D7" s="14" t="n">
        <v>0.04047</v>
      </c>
      <c r="E7" s="13" t="inlineStr">
        <is>
          <t>연율</t>
        </is>
      </c>
      <c r="F7" s="13" t="inlineStr">
        <is>
          <t>확인</t>
        </is>
      </c>
      <c r="G7" s="13" t="inlineStr">
        <is>
          <t>CME Term SOFR(Chatham 재배포) [G03 5]</t>
        </is>
      </c>
      <c r="H7" s="13" t="inlineStr">
        <is>
          <t>2026-09-23</t>
        </is>
      </c>
      <c r="I7" s="13" t="inlineStr">
        <is>
          <t>할인율·LP 금리의 기준 B(t)</t>
        </is>
      </c>
      <c r="J7" s="15" t="inlineStr">
        <is>
          <t>https://cf.com/rates/us</t>
        </is>
      </c>
    </row>
    <row r="8">
      <c r="A8" s="12" t="inlineStr">
        <is>
          <t>P4</t>
        </is>
      </c>
      <c r="B8" s="7" t="inlineStr">
        <is>
          <t>CD91D</t>
        </is>
      </c>
      <c r="C8" s="13" t="inlineStr">
        <is>
          <t>CD 91일물</t>
        </is>
      </c>
      <c r="D8" s="14" t="n">
        <v>0.0321</v>
      </c>
      <c r="E8" s="13" t="inlineStr">
        <is>
          <t>연율</t>
        </is>
      </c>
      <c r="F8" s="13" t="inlineStr">
        <is>
          <t>확인</t>
        </is>
      </c>
      <c r="G8" s="13" t="inlineStr">
        <is>
          <t>한국은행 ECOS 817Y002/010502000 [G03 7]</t>
        </is>
      </c>
      <c r="H8" s="13" t="inlineStr">
        <is>
          <t>2026-09-23</t>
        </is>
      </c>
      <c r="I8" s="13" t="inlineStr">
        <is>
          <t>원화 대안 비교용</t>
        </is>
      </c>
      <c r="J8" s="15" t="inlineStr">
        <is>
          <t>https://ecos.bok.or.kr/</t>
        </is>
      </c>
    </row>
    <row r="9">
      <c r="A9" s="12" t="inlineStr">
        <is>
          <t>P5</t>
        </is>
      </c>
      <c r="B9" s="7" t="inlineStr">
        <is>
          <t>BOK_Base</t>
        </is>
      </c>
      <c r="C9" s="13" t="inlineStr">
        <is>
          <t>한국은행 기준금리</t>
        </is>
      </c>
      <c r="D9" s="14" t="n">
        <v>0.03</v>
      </c>
      <c r="E9" s="13" t="inlineStr">
        <is>
          <t>연율</t>
        </is>
      </c>
      <c r="F9" s="13" t="inlineStr">
        <is>
          <t>확인</t>
        </is>
      </c>
      <c r="G9" s="13" t="inlineStr">
        <is>
          <t>한국은행 기준금리 추이 [G03 6]</t>
        </is>
      </c>
      <c r="H9" s="13" t="inlineStr">
        <is>
          <t>2026-08-27</t>
        </is>
      </c>
      <c r="I9" s="13" t="inlineStr">
        <is>
          <t>2.50%(2025-05-29) → 2.75%(2026-07-16) → 3.00%(2026-08-27 인상)</t>
        </is>
      </c>
      <c r="J9" s="15" t="inlineStr">
        <is>
          <t>https://www.bok.or.kr/portal/singl/baseRate/list.do?dataSeCd=01&amp;menuNo=200643</t>
        </is>
      </c>
    </row>
    <row r="10">
      <c r="A10" s="12" t="inlineStr">
        <is>
          <t>P6</t>
        </is>
      </c>
      <c r="B10" s="7" t="inlineStr">
        <is>
          <t>USDKRW</t>
        </is>
      </c>
      <c r="C10" s="13" t="inlineStr">
        <is>
          <t>원/달러 매매기준율</t>
        </is>
      </c>
      <c r="D10" s="16" t="n">
        <v>1360</v>
      </c>
      <c r="E10" s="13" t="inlineStr">
        <is>
          <t>원</t>
        </is>
      </c>
      <c r="F10" s="13" t="inlineStr">
        <is>
          <t>확인</t>
        </is>
      </c>
      <c r="G10" s="13" t="inlineStr">
        <is>
          <t>한국은행 ECOS 731Y001/0000001 [G03 9]</t>
        </is>
      </c>
      <c r="H10" s="13" t="inlineStr">
        <is>
          <t>2026-09-23</t>
        </is>
      </c>
      <c r="I10" s="13" t="inlineStr">
        <is>
          <t>FRED 뉴욕 정오율과 기준·시각이 다르다 — 11_Scenario S0 원/달러</t>
        </is>
      </c>
      <c r="J10" s="15" t="inlineStr">
        <is>
          <t>https://ecos.bok.or.kr/</t>
        </is>
      </c>
    </row>
    <row r="11">
      <c r="A11" s="12" t="inlineStr">
        <is>
          <t>P7_31D</t>
        </is>
      </c>
      <c r="B11" s="7" t="inlineStr">
        <is>
          <t>Hana31</t>
        </is>
      </c>
      <c r="C11" s="13" t="inlineStr">
        <is>
          <t>하나은행 USD 기한부 환가료율 31일(일괄선취)</t>
        </is>
      </c>
      <c r="D11" s="17" t="n">
        <v>0.0574851</v>
      </c>
      <c r="E11" s="13" t="inlineStr">
        <is>
          <t>연율</t>
        </is>
      </c>
      <c r="F11" s="13" t="inlineStr">
        <is>
          <t>확인</t>
        </is>
      </c>
      <c r="G11" s="13" t="inlineStr">
        <is>
          <t>하나은행 기한부환가료율 [G03 10]</t>
        </is>
      </c>
      <c r="H11" s="13" t="inlineStr">
        <is>
          <t>2026-09-23</t>
        </is>
      </c>
      <c r="I11" s="13" t="inlineStr">
        <is>
          <t>고시 = 기준금리(Term SOFR) + 가산금리, 우대 전</t>
        </is>
      </c>
      <c r="J11" s="15" t="inlineStr">
        <is>
          <t>https://www.kebhana.com/cms/rate/index.do?contentUrl=/cms/rate/wpfxd652_01i.do</t>
        </is>
      </c>
    </row>
    <row r="12">
      <c r="A12" s="12" t="inlineStr">
        <is>
          <t>P7_92D</t>
        </is>
      </c>
      <c r="B12" s="7" t="inlineStr">
        <is>
          <t>Hana92</t>
        </is>
      </c>
      <c r="C12" s="13" t="inlineStr">
        <is>
          <t>하나은행 USD 기한부 환가료율 92일(일괄선취)</t>
        </is>
      </c>
      <c r="D12" s="17" t="n">
        <v>0.0653297</v>
      </c>
      <c r="E12" s="13" t="inlineStr">
        <is>
          <t>연율</t>
        </is>
      </c>
      <c r="F12" s="13" t="inlineStr">
        <is>
          <t>확인</t>
        </is>
      </c>
      <c r="G12" s="13" t="inlineStr">
        <is>
          <t>하나은행 기한부환가료율 [G03 10]</t>
        </is>
      </c>
      <c r="H12" s="13" t="inlineStr">
        <is>
          <t>2026-09-23</t>
        </is>
      </c>
      <c r="I12" s="13" t="inlineStr">
        <is>
          <t>05_NPV 은행 견적 대조(USD 100,000·92일 → 환가료 USD 1,669.54)</t>
        </is>
      </c>
      <c r="J12" s="15" t="inlineStr">
        <is>
          <t>https://www.kebhana.com/cms/rate/index.do?contentUrl=/cms/rate/wpfxd652_01i.do</t>
        </is>
      </c>
    </row>
    <row r="13">
      <c r="A13" s="12" t="inlineStr">
        <is>
          <t>P7_184D</t>
        </is>
      </c>
      <c r="B13" s="7" t="inlineStr">
        <is>
          <t>Hana184</t>
        </is>
      </c>
      <c r="C13" s="13" t="inlineStr">
        <is>
          <t>하나은행 USD 기한부 환가료율 184일(일괄선취)</t>
        </is>
      </c>
      <c r="D13" s="17" t="n">
        <v>0.06901409999999999</v>
      </c>
      <c r="E13" s="13" t="inlineStr">
        <is>
          <t>연율</t>
        </is>
      </c>
      <c r="F13" s="13" t="inlineStr">
        <is>
          <t>확인</t>
        </is>
      </c>
      <c r="G13" s="13" t="inlineStr">
        <is>
          <t>하나은행 기한부환가료율 [G03 10]</t>
        </is>
      </c>
      <c r="H13" s="13" t="inlineStr">
        <is>
          <t>2026-09-23</t>
        </is>
      </c>
      <c r="I13" s="13" t="inlineStr">
        <is>
          <t>123·184일 같은 구간</t>
        </is>
      </c>
      <c r="J13" s="15" t="inlineStr">
        <is>
          <t>https://www.kebhana.com/cms/rate/index.do?contentUrl=/cms/rate/wpfxd652_01i.do</t>
        </is>
      </c>
    </row>
    <row r="14">
      <c r="A14" s="12" t="inlineStr">
        <is>
          <t>P8_31D</t>
        </is>
      </c>
      <c r="B14" s="7" t="inlineStr">
        <is>
          <t>ImplSpread31</t>
        </is>
      </c>
      <c r="C14" s="13" t="inlineStr">
        <is>
          <t>암묵 가산금리 31일(고시 − Term SOFR 1M)</t>
        </is>
      </c>
      <c r="D14" s="18">
        <f>Hana31-TSOFR1M</f>
        <v/>
      </c>
      <c r="E14" s="13" t="inlineStr">
        <is>
          <t>%p</t>
        </is>
      </c>
      <c r="F14" s="13" t="inlineStr">
        <is>
          <t>계산</t>
        </is>
      </c>
      <c r="G14" s="13" t="inlineStr">
        <is>
          <t>P7_31D − P2 [G03 §2.2.3]</t>
        </is>
      </c>
      <c r="H14" s="13" t="inlineStr">
        <is>
          <t>2026-09-23</t>
        </is>
      </c>
      <c r="I14" s="13" t="inlineStr">
        <is>
          <t>우대 전 고시 기준 상한 성격</t>
        </is>
      </c>
      <c r="J14" s="15" t="inlineStr"/>
    </row>
    <row r="15">
      <c r="A15" s="12" t="inlineStr">
        <is>
          <t>P8_92D</t>
        </is>
      </c>
      <c r="B15" s="7" t="inlineStr">
        <is>
          <t>ImplSpread92</t>
        </is>
      </c>
      <c r="C15" s="13" t="inlineStr">
        <is>
          <t>암묵 가산금리 92일(고시 − Term SOFR 3M)</t>
        </is>
      </c>
      <c r="D15" s="18">
        <f>Hana92-TSOFR3M</f>
        <v/>
      </c>
      <c r="E15" s="13" t="inlineStr">
        <is>
          <t>%p</t>
        </is>
      </c>
      <c r="F15" s="13" t="inlineStr">
        <is>
          <t>계산</t>
        </is>
      </c>
      <c r="G15" s="13" t="inlineStr">
        <is>
          <t>P7_92D − P3 [G03 §2.2.3]</t>
        </is>
      </c>
      <c r="H15" s="13" t="inlineStr">
        <is>
          <t>2026-09-23</t>
        </is>
      </c>
      <c r="I15" s="13" t="inlineStr">
        <is>
          <t>C등급 은행 가산(P19_C 2.5%p)의 상한 근거</t>
        </is>
      </c>
      <c r="J15" s="15" t="inlineStr"/>
    </row>
    <row r="16">
      <c r="A16" s="12" t="inlineStr">
        <is>
          <t>P9_USD</t>
        </is>
      </c>
      <c r="B16" s="7" t="inlineStr">
        <is>
          <t>DayBasis</t>
        </is>
      </c>
      <c r="C16" s="13" t="inlineStr">
        <is>
          <t>일수 기준(USD)</t>
        </is>
      </c>
      <c r="D16" s="19" t="n">
        <v>360</v>
      </c>
      <c r="E16" s="13" t="inlineStr">
        <is>
          <t>일</t>
        </is>
      </c>
      <c r="F16" s="13" t="inlineStr">
        <is>
          <t>확인</t>
        </is>
      </c>
      <c r="G16" s="13" t="inlineStr">
        <is>
          <t>하나은행 환가료 공시 [G03 10]</t>
        </is>
      </c>
      <c r="H16" s="13" t="inlineStr">
        <is>
          <t>2026-09-23</t>
        </is>
      </c>
      <c r="I16" s="13" t="inlineStr">
        <is>
          <t>KRW·GBP·JPY 등은 365</t>
        </is>
      </c>
      <c r="J16" s="15" t="inlineStr">
        <is>
          <t>https://www.kebhana.com/cms/rate/index.do?contentUrl=/cms/rate/wpfxd652_01i.do</t>
        </is>
      </c>
    </row>
    <row r="17">
      <c r="A17" s="12" t="inlineStr">
        <is>
          <t>P9_KRW</t>
        </is>
      </c>
      <c r="B17" s="7" t="inlineStr">
        <is>
          <t>DayBasisKRW</t>
        </is>
      </c>
      <c r="C17" s="13" t="inlineStr">
        <is>
          <t>일수 기준(KRW)</t>
        </is>
      </c>
      <c r="D17" s="19" t="n">
        <v>365</v>
      </c>
      <c r="E17" s="13" t="inlineStr">
        <is>
          <t>일</t>
        </is>
      </c>
      <c r="F17" s="13" t="inlineStr">
        <is>
          <t>확인</t>
        </is>
      </c>
      <c r="G17" s="13" t="inlineStr">
        <is>
          <t>하나은행 환가료 공시 [G03 10]</t>
        </is>
      </c>
      <c r="H17" s="13" t="inlineStr">
        <is>
          <t>2026-09-23</t>
        </is>
      </c>
      <c r="I17" s="13" t="inlineStr"/>
      <c r="J17" s="15" t="inlineStr">
        <is>
          <t>https://www.kebhana.com/cms/rate/index.do?contentUrl=/cms/rate/wpfxd652_01i.do</t>
        </is>
      </c>
    </row>
    <row r="18">
      <c r="A18" s="12" t="inlineStr">
        <is>
          <t>P10</t>
        </is>
      </c>
      <c r="B18" s="7" t="inlineStr">
        <is>
          <t>Fee_KRW</t>
        </is>
      </c>
      <c r="C18" s="13" t="inlineStr">
        <is>
          <t>수출환어음 매입취급수수료</t>
        </is>
      </c>
      <c r="D18" s="20" t="n">
        <v>20000</v>
      </c>
      <c r="E18" s="13" t="inlineStr">
        <is>
          <t>원/건</t>
        </is>
      </c>
      <c r="F18" s="13" t="inlineStr">
        <is>
          <t>확인</t>
        </is>
      </c>
      <c r="G18" s="13" t="inlineStr">
        <is>
          <t>은행연합회 수출입수수료 비교공시 [G03 14]</t>
        </is>
      </c>
      <c r="H18" s="13" t="inlineStr">
        <is>
          <t>2026-09-26</t>
        </is>
      </c>
      <c r="I18" s="13" t="inlineStr">
        <is>
          <t>하나·우리·KB(외화) 2만 원, IBK 면제</t>
        </is>
      </c>
      <c r="J18" s="15" t="inlineStr">
        <is>
          <t>https://portal.kfb.or.kr/compare/commission_exchange_2.php</t>
        </is>
      </c>
    </row>
    <row r="19">
      <c r="A19" s="12" t="inlineStr">
        <is>
          <t>P11</t>
        </is>
      </c>
      <c r="B19" s="7" t="inlineStr">
        <is>
          <t>CollectFee</t>
        </is>
      </c>
      <c r="C19" s="13" t="inlineStr">
        <is>
          <t>수출환어음 추심수수료</t>
        </is>
      </c>
      <c r="D19" s="21" t="n">
        <v>0.001</v>
      </c>
      <c r="E19" s="13" t="inlineStr">
        <is>
          <t>건당 비율</t>
        </is>
      </c>
      <c r="F19" s="13" t="inlineStr">
        <is>
          <t>확인</t>
        </is>
      </c>
      <c r="G19" s="13" t="inlineStr">
        <is>
          <t>은행연합회 수출입수수료 비교공시 [G03 14]</t>
        </is>
      </c>
      <c r="H19" s="13" t="inlineStr">
        <is>
          <t>2026-09-26</t>
        </is>
      </c>
      <c r="I19" s="13" t="inlineStr">
        <is>
          <t>최저 1~2만·최고 3만 원(하나는 건당 2만 원)</t>
        </is>
      </c>
      <c r="J19" s="15" t="inlineStr">
        <is>
          <t>https://portal.kfb.or.kr/compare/commission_exchange_2.php</t>
        </is>
      </c>
    </row>
    <row r="20">
      <c r="A20" s="12" t="inlineStr">
        <is>
          <t>P12</t>
        </is>
      </c>
      <c r="B20" s="7" t="inlineStr">
        <is>
          <t>FactoringFee</t>
        </is>
      </c>
      <c r="C20" s="13" t="inlineStr">
        <is>
          <t>국제팩토링 취급수수료(IBK)</t>
        </is>
      </c>
      <c r="D20" s="21" t="n">
        <v>0.004</v>
      </c>
      <c r="E20" s="13" t="inlineStr">
        <is>
          <t>건당 비율</t>
        </is>
      </c>
      <c r="F20" s="13" t="inlineStr">
        <is>
          <t>확인</t>
        </is>
      </c>
      <c r="G20" s="13" t="inlineStr">
        <is>
          <t>IBK 수출입 이용수수료 [G03 16]</t>
        </is>
      </c>
      <c r="H20" s="13" t="inlineStr">
        <is>
          <t>2026-06-01</t>
        </is>
      </c>
      <c r="I20" s="13" t="inlineStr">
        <is>
          <t>추심 0.2%, 신용조회 건당 1만 원</t>
        </is>
      </c>
      <c r="J20" s="15" t="inlineStr">
        <is>
          <t>https://www.ibk.co.kr/inform/detailFee.ibk?category=E&amp;pageId=FM04010200</t>
        </is>
      </c>
    </row>
    <row r="21">
      <c r="A21" s="12" t="inlineStr">
        <is>
          <t>P13_AC</t>
        </is>
      </c>
      <c r="B21" s="7" t="inlineStr">
        <is>
          <t>KS_Direct_AC</t>
        </is>
      </c>
      <c r="C21" s="13" t="inlineStr">
        <is>
          <t>K-SURE 다이렉트 선적후 수입자 지정형 A~C급 요율</t>
        </is>
      </c>
      <c r="D21" s="21" t="n">
        <v>0.004</v>
      </c>
      <c r="E21" s="13" t="inlineStr">
        <is>
          <t>건당 비율</t>
        </is>
      </c>
      <c r="F21" s="13" t="inlineStr">
        <is>
          <t>확인</t>
        </is>
      </c>
      <c r="G21" s="13" t="inlineStr">
        <is>
          <t>무역보험 제도안내 2026.8 PDF 23쪽 [G03 19]</t>
        </is>
      </c>
      <c r="H21" s="13" t="inlineStr">
        <is>
          <t>2026-09-09</t>
        </is>
      </c>
      <c r="I21" s="13" t="inlineStr">
        <is>
          <t>수입자별 U$20만, 보상비율 95%</t>
        </is>
      </c>
      <c r="J21" s="15" t="inlineStr">
        <is>
          <t>https://www.ksure.or.kr/rh-kr/bbs/i-329/down.do?bbs_id=1014&amp;atfile_sn=1&amp;data_ty_cd=A&amp;ntt_sn=38033</t>
        </is>
      </c>
    </row>
    <row r="22">
      <c r="A22" s="12" t="inlineStr">
        <is>
          <t>P13_OTH</t>
        </is>
      </c>
      <c r="B22" s="7" t="inlineStr">
        <is>
          <t>KS_Direct_Oth</t>
        </is>
      </c>
      <c r="C22" s="13" t="inlineStr">
        <is>
          <t>K-SURE 다이렉트 선적후 수입자 지정형 그 외 등급 요율</t>
        </is>
      </c>
      <c r="D22" s="21" t="n">
        <v>0.005</v>
      </c>
      <c r="E22" s="13" t="inlineStr">
        <is>
          <t>건당 비율</t>
        </is>
      </c>
      <c r="F22" s="13" t="inlineStr">
        <is>
          <t>확인</t>
        </is>
      </c>
      <c r="G22" s="13" t="inlineStr">
        <is>
          <t>무역보험 제도안내 2026.8 PDF 23쪽 [G03 19]</t>
        </is>
      </c>
      <c r="H22" s="13" t="inlineStr">
        <is>
          <t>2026-09-09</t>
        </is>
      </c>
      <c r="I22" s="13" t="inlineStr">
        <is>
          <t>수입자별 U$10만</t>
        </is>
      </c>
      <c r="J22" s="15" t="inlineStr">
        <is>
          <t>https://www.ksure.or.kr/rh-kr/bbs/i-329/down.do?bbs_id=1014&amp;atfile_sn=1&amp;data_ty_cd=A&amp;ntt_sn=38033</t>
        </is>
      </c>
    </row>
    <row r="23">
      <c r="A23" s="12" t="inlineStr">
        <is>
          <t>P13_GEN</t>
        </is>
      </c>
      <c r="B23" s="7" t="inlineStr">
        <is>
          <t>KS_Direct_Gen</t>
        </is>
      </c>
      <c r="C23" s="13" t="inlineStr">
        <is>
          <t>K-SURE 다이렉트 선적후 일반형 요율</t>
        </is>
      </c>
      <c r="D23" s="21" t="n">
        <v>0.006</v>
      </c>
      <c r="E23" s="13" t="inlineStr">
        <is>
          <t>건당 비율</t>
        </is>
      </c>
      <c r="F23" s="13" t="inlineStr">
        <is>
          <t>확인</t>
        </is>
      </c>
      <c r="G23" s="13" t="inlineStr">
        <is>
          <t>무역보험 제도안내 2026.8 PDF 23쪽 [G03 19]</t>
        </is>
      </c>
      <c r="H23" s="13" t="inlineStr">
        <is>
          <t>2026-09-09</t>
        </is>
      </c>
      <c r="I23" s="13" t="inlineStr">
        <is>
          <t>건별 U$5만·수출자별 U$10만</t>
        </is>
      </c>
      <c r="J23" s="15" t="inlineStr">
        <is>
          <t>https://www.ksure.or.kr/rh-kr/bbs/i-329/down.do?bbs_id=1014&amp;atfile_sn=1&amp;data_ty_cd=A&amp;ntt_sn=38033</t>
        </is>
      </c>
    </row>
    <row r="24">
      <c r="A24" s="12" t="inlineStr">
        <is>
          <t>P14_LO</t>
        </is>
      </c>
      <c r="B24" s="7" t="inlineStr">
        <is>
          <t>KS_PlusLo</t>
        </is>
      </c>
      <c r="C24" s="13" t="inlineStr">
        <is>
          <t>K-SURE 중소중견Plus+ 무신용장(중소) 하한</t>
        </is>
      </c>
      <c r="D24" s="14" t="n">
        <v>0.008200000000000001</v>
      </c>
      <c r="E24" s="13" t="inlineStr">
        <is>
          <t>연율</t>
        </is>
      </c>
      <c r="F24" s="13" t="inlineStr">
        <is>
          <t>확인</t>
        </is>
      </c>
      <c r="G24" s="13" t="inlineStr">
        <is>
          <t>무역보험 제도안내 2026.8 PDF 26쪽 [G03 19]</t>
        </is>
      </c>
      <c r="H24" s="13" t="inlineStr">
        <is>
          <t>2026-09-09</t>
        </is>
      </c>
      <c r="I24" s="13" t="inlineStr">
        <is>
          <t>책임금액 구간별 누진</t>
        </is>
      </c>
      <c r="J24" s="15" t="inlineStr">
        <is>
          <t>https://www.ksure.or.kr/rh-kr/bbs/i-329/down.do?bbs_id=1014&amp;atfile_sn=1&amp;data_ty_cd=A&amp;ntt_sn=38033</t>
        </is>
      </c>
    </row>
    <row r="25">
      <c r="A25" s="12" t="inlineStr">
        <is>
          <t>P14_HI</t>
        </is>
      </c>
      <c r="B25" s="7" t="inlineStr">
        <is>
          <t>KS_PlusHi</t>
        </is>
      </c>
      <c r="C25" s="13" t="inlineStr">
        <is>
          <t>K-SURE 중소중견Plus+ 무신용장(중소) 상한</t>
        </is>
      </c>
      <c r="D25" s="14" t="n">
        <v>0.0162</v>
      </c>
      <c r="E25" s="13" t="inlineStr">
        <is>
          <t>연율</t>
        </is>
      </c>
      <c r="F25" s="13" t="inlineStr">
        <is>
          <t>확인</t>
        </is>
      </c>
      <c r="G25" s="13" t="inlineStr">
        <is>
          <t>무역보험 제도안내 2026.8 PDF 26쪽 [G03 19]</t>
        </is>
      </c>
      <c r="H25" s="13" t="inlineStr">
        <is>
          <t>2026-09-09</t>
        </is>
      </c>
      <c r="I25" s="13" t="inlineStr">
        <is>
          <t>중견 1.020~2.520%</t>
        </is>
      </c>
      <c r="J25" s="15" t="inlineStr">
        <is>
          <t>https://www.ksure.or.kr/rh-kr/bbs/i-329/down.do?bbs_id=1014&amp;atfile_sn=1&amp;data_ty_cd=A&amp;ntt_sn=38033</t>
        </is>
      </c>
    </row>
    <row r="26">
      <c r="A26" s="12" t="inlineStr">
        <is>
          <t>P15</t>
        </is>
      </c>
      <c r="B26" s="7" t="inlineStr">
        <is>
          <t>KS_PlusLC</t>
        </is>
      </c>
      <c r="C26" s="13" t="inlineStr">
        <is>
          <t>K-SURE 중소중견Plus+ 신용장</t>
        </is>
      </c>
      <c r="D26" s="14" t="n">
        <v>0.0022</v>
      </c>
      <c r="E26" s="13" t="inlineStr">
        <is>
          <t>연율</t>
        </is>
      </c>
      <c r="F26" s="13" t="inlineStr">
        <is>
          <t>확인</t>
        </is>
      </c>
      <c r="G26" s="13" t="inlineStr">
        <is>
          <t>무역보험 제도안내 2026.8 PDF 26쪽 [G03 19]</t>
        </is>
      </c>
      <c r="H26" s="13" t="inlineStr">
        <is>
          <t>2026-09-09</t>
        </is>
      </c>
      <c r="I26" s="13" t="inlineStr"/>
      <c r="J26" s="15" t="inlineStr">
        <is>
          <t>https://www.ksure.or.kr/rh-kr/bbs/i-329/down.do?bbs_id=1014&amp;atfile_sn=1&amp;data_ty_cd=A&amp;ntt_sn=38033</t>
        </is>
      </c>
    </row>
    <row r="27">
      <c r="A27" s="12" t="inlineStr">
        <is>
          <t>P16</t>
        </is>
      </c>
      <c r="B27" s="7" t="inlineStr">
        <is>
          <t>KS_Forfaiting</t>
        </is>
      </c>
      <c r="C27" s="13" t="inlineStr">
        <is>
          <t>포페이팅 보험</t>
        </is>
      </c>
      <c r="D27" s="14" t="n">
        <v>0.004</v>
      </c>
      <c r="E27" s="13" t="inlineStr">
        <is>
          <t>연율</t>
        </is>
      </c>
      <c r="F27" s="13" t="inlineStr">
        <is>
          <t>확인</t>
        </is>
      </c>
      <c r="G27" s="13" t="inlineStr">
        <is>
          <t>무역보험 제도안내 2026.8 PDF 33쪽 [G03 19]</t>
        </is>
      </c>
      <c r="H27" s="13" t="inlineStr">
        <is>
          <t>2026-09-09</t>
        </is>
      </c>
      <c r="I27" s="13" t="inlineStr">
        <is>
          <t>국가등급이 높을수록·개설은행 순자산이 클수록 저렴</t>
        </is>
      </c>
      <c r="J27" s="15" t="inlineStr">
        <is>
          <t>https://www.ksure.or.kr/rh-kr/bbs/i-329/down.do?bbs_id=1014&amp;atfile_sn=1&amp;data_ty_cd=A&amp;ntt_sn=38033</t>
        </is>
      </c>
    </row>
    <row r="28">
      <c r="A28" s="12" t="inlineStr">
        <is>
          <t>P17_LO</t>
        </is>
      </c>
      <c r="B28" s="7" t="inlineStr">
        <is>
          <t>KS_GuarLo</t>
        </is>
      </c>
      <c r="C28" s="13" t="inlineStr">
        <is>
          <t>수출신용보증(매입) 하한</t>
        </is>
      </c>
      <c r="D28" s="14" t="n">
        <v>0.005</v>
      </c>
      <c r="E28" s="13" t="inlineStr">
        <is>
          <t>연율</t>
        </is>
      </c>
      <c r="F28" s="13" t="inlineStr">
        <is>
          <t>확인</t>
        </is>
      </c>
      <c r="G28" s="13" t="inlineStr">
        <is>
          <t>무역보험 제도안내 2026.8 PDF 46쪽 [G03 19]</t>
        </is>
      </c>
      <c r="H28" s="13" t="inlineStr">
        <is>
          <t>2026-09-09</t>
        </is>
      </c>
      <c r="I28" s="13" t="inlineStr">
        <is>
          <t>포괄매입 0.25~0.85%(48쪽)</t>
        </is>
      </c>
      <c r="J28" s="15" t="inlineStr">
        <is>
          <t>https://www.ksure.or.kr/rh-kr/bbs/i-329/down.do?bbs_id=1014&amp;atfile_sn=1&amp;data_ty_cd=A&amp;ntt_sn=38033</t>
        </is>
      </c>
    </row>
    <row r="29">
      <c r="A29" s="12" t="inlineStr">
        <is>
          <t>P17_HI</t>
        </is>
      </c>
      <c r="B29" s="7" t="inlineStr">
        <is>
          <t>KS_GuarHi</t>
        </is>
      </c>
      <c r="C29" s="13" t="inlineStr">
        <is>
          <t>수출신용보증(매입) 상한</t>
        </is>
      </c>
      <c r="D29" s="14" t="n">
        <v>0.025</v>
      </c>
      <c r="E29" s="13" t="inlineStr">
        <is>
          <t>연율</t>
        </is>
      </c>
      <c r="F29" s="13" t="inlineStr">
        <is>
          <t>확인</t>
        </is>
      </c>
      <c r="G29" s="13" t="inlineStr">
        <is>
          <t>무역보험 제도안내 2026.8 PDF 46쪽 [G03 19]</t>
        </is>
      </c>
      <c r="H29" s="13" t="inlineStr">
        <is>
          <t>2026-09-09</t>
        </is>
      </c>
      <c r="I29" s="13" t="inlineStr"/>
      <c r="J29" s="15" t="inlineStr">
        <is>
          <t>https://www.ksure.or.kr/rh-kr/bbs/i-329/down.do?bbs_id=1014&amp;atfile_sn=1&amp;data_ty_cd=A&amp;ntt_sn=38033</t>
        </is>
      </c>
    </row>
    <row r="30">
      <c r="A30" s="12" t="inlineStr">
        <is>
          <t>P18</t>
        </is>
      </c>
      <c r="B30" s="7" t="inlineStr">
        <is>
          <t>Cov</t>
        </is>
      </c>
      <c r="C30" s="13" t="inlineStr">
        <is>
          <t>보상비율(다이렉트 선적후)</t>
        </is>
      </c>
      <c r="D30" s="21" t="n">
        <v>0.95</v>
      </c>
      <c r="E30" s="13" t="inlineStr">
        <is>
          <t>비율</t>
        </is>
      </c>
      <c r="F30" s="13" t="inlineStr">
        <is>
          <t>확인</t>
        </is>
      </c>
      <c r="G30" s="13" t="inlineStr">
        <is>
          <t>무역보험 제도안내 2026.8 PDF 23쪽 [G03 19]</t>
        </is>
      </c>
      <c r="H30" s="13" t="inlineStr">
        <is>
          <t>2026-09-09</t>
        </is>
      </c>
      <c r="I30" s="13" t="inlineStr">
        <is>
          <t>단기수출보험 중소기업 부보율은 100% — 실습은 보수적으로 95%</t>
        </is>
      </c>
      <c r="J30" s="15" t="inlineStr">
        <is>
          <t>https://www.ksure.or.kr/rh-kr/bbs/i-329/down.do?bbs_id=1014&amp;atfile_sn=1&amp;data_ty_cd=A&amp;ntt_sn=38033</t>
        </is>
      </c>
    </row>
    <row r="31">
      <c r="A31" s="12" t="inlineStr">
        <is>
          <t>P19_S</t>
        </is>
      </c>
      <c r="B31" s="7" t="inlineStr">
        <is>
          <t>Spread_S</t>
        </is>
      </c>
      <c r="C31" s="13" t="inlineStr">
        <is>
          <t>은행 가산금리 S</t>
        </is>
      </c>
      <c r="D31" s="22" t="n">
        <v>0.01</v>
      </c>
      <c r="E31" s="13" t="inlineStr">
        <is>
          <t>%p</t>
        </is>
      </c>
      <c r="F31" s="13" t="inlineStr">
        <is>
          <t>가정</t>
        </is>
      </c>
      <c r="G31" s="13" t="inlineStr">
        <is>
          <t>G03 P19 [가정]</t>
        </is>
      </c>
      <c r="H31" s="13" t="inlineStr"/>
      <c r="I31" s="13" t="inlineStr">
        <is>
          <t>C는 P8 92일(2.49%p) 상한</t>
        </is>
      </c>
      <c r="J31" s="15" t="inlineStr"/>
    </row>
    <row r="32">
      <c r="A32" s="12" t="inlineStr">
        <is>
          <t>P19_A</t>
        </is>
      </c>
      <c r="B32" s="7" t="inlineStr">
        <is>
          <t>Spread_A</t>
        </is>
      </c>
      <c r="C32" s="13" t="inlineStr">
        <is>
          <t>은행 가산금리 A</t>
        </is>
      </c>
      <c r="D32" s="22" t="n">
        <v>0.015</v>
      </c>
      <c r="E32" s="13" t="inlineStr">
        <is>
          <t>%p</t>
        </is>
      </c>
      <c r="F32" s="13" t="inlineStr">
        <is>
          <t>가정</t>
        </is>
      </c>
      <c r="G32" s="13" t="inlineStr">
        <is>
          <t>G03 P19 [가정]</t>
        </is>
      </c>
      <c r="H32" s="13" t="inlineStr"/>
      <c r="I32" s="13" t="inlineStr"/>
      <c r="J32" s="15" t="inlineStr"/>
    </row>
    <row r="33">
      <c r="A33" s="12" t="inlineStr">
        <is>
          <t>P19_B</t>
        </is>
      </c>
      <c r="B33" s="7" t="inlineStr">
        <is>
          <t>Spread_B</t>
        </is>
      </c>
      <c r="C33" s="13" t="inlineStr">
        <is>
          <t>은행 가산금리 B</t>
        </is>
      </c>
      <c r="D33" s="22" t="n">
        <v>0.02</v>
      </c>
      <c r="E33" s="13" t="inlineStr">
        <is>
          <t>%p</t>
        </is>
      </c>
      <c r="F33" s="13" t="inlineStr">
        <is>
          <t>가정</t>
        </is>
      </c>
      <c r="G33" s="13" t="inlineStr">
        <is>
          <t>G03 P19 [가정]</t>
        </is>
      </c>
      <c r="H33" s="13" t="inlineStr"/>
      <c r="I33" s="13" t="inlineStr"/>
      <c r="J33" s="15" t="inlineStr"/>
    </row>
    <row r="34">
      <c r="A34" s="12" t="inlineStr">
        <is>
          <t>P19_C</t>
        </is>
      </c>
      <c r="B34" s="7" t="inlineStr">
        <is>
          <t>Spread_C</t>
        </is>
      </c>
      <c r="C34" s="13" t="inlineStr">
        <is>
          <t>은행 가산금리 C</t>
        </is>
      </c>
      <c r="D34" s="22" t="n">
        <v>0.025</v>
      </c>
      <c r="E34" s="13" t="inlineStr">
        <is>
          <t>%p</t>
        </is>
      </c>
      <c r="F34" s="13" t="inlineStr">
        <is>
          <t>가정</t>
        </is>
      </c>
      <c r="G34" s="13" t="inlineStr">
        <is>
          <t>G03 P19 [가정]</t>
        </is>
      </c>
      <c r="H34" s="13" t="inlineStr"/>
      <c r="I34" s="13" t="inlineStr"/>
      <c r="J34" s="15" t="inlineStr"/>
    </row>
    <row r="35">
      <c r="A35" s="12" t="inlineStr">
        <is>
          <t>P20_S</t>
        </is>
      </c>
      <c r="B35" s="7" t="inlineStr">
        <is>
          <t>Prem_S</t>
        </is>
      </c>
      <c r="C35" s="13" t="inlineStr">
        <is>
          <t>K-SURE 보험료 S(90일 건당)</t>
        </is>
      </c>
      <c r="D35" s="23" t="n">
        <v>0.003</v>
      </c>
      <c r="E35" s="13" t="inlineStr">
        <is>
          <t>건당 비율</t>
        </is>
      </c>
      <c r="F35" s="13" t="inlineStr">
        <is>
          <t>가정</t>
        </is>
      </c>
      <c r="G35" s="13" t="inlineStr">
        <is>
          <t>G03 P20 [가정] — 요율표 비공개, P13~P15 앵커</t>
        </is>
      </c>
      <c r="H35" s="13" t="inlineStr"/>
      <c r="I35" s="13" t="inlineStr">
        <is>
          <t>연환산 = 요율 × 365 ÷ 결제기간</t>
        </is>
      </c>
      <c r="J35" s="15" t="inlineStr"/>
    </row>
    <row r="36">
      <c r="A36" s="12" t="inlineStr">
        <is>
          <t>P20_A</t>
        </is>
      </c>
      <c r="B36" s="7" t="inlineStr">
        <is>
          <t>Prem_A</t>
        </is>
      </c>
      <c r="C36" s="13" t="inlineStr">
        <is>
          <t>K-SURE 보험료 A(90일 건당)</t>
        </is>
      </c>
      <c r="D36" s="23" t="n">
        <v>0.004</v>
      </c>
      <c r="E36" s="13" t="inlineStr">
        <is>
          <t>건당 비율</t>
        </is>
      </c>
      <c r="F36" s="13" t="inlineStr">
        <is>
          <t>가정</t>
        </is>
      </c>
      <c r="G36" s="13" t="inlineStr">
        <is>
          <t>G03 P20 [가정]</t>
        </is>
      </c>
      <c r="H36" s="13" t="inlineStr"/>
      <c r="I36" s="13" t="inlineStr"/>
      <c r="J36" s="15" t="inlineStr"/>
    </row>
    <row r="37">
      <c r="A37" s="12" t="inlineStr">
        <is>
          <t>P20_B</t>
        </is>
      </c>
      <c r="B37" s="7" t="inlineStr">
        <is>
          <t>Prem_B</t>
        </is>
      </c>
      <c r="C37" s="13" t="inlineStr">
        <is>
          <t>K-SURE 보험료 B(90일 건당)</t>
        </is>
      </c>
      <c r="D37" s="23" t="n">
        <v>0.005</v>
      </c>
      <c r="E37" s="13" t="inlineStr">
        <is>
          <t>건당 비율</t>
        </is>
      </c>
      <c r="F37" s="13" t="inlineStr">
        <is>
          <t>가정</t>
        </is>
      </c>
      <c r="G37" s="13" t="inlineStr">
        <is>
          <t>G03 P20 [가정]</t>
        </is>
      </c>
      <c r="H37" s="13" t="inlineStr"/>
      <c r="I37" s="13" t="inlineStr"/>
      <c r="J37" s="15" t="inlineStr"/>
    </row>
    <row r="38">
      <c r="A38" s="12" t="inlineStr">
        <is>
          <t>P20_C</t>
        </is>
      </c>
      <c r="B38" s="7" t="inlineStr">
        <is>
          <t>Prem_C</t>
        </is>
      </c>
      <c r="C38" s="13" t="inlineStr">
        <is>
          <t>K-SURE 보험료 C(90일 건당)</t>
        </is>
      </c>
      <c r="D38" s="23" t="n">
        <v>0.01</v>
      </c>
      <c r="E38" s="13" t="inlineStr">
        <is>
          <t>건당 비율</t>
        </is>
      </c>
      <c r="F38" s="13" t="inlineStr">
        <is>
          <t>가정</t>
        </is>
      </c>
      <c r="G38" s="13" t="inlineStr">
        <is>
          <t>G03 P20 [가정]</t>
        </is>
      </c>
      <c r="H38" s="13" t="inlineStr"/>
      <c r="I38" s="13" t="inlineStr"/>
      <c r="J38" s="15" t="inlineStr"/>
    </row>
    <row r="39">
      <c r="A39" s="12" t="inlineStr">
        <is>
          <t>P21_S</t>
        </is>
      </c>
      <c r="B39" s="7" t="inlineStr">
        <is>
          <t>PD_S</t>
        </is>
      </c>
      <c r="C39" s="13" t="inlineStr">
        <is>
          <t>연 부도확률 S</t>
        </is>
      </c>
      <c r="D39" s="22" t="n">
        <v>0.005</v>
      </c>
      <c r="E39" s="13" t="inlineStr">
        <is>
          <t>연율</t>
        </is>
      </c>
      <c r="F39" s="13" t="inlineStr">
        <is>
          <t>가정</t>
        </is>
      </c>
      <c r="G39" s="13" t="inlineStr">
        <is>
          <t>G03 P21 [가정] — ICC 무역금융 부도율 참조</t>
        </is>
      </c>
      <c r="H39" s="13" t="inlineStr"/>
      <c r="I39" s="13" t="inlineStr"/>
      <c r="J39" s="15" t="inlineStr"/>
    </row>
    <row r="40">
      <c r="A40" s="12" t="inlineStr">
        <is>
          <t>P21_A</t>
        </is>
      </c>
      <c r="B40" s="7" t="inlineStr">
        <is>
          <t>PD_A</t>
        </is>
      </c>
      <c r="C40" s="13" t="inlineStr">
        <is>
          <t>연 부도확률 A</t>
        </is>
      </c>
      <c r="D40" s="22" t="n">
        <v>0.015</v>
      </c>
      <c r="E40" s="13" t="inlineStr">
        <is>
          <t>연율</t>
        </is>
      </c>
      <c r="F40" s="13" t="inlineStr">
        <is>
          <t>가정</t>
        </is>
      </c>
      <c r="G40" s="13" t="inlineStr">
        <is>
          <t>G03 P21 [가정]</t>
        </is>
      </c>
      <c r="H40" s="13" t="inlineStr"/>
      <c r="I40" s="13" t="inlineStr"/>
      <c r="J40" s="15" t="inlineStr"/>
    </row>
    <row r="41">
      <c r="A41" s="12" t="inlineStr">
        <is>
          <t>P21_B</t>
        </is>
      </c>
      <c r="B41" s="7" t="inlineStr">
        <is>
          <t>PD_B</t>
        </is>
      </c>
      <c r="C41" s="13" t="inlineStr">
        <is>
          <t>연 부도확률 B</t>
        </is>
      </c>
      <c r="D41" s="22" t="n">
        <v>0.04</v>
      </c>
      <c r="E41" s="13" t="inlineStr">
        <is>
          <t>연율</t>
        </is>
      </c>
      <c r="F41" s="13" t="inlineStr">
        <is>
          <t>가정</t>
        </is>
      </c>
      <c r="G41" s="13" t="inlineStr">
        <is>
          <t>G03 P21 [가정]</t>
        </is>
      </c>
      <c r="H41" s="13" t="inlineStr"/>
      <c r="I41" s="13" t="inlineStr"/>
      <c r="J41" s="15" t="inlineStr"/>
    </row>
    <row r="42">
      <c r="A42" s="12" t="inlineStr">
        <is>
          <t>P21_C</t>
        </is>
      </c>
      <c r="B42" s="7" t="inlineStr">
        <is>
          <t>PD_C</t>
        </is>
      </c>
      <c r="C42" s="13" t="inlineStr">
        <is>
          <t>연 부도확률 C</t>
        </is>
      </c>
      <c r="D42" s="22" t="n">
        <v>0.1</v>
      </c>
      <c r="E42" s="13" t="inlineStr">
        <is>
          <t>연율</t>
        </is>
      </c>
      <c r="F42" s="13" t="inlineStr">
        <is>
          <t>가정</t>
        </is>
      </c>
      <c r="G42" s="13" t="inlineStr">
        <is>
          <t>G03 P21 [가정] — Atradius 아시아 B2B 대손 약 5% 참조</t>
        </is>
      </c>
      <c r="H42" s="13" t="inlineStr"/>
      <c r="I42" s="13" t="inlineStr"/>
      <c r="J42" s="15" t="inlineStr"/>
    </row>
    <row r="43">
      <c r="A43" s="12" t="inlineStr">
        <is>
          <t>P22</t>
        </is>
      </c>
      <c r="B43" s="7" t="inlineStr">
        <is>
          <t>LGD</t>
        </is>
      </c>
      <c r="C43" s="13" t="inlineStr">
        <is>
          <t>부도 시 손실률(무보험)</t>
        </is>
      </c>
      <c r="D43" s="23" t="n">
        <v>0.6</v>
      </c>
      <c r="E43" s="13" t="inlineStr">
        <is>
          <t>비율</t>
        </is>
      </c>
      <c r="F43" s="13" t="inlineStr">
        <is>
          <t>가정</t>
        </is>
      </c>
      <c r="G43" s="13" t="inlineStr">
        <is>
          <t>G03 P22 [가정] — K-SURE 추심수수료 10~20%·1년 후 회수율 급감</t>
        </is>
      </c>
      <c r="H43" s="13" t="inlineStr"/>
      <c r="I43" s="13" t="inlineStr"/>
      <c r="J43" s="15" t="inlineStr"/>
    </row>
    <row r="44">
      <c r="A44" s="12" t="inlineStr">
        <is>
          <t>P23</t>
        </is>
      </c>
      <c r="B44" s="7" t="inlineStr">
        <is>
          <t>EarlyPay_2_10_30</t>
        </is>
      </c>
      <c r="C44" s="13" t="inlineStr">
        <is>
          <t>조기결제 할인 2/10 net 30 연환산</t>
        </is>
      </c>
      <c r="D44" s="18">
        <f>0.02/0.98*360/20</f>
        <v/>
      </c>
      <c r="E44" s="13" t="inlineStr">
        <is>
          <t>연율</t>
        </is>
      </c>
      <c r="F44" s="13" t="inlineStr">
        <is>
          <t>계산</t>
        </is>
      </c>
      <c r="G44" s="13" t="inlineStr">
        <is>
          <t>0.02 ÷ 0.98 × 360 ÷ 20 [G03 §2.5]</t>
        </is>
      </c>
      <c r="H44" s="13" t="inlineStr"/>
      <c r="I44" s="13" t="inlineStr">
        <is>
          <t>365일 기준 37.24% · 복리 44.59%</t>
        </is>
      </c>
      <c r="J44" s="15" t="inlineStr">
        <is>
          <t>https://taulia.com/glossary/what-is-dynamic-discounting/</t>
        </is>
      </c>
    </row>
    <row r="45">
      <c r="A45" s="12" t="inlineStr">
        <is>
          <t>P24</t>
        </is>
      </c>
      <c r="B45" s="7" t="inlineStr">
        <is>
          <t>Equity_USD</t>
        </is>
      </c>
      <c r="C45" s="13" t="inlineStr">
        <is>
          <t>자기자본(가상 회사)</t>
        </is>
      </c>
      <c r="D45" s="24" t="n">
        <v>10000000</v>
      </c>
      <c r="E45" s="13" t="inlineStr">
        <is>
          <t>USD</t>
        </is>
      </c>
      <c r="F45" s="13" t="inlineStr">
        <is>
          <t>교육용 가정</t>
        </is>
      </c>
      <c r="G45" s="13" t="inlineStr">
        <is>
          <t>03 Part2 §4.5 예시값(03 Part1 부록 B6 확정 필요)</t>
        </is>
      </c>
      <c r="H45" s="13" t="inlineStr"/>
      <c r="I45" s="13" t="inlineStr">
        <is>
          <t>🔵 자사 값으로 바꿔 해 찾기 다시 실행</t>
        </is>
      </c>
      <c r="J45" s="15" t="inlineStr"/>
    </row>
    <row r="46">
      <c r="A46" s="12" t="inlineStr">
        <is>
          <t>P25</t>
        </is>
      </c>
      <c r="B46" s="7" t="inlineStr">
        <is>
          <t>Alpha</t>
        </is>
      </c>
      <c r="C46" s="13" t="inlineStr">
        <is>
          <t>미부보 EL 예산 비율 α</t>
        </is>
      </c>
      <c r="D46" s="23" t="n">
        <v>0.03</v>
      </c>
      <c r="E46" s="13" t="inlineStr">
        <is>
          <t>비율</t>
        </is>
      </c>
      <c r="F46" s="13" t="inlineStr">
        <is>
          <t>가정</t>
        </is>
      </c>
      <c r="G46" s="13" t="inlineStr">
        <is>
          <t>G01 §2.5.1 방식⑦ · 여신관리규정 제16조</t>
        </is>
      </c>
      <c r="H46" s="13" t="inlineStr"/>
      <c r="I46" s="13" t="inlineStr">
        <is>
          <t>EL 예산 = 자기자본 × α</t>
        </is>
      </c>
      <c r="J46" s="15" t="inlineStr"/>
    </row>
    <row r="47">
      <c r="A47" s="12" t="inlineStr">
        <is>
          <t>P26_S</t>
        </is>
      </c>
      <c r="B47" s="7" t="inlineStr">
        <is>
          <t>s_S</t>
        </is>
      </c>
      <c r="C47" s="13" t="inlineStr">
        <is>
          <t>자기 감당 한도 비율 S</t>
        </is>
      </c>
      <c r="D47" s="23" t="n">
        <v>0.05</v>
      </c>
      <c r="E47" s="13" t="inlineStr">
        <is>
          <t>비율</t>
        </is>
      </c>
      <c r="F47" s="13" t="inlineStr">
        <is>
          <t>가정</t>
        </is>
      </c>
      <c r="G47" s="13" t="inlineStr">
        <is>
          <t>G01 §2.5.1(방식⑧ 25%를 보수적으로 축소)</t>
        </is>
      </c>
      <c r="H47" s="13" t="inlineStr"/>
      <c r="I47" s="13" t="inlineStr">
        <is>
          <t>Self = 자기자본 × s(g)</t>
        </is>
      </c>
      <c r="J47" s="15" t="inlineStr"/>
    </row>
    <row r="48">
      <c r="A48" s="12" t="inlineStr">
        <is>
          <t>P26_A</t>
        </is>
      </c>
      <c r="B48" s="7" t="inlineStr">
        <is>
          <t>s_A</t>
        </is>
      </c>
      <c r="C48" s="13" t="inlineStr">
        <is>
          <t>자기 감당 한도 비율 A</t>
        </is>
      </c>
      <c r="D48" s="23" t="n">
        <v>0.03</v>
      </c>
      <c r="E48" s="13" t="inlineStr">
        <is>
          <t>비율</t>
        </is>
      </c>
      <c r="F48" s="13" t="inlineStr">
        <is>
          <t>가정</t>
        </is>
      </c>
      <c r="G48" s="13" t="inlineStr">
        <is>
          <t>G01 §2.5.1</t>
        </is>
      </c>
      <c r="H48" s="13" t="inlineStr"/>
      <c r="I48" s="13" t="inlineStr"/>
      <c r="J48" s="15" t="inlineStr"/>
    </row>
    <row r="49">
      <c r="A49" s="12" t="inlineStr">
        <is>
          <t>P26_B</t>
        </is>
      </c>
      <c r="B49" s="7" t="inlineStr">
        <is>
          <t>s_B</t>
        </is>
      </c>
      <c r="C49" s="13" t="inlineStr">
        <is>
          <t>자기 감당 한도 비율 B</t>
        </is>
      </c>
      <c r="D49" s="23" t="n">
        <v>0.01</v>
      </c>
      <c r="E49" s="13" t="inlineStr">
        <is>
          <t>비율</t>
        </is>
      </c>
      <c r="F49" s="13" t="inlineStr">
        <is>
          <t>가정</t>
        </is>
      </c>
      <c r="G49" s="13" t="inlineStr">
        <is>
          <t>G01 §2.5.1</t>
        </is>
      </c>
      <c r="H49" s="13" t="inlineStr"/>
      <c r="I49" s="13" t="inlineStr"/>
      <c r="J49" s="15" t="inlineStr"/>
    </row>
    <row r="50">
      <c r="A50" s="12" t="inlineStr">
        <is>
          <t>P26_C</t>
        </is>
      </c>
      <c r="B50" s="7" t="inlineStr">
        <is>
          <t>s_C</t>
        </is>
      </c>
      <c r="C50" s="13" t="inlineStr">
        <is>
          <t>자기 감당 한도 비율 C</t>
        </is>
      </c>
      <c r="D50" s="23" t="n">
        <v>0</v>
      </c>
      <c r="E50" s="13" t="inlineStr">
        <is>
          <t>비율</t>
        </is>
      </c>
      <c r="F50" s="13" t="inlineStr">
        <is>
          <t>가정</t>
        </is>
      </c>
      <c r="G50" s="13" t="inlineStr">
        <is>
          <t>G01 §2.5.1</t>
        </is>
      </c>
      <c r="H50" s="13" t="inlineStr"/>
      <c r="I50" s="13" t="inlineStr"/>
      <c r="J50" s="15" t="inlineStr"/>
    </row>
    <row r="51">
      <c r="A51" s="12" t="inlineStr">
        <is>
          <t>P27</t>
        </is>
      </c>
      <c r="B51" s="7" t="inlineStr">
        <is>
          <t>Fed_Lo</t>
        </is>
      </c>
      <c r="C51" s="13" t="inlineStr">
        <is>
          <t>연준 목표범위 하단</t>
        </is>
      </c>
      <c r="D51" s="14" t="n">
        <v>0.0375</v>
      </c>
      <c r="E51" s="13" t="inlineStr">
        <is>
          <t>연율</t>
        </is>
      </c>
      <c r="F51" s="13" t="inlineStr">
        <is>
          <t>확인</t>
        </is>
      </c>
      <c r="G51" s="13" t="inlineStr">
        <is>
          <t>FOMC 성명 2026-09-16 [G03 4]</t>
        </is>
      </c>
      <c r="H51" s="13" t="inlineStr">
        <is>
          <t>2026-09-16</t>
        </is>
      </c>
      <c r="I51" s="13" t="inlineStr">
        <is>
          <t>+25bp(12:0) — 3.50~3.75% → 3.75~4.00%</t>
        </is>
      </c>
      <c r="J51" s="15" t="inlineStr">
        <is>
          <t>https://www.federalreserve.gov/newsevents/pressreleases/monetary20260916a.htm</t>
        </is>
      </c>
    </row>
    <row r="52">
      <c r="A52" s="12" t="inlineStr">
        <is>
          <t>P28</t>
        </is>
      </c>
      <c r="B52" s="7" t="inlineStr">
        <is>
          <t>Fed_Hi</t>
        </is>
      </c>
      <c r="C52" s="13" t="inlineStr">
        <is>
          <t>연준 목표범위 상단</t>
        </is>
      </c>
      <c r="D52" s="14" t="n">
        <v>0.04</v>
      </c>
      <c r="E52" s="13" t="inlineStr">
        <is>
          <t>연율</t>
        </is>
      </c>
      <c r="F52" s="13" t="inlineStr">
        <is>
          <t>확인</t>
        </is>
      </c>
      <c r="G52" s="13" t="inlineStr">
        <is>
          <t>FOMC 성명 2026-09-16 [G03 4]</t>
        </is>
      </c>
      <c r="H52" s="13" t="inlineStr">
        <is>
          <t>2026-09-16</t>
        </is>
      </c>
      <c r="I52" s="13" t="inlineStr"/>
      <c r="J52" s="15" t="inlineStr">
        <is>
          <t>https://www.federalreserve.gov/newsevents/pressreleases/monetary20260916a.htm</t>
        </is>
      </c>
    </row>
    <row r="53">
      <c r="A53" s="12" t="inlineStr">
        <is>
          <t>P29</t>
        </is>
      </c>
      <c r="B53" s="7" t="inlineStr">
        <is>
          <t>Tenor</t>
        </is>
      </c>
      <c r="C53" s="13" t="inlineStr">
        <is>
          <t>할인율 표 기준 기간</t>
        </is>
      </c>
      <c r="D53" s="25" t="n">
        <v>90</v>
      </c>
      <c r="E53" s="13" t="inlineStr">
        <is>
          <t>일</t>
        </is>
      </c>
      <c r="F53" s="13" t="inlineStr">
        <is>
          <t>교육용 가정</t>
        </is>
      </c>
      <c r="G53" s="13" t="inlineStr">
        <is>
          <t>G03 §2.8 예제</t>
        </is>
      </c>
      <c r="H53" s="13" t="inlineStr"/>
      <c r="I53" s="13" t="inlineStr">
        <is>
          <t>03_RateBuild 검산표(USD 100,000·90일)</t>
        </is>
      </c>
      <c r="J53" s="15" t="inlineStr"/>
    </row>
    <row r="54">
      <c r="A54" s="12" t="inlineStr">
        <is>
          <t>P30</t>
        </is>
      </c>
      <c r="B54" s="7" t="inlineStr">
        <is>
          <t>Grace</t>
        </is>
      </c>
      <c r="C54" s="13" t="inlineStr">
        <is>
          <t>필요한도 유예일</t>
        </is>
      </c>
      <c r="D54" s="25" t="n">
        <v>15</v>
      </c>
      <c r="E54" s="13" t="inlineStr">
        <is>
          <t>일</t>
        </is>
      </c>
      <c r="F54" s="13" t="inlineStr">
        <is>
          <t>가정</t>
        </is>
      </c>
      <c r="G54" s="13" t="inlineStr">
        <is>
          <t>G01 방식⑤ · 여신관리규정 제13조</t>
        </is>
      </c>
      <c r="H54" s="13" t="inlineStr"/>
      <c r="I54" s="13" t="inlineStr">
        <is>
          <t>Need = 월평균 매출 × (결제기간 + 15) ÷ 30</t>
        </is>
      </c>
      <c r="J54" s="15" t="inlineStr"/>
    </row>
    <row r="55">
      <c r="A55" s="12" t="inlineStr">
        <is>
          <t>P31_A</t>
        </is>
      </c>
      <c r="B55" s="7" t="inlineStr">
        <is>
          <t>Cap_A</t>
        </is>
      </c>
      <c r="C55" s="13" t="inlineStr">
        <is>
          <t>등급 상한 A</t>
        </is>
      </c>
      <c r="D55" s="24" t="n">
        <v>200000</v>
      </c>
      <c r="E55" s="13" t="inlineStr">
        <is>
          <t>USD</t>
        </is>
      </c>
      <c r="F55" s="13" t="inlineStr">
        <is>
          <t>가정</t>
        </is>
      </c>
      <c r="G55" s="13" t="inlineStr">
        <is>
          <t>K-SURE 다이렉트 A~C U$20만 앵커 [R01][spine §6]</t>
        </is>
      </c>
      <c r="H55" s="13" t="inlineStr"/>
      <c r="I55" s="13" t="inlineStr">
        <is>
          <t>S는 상한 없이 Need</t>
        </is>
      </c>
      <c r="J55" s="15" t="inlineStr"/>
    </row>
    <row r="56">
      <c r="A56" s="12" t="inlineStr">
        <is>
          <t>P31_B</t>
        </is>
      </c>
      <c r="B56" s="7" t="inlineStr">
        <is>
          <t>Cap_B</t>
        </is>
      </c>
      <c r="C56" s="13" t="inlineStr">
        <is>
          <t>등급 상한 B</t>
        </is>
      </c>
      <c r="D56" s="24" t="n">
        <v>100000</v>
      </c>
      <c r="E56" s="13" t="inlineStr">
        <is>
          <t>USD</t>
        </is>
      </c>
      <c r="F56" s="13" t="inlineStr">
        <is>
          <t>가정</t>
        </is>
      </c>
      <c r="G56" s="13" t="inlineStr">
        <is>
          <t>K-SURE 다이렉트 그 외 U$10만 앵커</t>
        </is>
      </c>
      <c r="H56" s="13" t="inlineStr"/>
      <c r="I56" s="13" t="inlineStr"/>
      <c r="J56" s="15" t="inlineStr"/>
    </row>
    <row r="57">
      <c r="A57" s="12" t="inlineStr">
        <is>
          <t>P31_C</t>
        </is>
      </c>
      <c r="B57" s="7" t="inlineStr">
        <is>
          <t>Cap_C_OA</t>
        </is>
      </c>
      <c r="C57" s="13" t="inlineStr">
        <is>
          <t>등급 상한 C(외상)</t>
        </is>
      </c>
      <c r="D57" s="24" t="n">
        <v>0</v>
      </c>
      <c r="E57" s="13" t="inlineStr">
        <is>
          <t>USD</t>
        </is>
      </c>
      <c r="F57" s="13" t="inlineStr">
        <is>
          <t>가정</t>
        </is>
      </c>
      <c r="G57" s="13" t="inlineStr">
        <is>
          <t>G01 방식⑩ · 여신관리규정 제10조·제13조② — C는 선수금·L/C만</t>
        </is>
      </c>
      <c r="H57" s="13" t="inlineStr"/>
      <c r="I57" s="13" t="inlineStr"/>
      <c r="J57" s="15" t="inlineStr"/>
    </row>
    <row r="58">
      <c r="A58" s="12" t="inlineStr">
        <is>
          <t>P32</t>
        </is>
      </c>
      <c r="B58" s="7" t="inlineStr">
        <is>
          <t>ShareCap_B</t>
        </is>
      </c>
      <c r="C58" s="13" t="inlineStr">
        <is>
          <t>B등급 한도 합 상한(총허용익스포저 대비)</t>
        </is>
      </c>
      <c r="D58" s="23" t="n">
        <v>0.3</v>
      </c>
      <c r="E58" s="13" t="inlineStr">
        <is>
          <t>비율</t>
        </is>
      </c>
      <c r="F58" s="13" t="inlineStr">
        <is>
          <t>교육용 가정</t>
        </is>
      </c>
      <c r="G58" s="13" t="inlineStr">
        <is>
          <t>03 Part2 §4.5</t>
        </is>
      </c>
      <c r="H58" s="13" t="inlineStr"/>
      <c r="I58" s="13" t="inlineStr"/>
      <c r="J58" s="15" t="inlineStr"/>
    </row>
    <row r="59">
      <c r="A59" s="12" t="inlineStr">
        <is>
          <t>P33_02</t>
        </is>
      </c>
      <c r="B59" s="7" t="inlineStr">
        <is>
          <t>CtryCap_02</t>
        </is>
      </c>
      <c r="C59" s="13" t="inlineStr">
        <is>
          <t>국가 한도율: OECD CRC 미분류·0~2</t>
        </is>
      </c>
      <c r="D59" s="23" t="n">
        <v>0.2</v>
      </c>
      <c r="E59" s="13" t="inlineStr">
        <is>
          <t>비율</t>
        </is>
      </c>
      <c r="F59" s="13" t="inlineStr">
        <is>
          <t>교육용 가정</t>
        </is>
      </c>
      <c r="G59" s="13" t="inlineStr">
        <is>
          <t>03 Part2 §4.5 · OECD CRC 2026-06-26</t>
        </is>
      </c>
      <c r="H59" s="13" t="inlineStr"/>
      <c r="I59" s="13" t="inlineStr">
        <is>
          <t>총허용익스포저 대비</t>
        </is>
      </c>
      <c r="J59" s="15" t="inlineStr"/>
    </row>
    <row r="60">
      <c r="A60" s="12" t="inlineStr">
        <is>
          <t>P33_3</t>
        </is>
      </c>
      <c r="B60" s="7" t="inlineStr">
        <is>
          <t>CtryCap_3</t>
        </is>
      </c>
      <c r="C60" s="13" t="inlineStr">
        <is>
          <t>국가 한도율: CRC 3</t>
        </is>
      </c>
      <c r="D60" s="23" t="n">
        <v>0.12</v>
      </c>
      <c r="E60" s="13" t="inlineStr">
        <is>
          <t>비율</t>
        </is>
      </c>
      <c r="F60" s="13" t="inlineStr">
        <is>
          <t>교육용 가정</t>
        </is>
      </c>
      <c r="G60" s="13" t="inlineStr">
        <is>
          <t>03 Part2 §4.5</t>
        </is>
      </c>
      <c r="H60" s="13" t="inlineStr"/>
      <c r="I60" s="13" t="inlineStr"/>
      <c r="J60" s="15" t="inlineStr"/>
    </row>
    <row r="61">
      <c r="A61" s="12" t="inlineStr">
        <is>
          <t>P33_45</t>
        </is>
      </c>
      <c r="B61" s="7" t="inlineStr">
        <is>
          <t>CtryCap_45</t>
        </is>
      </c>
      <c r="C61" s="13" t="inlineStr">
        <is>
          <t>국가 한도율: CRC 4~5</t>
        </is>
      </c>
      <c r="D61" s="23" t="n">
        <v>0.06</v>
      </c>
      <c r="E61" s="13" t="inlineStr">
        <is>
          <t>비율</t>
        </is>
      </c>
      <c r="F61" s="13" t="inlineStr">
        <is>
          <t>교육용 가정</t>
        </is>
      </c>
      <c r="G61" s="13" t="inlineStr">
        <is>
          <t>03 Part2 §4.5</t>
        </is>
      </c>
      <c r="H61" s="13" t="inlineStr"/>
      <c r="I61" s="13" t="inlineStr"/>
      <c r="J61" s="15" t="inlineStr"/>
    </row>
    <row r="62">
      <c r="A62" s="12" t="inlineStr">
        <is>
          <t>P33_67</t>
        </is>
      </c>
      <c r="B62" s="7" t="inlineStr">
        <is>
          <t>CtryCap_67</t>
        </is>
      </c>
      <c r="C62" s="13" t="inlineStr">
        <is>
          <t>국가 한도율: CRC 6~7</t>
        </is>
      </c>
      <c r="D62" s="23" t="n">
        <v>0.03</v>
      </c>
      <c r="E62" s="13" t="inlineStr">
        <is>
          <t>비율</t>
        </is>
      </c>
      <c r="F62" s="13" t="inlineStr">
        <is>
          <t>교육용 가정</t>
        </is>
      </c>
      <c r="G62" s="13" t="inlineStr">
        <is>
          <t>03 Part2 §4.5</t>
        </is>
      </c>
      <c r="H62" s="13" t="inlineStr"/>
      <c r="I62" s="13" t="inlineStr"/>
      <c r="J62" s="15" t="inlineStr"/>
    </row>
    <row r="63">
      <c r="A63" s="12" t="inlineStr">
        <is>
          <t>P34</t>
        </is>
      </c>
      <c r="B63" s="7" t="inlineStr">
        <is>
          <t>TotalCapShare</t>
        </is>
      </c>
      <c r="C63" s="13" t="inlineStr">
        <is>
          <t>총허용익스포저 = 상한 합 × 이 비율(10만 단위 반올림)</t>
        </is>
      </c>
      <c r="D63" s="23" t="n">
        <v>0.7</v>
      </c>
      <c r="E63" s="13" t="inlineStr">
        <is>
          <t>비율</t>
        </is>
      </c>
      <c r="F63" s="13" t="inlineStr">
        <is>
          <t>교육용 가정</t>
        </is>
      </c>
      <c r="G63" s="13" t="inlineStr">
        <is>
          <t>03 Part2 §4.5 · G01 방식⑦</t>
        </is>
      </c>
      <c r="H63" s="13" t="inlineStr"/>
      <c r="I63" s="13" t="inlineStr">
        <is>
          <t>70% → 총량 제약이 반드시 걸린다(우선순위가 생긴다)</t>
        </is>
      </c>
      <c r="J63" s="15" t="inlineStr"/>
    </row>
    <row r="64">
      <c r="A64" s="12" t="inlineStr">
        <is>
          <t>P35</t>
        </is>
      </c>
      <c r="B64" s="7" t="inlineStr">
        <is>
          <t>Util</t>
        </is>
      </c>
      <c r="C64" s="13" t="inlineStr">
        <is>
          <t>평균 한도 사용률</t>
        </is>
      </c>
      <c r="D64" s="23" t="n">
        <v>0.7</v>
      </c>
      <c r="E64" s="13" t="inlineStr">
        <is>
          <t>비율</t>
        </is>
      </c>
      <c r="F64" s="13" t="inlineStr">
        <is>
          <t>교육용 가정</t>
        </is>
      </c>
      <c r="G64" s="13" t="inlineStr">
        <is>
          <t>03 Part2 §4.5</t>
        </is>
      </c>
      <c r="H64" s="13" t="inlineStr"/>
      <c r="I64" s="13" t="inlineStr"/>
      <c r="J64" s="15" t="inlineStr"/>
    </row>
    <row r="65">
      <c r="A65" s="12" t="inlineStr">
        <is>
          <t>P36</t>
        </is>
      </c>
      <c r="B65" s="7" t="inlineStr">
        <is>
          <t>GM</t>
        </is>
      </c>
      <c r="C65" s="13" t="inlineStr">
        <is>
          <t>매출총이익률</t>
        </is>
      </c>
      <c r="D65" s="23" t="n">
        <v>0.25</v>
      </c>
      <c r="E65" s="13" t="inlineStr">
        <is>
          <t>비율</t>
        </is>
      </c>
      <c r="F65" s="13" t="inlineStr">
        <is>
          <t>교육용 가정</t>
        </is>
      </c>
      <c r="G65" s="13" t="inlineStr">
        <is>
          <t>03 Part2 §4.5</t>
        </is>
      </c>
      <c r="H65" s="13" t="inlineStr"/>
      <c r="I65" s="13" t="inlineStr"/>
      <c r="J65" s="15" t="inlineStr"/>
    </row>
    <row r="66">
      <c r="A66" s="12" t="inlineStr">
        <is>
          <t>P37</t>
        </is>
      </c>
      <c r="B66" s="7" t="inlineStr">
        <is>
          <t>StratMin</t>
        </is>
      </c>
      <c r="C66" s="13" t="inlineStr">
        <is>
          <t>전략 바이어 최소 한도(현행 한도 대비)</t>
        </is>
      </c>
      <c r="D66" s="23" t="n">
        <v>0.5</v>
      </c>
      <c r="E66" s="13" t="inlineStr">
        <is>
          <t>비율</t>
        </is>
      </c>
      <c r="F66" s="13" t="inlineStr">
        <is>
          <t>교육용 가정</t>
        </is>
      </c>
      <c r="G66" s="13" t="inlineStr">
        <is>
          <t>03 Part2 §4.5</t>
        </is>
      </c>
      <c r="H66" s="13" t="inlineStr"/>
      <c r="I66" s="13" t="inlineStr"/>
      <c r="J66" s="15" t="inlineStr"/>
    </row>
    <row r="67">
      <c r="A67" s="12" t="inlineStr">
        <is>
          <t>P38</t>
        </is>
      </c>
      <c r="B67" s="7" t="inlineStr">
        <is>
          <t>NoticeWarnDays</t>
        </is>
      </c>
      <c r="C67" s="13" t="inlineStr">
        <is>
          <t>K-SURE 통지 기한 임박 경보 일수</t>
        </is>
      </c>
      <c r="D67" s="25" t="n">
        <v>10</v>
      </c>
      <c r="E67" s="13" t="inlineStr">
        <is>
          <t>일</t>
        </is>
      </c>
      <c r="F67" s="13" t="inlineStr">
        <is>
          <t>교육용 가정</t>
        </is>
      </c>
      <c r="G67" s="13" t="inlineStr">
        <is>
          <t>03 Part2 §4.5</t>
        </is>
      </c>
      <c r="H67" s="13" t="inlineStr"/>
      <c r="I67" s="13" t="inlineStr"/>
      <c r="J67" s="15" t="inlineStr"/>
    </row>
    <row r="68">
      <c r="A68" s="12" t="inlineStr">
        <is>
          <t>P39</t>
        </is>
      </c>
      <c r="B68" s="7" t="inlineStr">
        <is>
          <t>LGD_LC</t>
        </is>
      </c>
      <c r="C68" s="13" t="inlineStr">
        <is>
          <t>신용장 거래 LGD</t>
        </is>
      </c>
      <c r="D68" s="23" t="n">
        <v>0.1</v>
      </c>
      <c r="E68" s="13" t="inlineStr">
        <is>
          <t>비율</t>
        </is>
      </c>
      <c r="F68" s="13" t="inlineStr">
        <is>
          <t>교육용 가정</t>
        </is>
      </c>
      <c r="G68" s="13" t="inlineStr">
        <is>
          <t>은행 지급확약 — 서류 하자 등 잔여 위험만</t>
        </is>
      </c>
      <c r="H68" s="13" t="inlineStr"/>
      <c r="I68" s="13" t="inlineStr"/>
      <c r="J68" s="15" t="inlineStr"/>
    </row>
    <row r="69">
      <c r="A69" s="12" t="inlineStr">
        <is>
          <t>P40</t>
        </is>
      </c>
      <c r="B69" s="7" t="inlineStr">
        <is>
          <t>Rho</t>
        </is>
      </c>
      <c r="C69" s="13" t="inlineStr">
        <is>
          <t>몬테카를로 공통요인 상관 ρ</t>
        </is>
      </c>
      <c r="D69" s="23" t="n">
        <v>0</v>
      </c>
      <c r="E69" s="13" t="inlineStr">
        <is>
          <t>비율</t>
        </is>
      </c>
      <c r="F69" s="13" t="inlineStr">
        <is>
          <t>교육용 가정</t>
        </is>
      </c>
      <c r="G69" s="13" t="inlineStr">
        <is>
          <t>03 Part2 §4.11 — 0 = 독립(Excel 기본)</t>
        </is>
      </c>
      <c r="H69" s="13" t="inlineStr"/>
      <c r="I69" s="13" t="inlineStr">
        <is>
          <t>🟣 0.2로 바꿔 꼬리위험 비교</t>
        </is>
      </c>
      <c r="J69" s="15" t="inlineStr"/>
    </row>
    <row r="71">
      <c r="A71" s="4" t="inlineStr">
        <is>
          <t>워크북 전용(파일에 없는 값)</t>
        </is>
      </c>
    </row>
    <row r="72">
      <c r="A72" s="12" t="inlineStr">
        <is>
          <t>W1</t>
        </is>
      </c>
      <c r="B72" s="7" t="inlineStr">
        <is>
          <t>AsOf</t>
        </is>
      </c>
      <c r="C72" s="13" t="inlineStr">
        <is>
          <t>기준일(조기경보·연체일 계산)</t>
        </is>
      </c>
      <c r="D72" s="26" t="n">
        <v>46295</v>
      </c>
      <c r="F72" s="13" t="inlineStr">
        <is>
          <t>교육용 가정</t>
        </is>
      </c>
      <c r="I72" s="13" t="inlineStr">
        <is>
          <t>데이터 기준일</t>
        </is>
      </c>
    </row>
    <row r="73">
      <c r="A73" s="12" t="inlineStr">
        <is>
          <t>W2</t>
        </is>
      </c>
      <c r="B73" s="7" t="inlineStr">
        <is>
          <t>GradeRule</t>
        </is>
      </c>
      <c r="C73" s="13" t="inlineStr">
        <is>
          <t>한도·PD에 쓰는 등급 규칙(t = Day3 정본 · quantile = 분위수 15/35/35/15)</t>
        </is>
      </c>
      <c r="D73" s="27" t="inlineStr">
        <is>
          <t>t</t>
        </is>
      </c>
      <c r="F73" s="13" t="inlineStr">
        <is>
          <t>교육용 가정</t>
        </is>
      </c>
      <c r="I73" s="13" t="inlineStr">
        <is>
          <t>🔵 quantile로 바꿔 해 찾기 다시 실행 → 결과 비교</t>
        </is>
      </c>
    </row>
    <row r="74">
      <c r="A74" s="12" t="inlineStr">
        <is>
          <t>W3</t>
        </is>
      </c>
      <c r="B74" s="7" t="inlineStr">
        <is>
          <t>InsuranceType</t>
        </is>
      </c>
      <c r="C74" s="13" t="inlineStr">
        <is>
          <t>수출통지 기한 기본 보험 유형(개별 / 포괄)</t>
        </is>
      </c>
      <c r="D74" s="27" t="inlineStr">
        <is>
          <t>개별</t>
        </is>
      </c>
      <c r="F74" s="13" t="inlineStr">
        <is>
          <t>교육용 가정</t>
        </is>
      </c>
      <c r="I74" s="13" t="inlineStr">
        <is>
          <t>약관 제16조 — 회사별 설정</t>
        </is>
      </c>
    </row>
    <row r="75">
      <c r="A75" s="12" t="inlineStr">
        <is>
          <t>W4</t>
        </is>
      </c>
      <c r="B75" s="7" t="inlineStr">
        <is>
          <t>SaleWeek</t>
        </is>
      </c>
      <c r="C75" s="13" t="inlineStr">
        <is>
          <t>매입 의뢰 주(07_Solver)</t>
        </is>
      </c>
      <c r="D75" s="25" t="n">
        <v>3</v>
      </c>
      <c r="F75" s="13" t="inlineStr">
        <is>
          <t>교육용 가정</t>
        </is>
      </c>
      <c r="I75" s="13" t="inlineStr">
        <is>
          <t>G03 §2.8 Step 4</t>
        </is>
      </c>
    </row>
    <row r="76">
      <c r="A76" s="12" t="inlineStr">
        <is>
          <t>W5</t>
        </is>
      </c>
      <c r="B76" s="7" t="inlineStr">
        <is>
          <t>Cash0</t>
        </is>
      </c>
      <c r="C76" s="13" t="inlineStr">
        <is>
          <t>기초현금(USD천, 06_WeeklyGap)</t>
        </is>
      </c>
      <c r="D76" s="28" t="n">
        <v>80</v>
      </c>
      <c r="F76" s="13" t="inlineStr">
        <is>
          <t>교육용 가정</t>
        </is>
      </c>
      <c r="I76" s="13" t="inlineStr">
        <is>
          <t>G03 §2.8 Step 4</t>
        </is>
      </c>
    </row>
    <row r="77">
      <c r="A77" s="12" t="inlineStr">
        <is>
          <t>W6</t>
        </is>
      </c>
      <c r="B77" s="7" t="inlineStr">
        <is>
          <t>CheckAmt</t>
        </is>
      </c>
      <c r="C77" s="13" t="inlineStr">
        <is>
          <t>검산 채권 금액(USD, 03_RateBuild·05_NPV)</t>
        </is>
      </c>
      <c r="D77" s="24" t="n">
        <v>100000</v>
      </c>
      <c r="F77" s="13" t="inlineStr">
        <is>
          <t>교육용 가정</t>
        </is>
      </c>
      <c r="I77" s="13" t="inlineStr">
        <is>
          <t>G03 §2.8 Step 2</t>
        </is>
      </c>
    </row>
  </sheetData>
  <dataValidations count="2">
    <dataValidation sqref="D73" showDropDown="0" showInputMessage="0" showErrorMessage="0" allowBlank="0" type="list">
      <formula1>"t,quantile"</formula1>
    </dataValidation>
    <dataValidation sqref="D74" showDropDown="0" showInputMessage="0" showErrorMessage="0" allowBlank="0" type="list">
      <formula1>"개별,포괄"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BI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40" customWidth="1" min="16" max="16"/>
    <col width="11" customWidth="1" min="17" max="17"/>
    <col width="2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7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0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29" t="inlineStr">
        <is>
          <t>buyer_id</t>
        </is>
      </c>
      <c r="B1" s="29" t="inlineStr">
        <is>
          <t>ref_date</t>
        </is>
      </c>
      <c r="C1" s="29" t="inlineStr">
        <is>
          <t>pd_30d</t>
        </is>
      </c>
      <c r="D1" s="29" t="inlineStr">
        <is>
          <t>pred_late</t>
        </is>
      </c>
      <c r="E1" s="29" t="inlineStr">
        <is>
          <t>threshold_used</t>
        </is>
      </c>
      <c r="F1" s="29" t="inlineStr">
        <is>
          <t>grade</t>
        </is>
      </c>
      <c r="G1" s="29" t="inlineStr">
        <is>
          <t>grade_rule</t>
        </is>
      </c>
      <c r="H1" s="29" t="inlineStr">
        <is>
          <t>rank_pct</t>
        </is>
      </c>
      <c r="I1" s="29" t="inlineStr">
        <is>
          <t>grade_quantile</t>
        </is>
      </c>
      <c r="J1" s="29" t="inlineStr">
        <is>
          <t>top_feature_1</t>
        </is>
      </c>
      <c r="K1" s="29" t="inlineStr">
        <is>
          <t>top_contrib_1</t>
        </is>
      </c>
      <c r="L1" s="29" t="inlineStr">
        <is>
          <t>top_feature_2</t>
        </is>
      </c>
      <c r="M1" s="29" t="inlineStr">
        <is>
          <t>top_contrib_2</t>
        </is>
      </c>
      <c r="N1" s="29" t="inlineStr">
        <is>
          <t>top_feature_3</t>
        </is>
      </c>
      <c r="O1" s="29" t="inlineStr">
        <is>
          <t>top_contrib_3</t>
        </is>
      </c>
      <c r="P1" s="29" t="inlineStr">
        <is>
          <t>top_reasons_ko</t>
        </is>
      </c>
      <c r="Q1" s="29" t="inlineStr">
        <is>
          <t>model_version</t>
        </is>
      </c>
      <c r="R1" s="29" t="inlineStr">
        <is>
          <t>buyer_name</t>
        </is>
      </c>
      <c r="S1" s="29" t="inlineStr">
        <is>
          <t>country_code</t>
        </is>
      </c>
      <c r="T1" s="29" t="inlineStr">
        <is>
          <t>currency</t>
        </is>
      </c>
      <c r="U1" s="29" t="inlineStr">
        <is>
          <t>payment_method</t>
        </is>
      </c>
      <c r="V1" s="29" t="inlineStr">
        <is>
          <t>terms_days</t>
        </is>
      </c>
      <c r="W1" s="29" t="inlineStr">
        <is>
          <t>ksure_insured</t>
        </is>
      </c>
      <c r="X1" s="29" t="inlineStr">
        <is>
          <t>ksure_limit_usd</t>
        </is>
      </c>
      <c r="Y1" s="29" t="inlineStr">
        <is>
          <t>monthly_sales_usd</t>
        </is>
      </c>
      <c r="Z1" s="29" t="inlineStr">
        <is>
          <t>open_ar_usd</t>
        </is>
      </c>
      <c r="AA1" s="29" t="inlineStr">
        <is>
          <t>overdue_amount_usd</t>
        </is>
      </c>
      <c r="AB1" s="29" t="inlineStr">
        <is>
          <t>current_limit_usd</t>
        </is>
      </c>
      <c r="AC1" s="29" t="inlineStr">
        <is>
          <t>oecd_crc</t>
        </is>
      </c>
      <c r="AD1" s="29" t="inlineStr">
        <is>
          <t>pd_annual_assumed</t>
        </is>
      </c>
      <c r="AE1" s="29" t="inlineStr">
        <is>
          <t>lgd_assumed</t>
        </is>
      </c>
      <c r="AF1" s="29" t="inlineStr">
        <is>
          <t>coverage_ratio</t>
        </is>
      </c>
      <c r="AG1" s="29" t="inlineStr">
        <is>
          <t>strategic_flag</t>
        </is>
      </c>
      <c r="AH1" s="29" t="inlineStr">
        <is>
          <t>bankruptcy_flag</t>
        </is>
      </c>
      <c r="AI1" s="29" t="inlineStr">
        <is>
          <t>buyer_type</t>
        </is>
      </c>
      <c r="AJ1" s="30" t="inlineStr">
        <is>
          <t>▶ 계산</t>
        </is>
      </c>
      <c r="AK1" s="31" t="inlineStr">
        <is>
          <t>grade_used</t>
        </is>
      </c>
      <c r="AL1" s="31" t="inlineStr">
        <is>
          <t>PD_g</t>
        </is>
      </c>
      <c r="AM1" s="31" t="inlineStr">
        <is>
          <t>PD_eff</t>
        </is>
      </c>
      <c r="AN1" s="31" t="inlineStr">
        <is>
          <t>LGD_i</t>
        </is>
      </c>
      <c r="AO1" s="31" t="inlineStr">
        <is>
          <t>cov_i</t>
        </is>
      </c>
      <c r="AP1" s="31" t="inlineStr">
        <is>
          <t>spread_g</t>
        </is>
      </c>
      <c r="AQ1" s="31" t="inlineStr">
        <is>
          <t>prem_g</t>
        </is>
      </c>
      <c r="AR1" s="31" t="inlineStr">
        <is>
          <t>r_unins</t>
        </is>
      </c>
      <c r="AS1" s="31" t="inlineStr">
        <is>
          <t>r_ins</t>
        </is>
      </c>
      <c r="AT1" s="31" t="inlineStr">
        <is>
          <t>r_i</t>
        </is>
      </c>
      <c r="AU1" s="31" t="inlineStr">
        <is>
          <t>ins_decision</t>
        </is>
      </c>
      <c r="AV1" s="31" t="inlineStr">
        <is>
          <t>need</t>
        </is>
      </c>
      <c r="AW1" s="31" t="inlineStr">
        <is>
          <t>cap</t>
        </is>
      </c>
      <c r="AX1" s="31" t="inlineStr">
        <is>
          <t>ins</t>
        </is>
      </c>
      <c r="AY1" s="31" t="inlineStr">
        <is>
          <t>self</t>
        </is>
      </c>
      <c r="AZ1" s="31" t="inlineStr">
        <is>
          <t>ship_hold</t>
        </is>
      </c>
      <c r="BA1" s="31" t="inlineStr">
        <is>
          <t>limit_scope</t>
        </is>
      </c>
      <c r="BB1" s="31" t="inlineStr">
        <is>
          <t>UB</t>
        </is>
      </c>
      <c r="BC1" s="31" t="inlineStr">
        <is>
          <t>LB</t>
        </is>
      </c>
      <c r="BD1" s="31" t="inlineStr">
        <is>
          <t>coef</t>
        </is>
      </c>
      <c r="BE1" s="31" t="inlineStr">
        <is>
          <t>elc</t>
        </is>
      </c>
      <c r="BF1" s="31" t="inlineStr">
        <is>
          <t>crc_band</t>
        </is>
      </c>
      <c r="BG1" s="31" t="inlineStr">
        <is>
          <t>el_now</t>
        </is>
      </c>
      <c r="BH1" s="31" t="inlineStr">
        <is>
          <t>fin_cost_now</t>
        </is>
      </c>
      <c r="BI1" s="31" t="inlineStr">
        <is>
          <t>risk_key</t>
        </is>
      </c>
    </row>
    <row r="2">
      <c r="B2" s="32" t="n"/>
      <c r="C2" s="33" t="n"/>
      <c r="E2" s="33" t="n"/>
      <c r="H2" s="34" t="n"/>
      <c r="X2" s="35" t="n"/>
      <c r="Y2" s="35" t="n"/>
      <c r="Z2" s="35" t="n"/>
      <c r="AA2" s="35" t="n"/>
      <c r="AB2" s="35" t="n"/>
      <c r="AD2" s="36" t="n"/>
      <c r="AE2" s="36" t="n"/>
      <c r="AF2" s="36" t="n"/>
      <c r="AK2" s="37">
        <f>IF($A2="","",IF(GradeRule="quantile",$I2,$F2))</f>
        <v/>
      </c>
      <c r="AL2" s="38">
        <f>IF($A2="","",CHOOSE(MATCH($AK2,{"S","A","B","C"},0),PD_S,PD_A,PD_B,PD_C))</f>
        <v/>
      </c>
      <c r="AM2" s="38">
        <f>IF($A2="","",IF($AH2=1,1,$AL2))</f>
        <v/>
      </c>
      <c r="AN2" s="38">
        <f>IF($A2="","",IF(OR($U2="LC_SIGHT",$U2="LC_USANCE"),LGD_LC,LGD))</f>
        <v/>
      </c>
      <c r="AO2" s="38">
        <f>IF($A2="","",IF($W2="Y",Cov,0))</f>
        <v/>
      </c>
      <c r="AP2" s="38">
        <f>IF($A2="","",CHOOSE(MATCH($AK2,{"S","A","B","C"},0),Spread_S,Spread_A,Spread_B,Spread_C))</f>
        <v/>
      </c>
      <c r="AQ2" s="38">
        <f>IF($A2="","",CHOOSE(MATCH($AK2,{"S","A","B","C"},0),Prem_S,Prem_A,Prem_B,Prem_C))</f>
        <v/>
      </c>
      <c r="AR2" s="39">
        <f>IF(OR($A2="",$V2&lt;=0),"",TSOFR3M+$AP2+$AL2*$AN2)</f>
        <v/>
      </c>
      <c r="AS2" s="39">
        <f>IF(OR($A2="",$V2&lt;=0),"",TSOFR3M+$AP2+$AQ2*365/$V2+$AL2*$AN2*(1-Cov))</f>
        <v/>
      </c>
      <c r="AT2" s="39">
        <f>IF(OR($A2="",$V2&lt;=0),"",IF($W2="Y",$AS2,$AR2))</f>
        <v/>
      </c>
      <c r="AU2" s="37">
        <f>IF(OR($A2="",$V2&lt;=0),"",IF($AS2&lt;$AR2,"부보 유리","무보험 유리"))</f>
        <v/>
      </c>
      <c r="AV2" s="40">
        <f>IF($A2="","",$Y2*($V2+Grace)/30)</f>
        <v/>
      </c>
      <c r="AW2" s="40">
        <f>IF($A2="","",CHOOSE(MATCH($AK2,{"S","A","B","C"},0),$AV2,Cap_A,Cap_B,Cap_C_OA))</f>
        <v/>
      </c>
      <c r="AX2" s="40">
        <f>IF($A2="","",IF($W2="Y",$X2,0))</f>
        <v/>
      </c>
      <c r="AY2" s="40">
        <f>IF($A2="","",Equity_USD*CHOOSE(MATCH($AK2,{"S","A","B","C"},0),s_S,s_A,s_B,s_C))</f>
        <v/>
      </c>
      <c r="AZ2" s="37">
        <f>IF($A2="","",'13_EarlyWarning'!$AH5)</f>
        <v/>
      </c>
      <c r="BA2" s="37">
        <f>IF($A2="","",IF(OR($U2="LC_SIGHT",$U2="LC_USANCE",$U2="TT_ADV"),"대상 아님","대상"))</f>
        <v/>
      </c>
      <c r="BB2" s="40">
        <f>IF($A2="","",IF(OR($BA2="대상 아님",$AZ2&lt;&gt;"",$AH2=1),0,MIN($AV2,$AW2,$AX2+$AY2)))</f>
        <v/>
      </c>
      <c r="BC2" s="40">
        <f>IF($A2="","",IF($AG2=1,MIN(StratMin*$AB2,$BB2),0))</f>
        <v/>
      </c>
      <c r="BD2" s="41">
        <f>IF($A2="","",IF(OR($V2&lt;=0,$BB2&lt;=0),0,Util*(GM*365/$V2-$AT2)))</f>
        <v/>
      </c>
      <c r="BE2" s="42">
        <f>IF($A2="","",Util*$AL2*$AN2*(1-$AO2))</f>
        <v/>
      </c>
      <c r="BF2" s="37">
        <f>IF($A2="","",IF($AC2="","0-2",IF($AC2&lt;=2,"0-2",IF($AC2=3,"3",IF($AC2&lt;=5,"4-5","6-7")))))</f>
        <v/>
      </c>
      <c r="BG2" s="40">
        <f>IF($A2="","",$Z2*$AM2*$AN2*(1-$AO2))</f>
        <v/>
      </c>
      <c r="BH2" s="40">
        <f>IF($A2="","",$Z2*(TSOFR3M+$AP2)*$V2/DayBasis)</f>
        <v/>
      </c>
      <c r="BI2" s="43">
        <f>IF($A2="","",$C2+$Z2*1E-13)</f>
        <v/>
      </c>
    </row>
    <row r="3">
      <c r="B3" s="32" t="n"/>
      <c r="C3" s="33" t="n"/>
      <c r="E3" s="33" t="n"/>
      <c r="H3" s="34" t="n"/>
      <c r="X3" s="35" t="n"/>
      <c r="Y3" s="35" t="n"/>
      <c r="Z3" s="35" t="n"/>
      <c r="AA3" s="35" t="n"/>
      <c r="AB3" s="35" t="n"/>
      <c r="AD3" s="36" t="n"/>
      <c r="AE3" s="36" t="n"/>
      <c r="AF3" s="36" t="n"/>
      <c r="AK3" s="37">
        <f>IF($A3="","",IF(GradeRule="quantile",$I3,$F3))</f>
        <v/>
      </c>
      <c r="AL3" s="38">
        <f>IF($A3="","",CHOOSE(MATCH($AK3,{"S","A","B","C"},0),PD_S,PD_A,PD_B,PD_C))</f>
        <v/>
      </c>
      <c r="AM3" s="38">
        <f>IF($A3="","",IF($AH3=1,1,$AL3))</f>
        <v/>
      </c>
      <c r="AN3" s="38">
        <f>IF($A3="","",IF(OR($U3="LC_SIGHT",$U3="LC_USANCE"),LGD_LC,LGD))</f>
        <v/>
      </c>
      <c r="AO3" s="38">
        <f>IF($A3="","",IF($W3="Y",Cov,0))</f>
        <v/>
      </c>
      <c r="AP3" s="38">
        <f>IF($A3="","",CHOOSE(MATCH($AK3,{"S","A","B","C"},0),Spread_S,Spread_A,Spread_B,Spread_C))</f>
        <v/>
      </c>
      <c r="AQ3" s="38">
        <f>IF($A3="","",CHOOSE(MATCH($AK3,{"S","A","B","C"},0),Prem_S,Prem_A,Prem_B,Prem_C))</f>
        <v/>
      </c>
      <c r="AR3" s="39">
        <f>IF(OR($A3="",$V3&lt;=0),"",TSOFR3M+$AP3+$AL3*$AN3)</f>
        <v/>
      </c>
      <c r="AS3" s="39">
        <f>IF(OR($A3="",$V3&lt;=0),"",TSOFR3M+$AP3+$AQ3*365/$V3+$AL3*$AN3*(1-Cov))</f>
        <v/>
      </c>
      <c r="AT3" s="39">
        <f>IF(OR($A3="",$V3&lt;=0),"",IF($W3="Y",$AS3,$AR3))</f>
        <v/>
      </c>
      <c r="AU3" s="37">
        <f>IF(OR($A3="",$V3&lt;=0),"",IF($AS3&lt;$AR3,"부보 유리","무보험 유리"))</f>
        <v/>
      </c>
      <c r="AV3" s="40">
        <f>IF($A3="","",$Y3*($V3+Grace)/30)</f>
        <v/>
      </c>
      <c r="AW3" s="40">
        <f>IF($A3="","",CHOOSE(MATCH($AK3,{"S","A","B","C"},0),$AV3,Cap_A,Cap_B,Cap_C_OA))</f>
        <v/>
      </c>
      <c r="AX3" s="40">
        <f>IF($A3="","",IF($W3="Y",$X3,0))</f>
        <v/>
      </c>
      <c r="AY3" s="40">
        <f>IF($A3="","",Equity_USD*CHOOSE(MATCH($AK3,{"S","A","B","C"},0),s_S,s_A,s_B,s_C))</f>
        <v/>
      </c>
      <c r="AZ3" s="37">
        <f>IF($A3="","",'13_EarlyWarning'!$AH6)</f>
        <v/>
      </c>
      <c r="BA3" s="37">
        <f>IF($A3="","",IF(OR($U3="LC_SIGHT",$U3="LC_USANCE",$U3="TT_ADV"),"대상 아님","대상"))</f>
        <v/>
      </c>
      <c r="BB3" s="40">
        <f>IF($A3="","",IF(OR($BA3="대상 아님",$AZ3&lt;&gt;"",$AH3=1),0,MIN($AV3,$AW3,$AX3+$AY3)))</f>
        <v/>
      </c>
      <c r="BC3" s="40">
        <f>IF($A3="","",IF($AG3=1,MIN(StratMin*$AB3,$BB3),0))</f>
        <v/>
      </c>
      <c r="BD3" s="41">
        <f>IF($A3="","",IF(OR($V3&lt;=0,$BB3&lt;=0),0,Util*(GM*365/$V3-$AT3)))</f>
        <v/>
      </c>
      <c r="BE3" s="42">
        <f>IF($A3="","",Util*$AL3*$AN3*(1-$AO3))</f>
        <v/>
      </c>
      <c r="BF3" s="37">
        <f>IF($A3="","",IF($AC3="","0-2",IF($AC3&lt;=2,"0-2",IF($AC3=3,"3",IF($AC3&lt;=5,"4-5","6-7")))))</f>
        <v/>
      </c>
      <c r="BG3" s="40">
        <f>IF($A3="","",$Z3*$AM3*$AN3*(1-$AO3))</f>
        <v/>
      </c>
      <c r="BH3" s="40">
        <f>IF($A3="","",$Z3*(TSOFR3M+$AP3)*$V3/DayBasis)</f>
        <v/>
      </c>
      <c r="BI3" s="43">
        <f>IF($A3="","",$C3+$Z3*1E-13)</f>
        <v/>
      </c>
    </row>
    <row r="4">
      <c r="B4" s="32" t="n"/>
      <c r="C4" s="33" t="n"/>
      <c r="E4" s="33" t="n"/>
      <c r="H4" s="34" t="n"/>
      <c r="X4" s="35" t="n"/>
      <c r="Y4" s="35" t="n"/>
      <c r="Z4" s="35" t="n"/>
      <c r="AA4" s="35" t="n"/>
      <c r="AB4" s="35" t="n"/>
      <c r="AD4" s="36" t="n"/>
      <c r="AE4" s="36" t="n"/>
      <c r="AF4" s="36" t="n"/>
      <c r="AK4" s="37">
        <f>IF($A4="","",IF(GradeRule="quantile",$I4,$F4))</f>
        <v/>
      </c>
      <c r="AL4" s="38">
        <f>IF($A4="","",CHOOSE(MATCH($AK4,{"S","A","B","C"},0),PD_S,PD_A,PD_B,PD_C))</f>
        <v/>
      </c>
      <c r="AM4" s="38">
        <f>IF($A4="","",IF($AH4=1,1,$AL4))</f>
        <v/>
      </c>
      <c r="AN4" s="38">
        <f>IF($A4="","",IF(OR($U4="LC_SIGHT",$U4="LC_USANCE"),LGD_LC,LGD))</f>
        <v/>
      </c>
      <c r="AO4" s="38">
        <f>IF($A4="","",IF($W4="Y",Cov,0))</f>
        <v/>
      </c>
      <c r="AP4" s="38">
        <f>IF($A4="","",CHOOSE(MATCH($AK4,{"S","A","B","C"},0),Spread_S,Spread_A,Spread_B,Spread_C))</f>
        <v/>
      </c>
      <c r="AQ4" s="38">
        <f>IF($A4="","",CHOOSE(MATCH($AK4,{"S","A","B","C"},0),Prem_S,Prem_A,Prem_B,Prem_C))</f>
        <v/>
      </c>
      <c r="AR4" s="39">
        <f>IF(OR($A4="",$V4&lt;=0),"",TSOFR3M+$AP4+$AL4*$AN4)</f>
        <v/>
      </c>
      <c r="AS4" s="39">
        <f>IF(OR($A4="",$V4&lt;=0),"",TSOFR3M+$AP4+$AQ4*365/$V4+$AL4*$AN4*(1-Cov))</f>
        <v/>
      </c>
      <c r="AT4" s="39">
        <f>IF(OR($A4="",$V4&lt;=0),"",IF($W4="Y",$AS4,$AR4))</f>
        <v/>
      </c>
      <c r="AU4" s="37">
        <f>IF(OR($A4="",$V4&lt;=0),"",IF($AS4&lt;$AR4,"부보 유리","무보험 유리"))</f>
        <v/>
      </c>
      <c r="AV4" s="40">
        <f>IF($A4="","",$Y4*($V4+Grace)/30)</f>
        <v/>
      </c>
      <c r="AW4" s="40">
        <f>IF($A4="","",CHOOSE(MATCH($AK4,{"S","A","B","C"},0),$AV4,Cap_A,Cap_B,Cap_C_OA))</f>
        <v/>
      </c>
      <c r="AX4" s="40">
        <f>IF($A4="","",IF($W4="Y",$X4,0))</f>
        <v/>
      </c>
      <c r="AY4" s="40">
        <f>IF($A4="","",Equity_USD*CHOOSE(MATCH($AK4,{"S","A","B","C"},0),s_S,s_A,s_B,s_C))</f>
        <v/>
      </c>
      <c r="AZ4" s="37">
        <f>IF($A4="","",'13_EarlyWarning'!$AH7)</f>
        <v/>
      </c>
      <c r="BA4" s="37">
        <f>IF($A4="","",IF(OR($U4="LC_SIGHT",$U4="LC_USANCE",$U4="TT_ADV"),"대상 아님","대상"))</f>
        <v/>
      </c>
      <c r="BB4" s="40">
        <f>IF($A4="","",IF(OR($BA4="대상 아님",$AZ4&lt;&gt;"",$AH4=1),0,MIN($AV4,$AW4,$AX4+$AY4)))</f>
        <v/>
      </c>
      <c r="BC4" s="40">
        <f>IF($A4="","",IF($AG4=1,MIN(StratMin*$AB4,$BB4),0))</f>
        <v/>
      </c>
      <c r="BD4" s="41">
        <f>IF($A4="","",IF(OR($V4&lt;=0,$BB4&lt;=0),0,Util*(GM*365/$V4-$AT4)))</f>
        <v/>
      </c>
      <c r="BE4" s="42">
        <f>IF($A4="","",Util*$AL4*$AN4*(1-$AO4))</f>
        <v/>
      </c>
      <c r="BF4" s="37">
        <f>IF($A4="","",IF($AC4="","0-2",IF($AC4&lt;=2,"0-2",IF($AC4=3,"3",IF($AC4&lt;=5,"4-5","6-7")))))</f>
        <v/>
      </c>
      <c r="BG4" s="40">
        <f>IF($A4="","",$Z4*$AM4*$AN4*(1-$AO4))</f>
        <v/>
      </c>
      <c r="BH4" s="40">
        <f>IF($A4="","",$Z4*(TSOFR3M+$AP4)*$V4/DayBasis)</f>
        <v/>
      </c>
      <c r="BI4" s="43">
        <f>IF($A4="","",$C4+$Z4*1E-13)</f>
        <v/>
      </c>
    </row>
    <row r="5">
      <c r="B5" s="32" t="n"/>
      <c r="C5" s="33" t="n"/>
      <c r="E5" s="33" t="n"/>
      <c r="H5" s="34" t="n"/>
      <c r="X5" s="35" t="n"/>
      <c r="Y5" s="35" t="n"/>
      <c r="Z5" s="35" t="n"/>
      <c r="AA5" s="35" t="n"/>
      <c r="AB5" s="35" t="n"/>
      <c r="AD5" s="36" t="n"/>
      <c r="AE5" s="36" t="n"/>
      <c r="AF5" s="36" t="n"/>
      <c r="AK5" s="37">
        <f>IF($A5="","",IF(GradeRule="quantile",$I5,$F5))</f>
        <v/>
      </c>
      <c r="AL5" s="38">
        <f>IF($A5="","",CHOOSE(MATCH($AK5,{"S","A","B","C"},0),PD_S,PD_A,PD_B,PD_C))</f>
        <v/>
      </c>
      <c r="AM5" s="38">
        <f>IF($A5="","",IF($AH5=1,1,$AL5))</f>
        <v/>
      </c>
      <c r="AN5" s="38">
        <f>IF($A5="","",IF(OR($U5="LC_SIGHT",$U5="LC_USANCE"),LGD_LC,LGD))</f>
        <v/>
      </c>
      <c r="AO5" s="38">
        <f>IF($A5="","",IF($W5="Y",Cov,0))</f>
        <v/>
      </c>
      <c r="AP5" s="38">
        <f>IF($A5="","",CHOOSE(MATCH($AK5,{"S","A","B","C"},0),Spread_S,Spread_A,Spread_B,Spread_C))</f>
        <v/>
      </c>
      <c r="AQ5" s="38">
        <f>IF($A5="","",CHOOSE(MATCH($AK5,{"S","A","B","C"},0),Prem_S,Prem_A,Prem_B,Prem_C))</f>
        <v/>
      </c>
      <c r="AR5" s="39">
        <f>IF(OR($A5="",$V5&lt;=0),"",TSOFR3M+$AP5+$AL5*$AN5)</f>
        <v/>
      </c>
      <c r="AS5" s="39">
        <f>IF(OR($A5="",$V5&lt;=0),"",TSOFR3M+$AP5+$AQ5*365/$V5+$AL5*$AN5*(1-Cov))</f>
        <v/>
      </c>
      <c r="AT5" s="39">
        <f>IF(OR($A5="",$V5&lt;=0),"",IF($W5="Y",$AS5,$AR5))</f>
        <v/>
      </c>
      <c r="AU5" s="37">
        <f>IF(OR($A5="",$V5&lt;=0),"",IF($AS5&lt;$AR5,"부보 유리","무보험 유리"))</f>
        <v/>
      </c>
      <c r="AV5" s="40">
        <f>IF($A5="","",$Y5*($V5+Grace)/30)</f>
        <v/>
      </c>
      <c r="AW5" s="40">
        <f>IF($A5="","",CHOOSE(MATCH($AK5,{"S","A","B","C"},0),$AV5,Cap_A,Cap_B,Cap_C_OA))</f>
        <v/>
      </c>
      <c r="AX5" s="40">
        <f>IF($A5="","",IF($W5="Y",$X5,0))</f>
        <v/>
      </c>
      <c r="AY5" s="40">
        <f>IF($A5="","",Equity_USD*CHOOSE(MATCH($AK5,{"S","A","B","C"},0),s_S,s_A,s_B,s_C))</f>
        <v/>
      </c>
      <c r="AZ5" s="37">
        <f>IF($A5="","",'13_EarlyWarning'!$AH8)</f>
        <v/>
      </c>
      <c r="BA5" s="37">
        <f>IF($A5="","",IF(OR($U5="LC_SIGHT",$U5="LC_USANCE",$U5="TT_ADV"),"대상 아님","대상"))</f>
        <v/>
      </c>
      <c r="BB5" s="40">
        <f>IF($A5="","",IF(OR($BA5="대상 아님",$AZ5&lt;&gt;"",$AH5=1),0,MIN($AV5,$AW5,$AX5+$AY5)))</f>
        <v/>
      </c>
      <c r="BC5" s="40">
        <f>IF($A5="","",IF($AG5=1,MIN(StratMin*$AB5,$BB5),0))</f>
        <v/>
      </c>
      <c r="BD5" s="41">
        <f>IF($A5="","",IF(OR($V5&lt;=0,$BB5&lt;=0),0,Util*(GM*365/$V5-$AT5)))</f>
        <v/>
      </c>
      <c r="BE5" s="42">
        <f>IF($A5="","",Util*$AL5*$AN5*(1-$AO5))</f>
        <v/>
      </c>
      <c r="BF5" s="37">
        <f>IF($A5="","",IF($AC5="","0-2",IF($AC5&lt;=2,"0-2",IF($AC5=3,"3",IF($AC5&lt;=5,"4-5","6-7")))))</f>
        <v/>
      </c>
      <c r="BG5" s="40">
        <f>IF($A5="","",$Z5*$AM5*$AN5*(1-$AO5))</f>
        <v/>
      </c>
      <c r="BH5" s="40">
        <f>IF($A5="","",$Z5*(TSOFR3M+$AP5)*$V5/DayBasis)</f>
        <v/>
      </c>
      <c r="BI5" s="43">
        <f>IF($A5="","",$C5+$Z5*1E-13)</f>
        <v/>
      </c>
    </row>
    <row r="6">
      <c r="B6" s="32" t="n"/>
      <c r="C6" s="33" t="n"/>
      <c r="E6" s="33" t="n"/>
      <c r="H6" s="34" t="n"/>
      <c r="X6" s="35" t="n"/>
      <c r="Y6" s="35" t="n"/>
      <c r="Z6" s="35" t="n"/>
      <c r="AA6" s="35" t="n"/>
      <c r="AB6" s="35" t="n"/>
      <c r="AD6" s="36" t="n"/>
      <c r="AE6" s="36" t="n"/>
      <c r="AF6" s="36" t="n"/>
      <c r="AK6" s="37">
        <f>IF($A6="","",IF(GradeRule="quantile",$I6,$F6))</f>
        <v/>
      </c>
      <c r="AL6" s="38">
        <f>IF($A6="","",CHOOSE(MATCH($AK6,{"S","A","B","C"},0),PD_S,PD_A,PD_B,PD_C))</f>
        <v/>
      </c>
      <c r="AM6" s="38">
        <f>IF($A6="","",IF($AH6=1,1,$AL6))</f>
        <v/>
      </c>
      <c r="AN6" s="38">
        <f>IF($A6="","",IF(OR($U6="LC_SIGHT",$U6="LC_USANCE"),LGD_LC,LGD))</f>
        <v/>
      </c>
      <c r="AO6" s="38">
        <f>IF($A6="","",IF($W6="Y",Cov,0))</f>
        <v/>
      </c>
      <c r="AP6" s="38">
        <f>IF($A6="","",CHOOSE(MATCH($AK6,{"S","A","B","C"},0),Spread_S,Spread_A,Spread_B,Spread_C))</f>
        <v/>
      </c>
      <c r="AQ6" s="38">
        <f>IF($A6="","",CHOOSE(MATCH($AK6,{"S","A","B","C"},0),Prem_S,Prem_A,Prem_B,Prem_C))</f>
        <v/>
      </c>
      <c r="AR6" s="39">
        <f>IF(OR($A6="",$V6&lt;=0),"",TSOFR3M+$AP6+$AL6*$AN6)</f>
        <v/>
      </c>
      <c r="AS6" s="39">
        <f>IF(OR($A6="",$V6&lt;=0),"",TSOFR3M+$AP6+$AQ6*365/$V6+$AL6*$AN6*(1-Cov))</f>
        <v/>
      </c>
      <c r="AT6" s="39">
        <f>IF(OR($A6="",$V6&lt;=0),"",IF($W6="Y",$AS6,$AR6))</f>
        <v/>
      </c>
      <c r="AU6" s="37">
        <f>IF(OR($A6="",$V6&lt;=0),"",IF($AS6&lt;$AR6,"부보 유리","무보험 유리"))</f>
        <v/>
      </c>
      <c r="AV6" s="40">
        <f>IF($A6="","",$Y6*($V6+Grace)/30)</f>
        <v/>
      </c>
      <c r="AW6" s="40">
        <f>IF($A6="","",CHOOSE(MATCH($AK6,{"S","A","B","C"},0),$AV6,Cap_A,Cap_B,Cap_C_OA))</f>
        <v/>
      </c>
      <c r="AX6" s="40">
        <f>IF($A6="","",IF($W6="Y",$X6,0))</f>
        <v/>
      </c>
      <c r="AY6" s="40">
        <f>IF($A6="","",Equity_USD*CHOOSE(MATCH($AK6,{"S","A","B","C"},0),s_S,s_A,s_B,s_C))</f>
        <v/>
      </c>
      <c r="AZ6" s="37">
        <f>IF($A6="","",'13_EarlyWarning'!$AH9)</f>
        <v/>
      </c>
      <c r="BA6" s="37">
        <f>IF($A6="","",IF(OR($U6="LC_SIGHT",$U6="LC_USANCE",$U6="TT_ADV"),"대상 아님","대상"))</f>
        <v/>
      </c>
      <c r="BB6" s="40">
        <f>IF($A6="","",IF(OR($BA6="대상 아님",$AZ6&lt;&gt;"",$AH6=1),0,MIN($AV6,$AW6,$AX6+$AY6)))</f>
        <v/>
      </c>
      <c r="BC6" s="40">
        <f>IF($A6="","",IF($AG6=1,MIN(StratMin*$AB6,$BB6),0))</f>
        <v/>
      </c>
      <c r="BD6" s="41">
        <f>IF($A6="","",IF(OR($V6&lt;=0,$BB6&lt;=0),0,Util*(GM*365/$V6-$AT6)))</f>
        <v/>
      </c>
      <c r="BE6" s="42">
        <f>IF($A6="","",Util*$AL6*$AN6*(1-$AO6))</f>
        <v/>
      </c>
      <c r="BF6" s="37">
        <f>IF($A6="","",IF($AC6="","0-2",IF($AC6&lt;=2,"0-2",IF($AC6=3,"3",IF($AC6&lt;=5,"4-5","6-7")))))</f>
        <v/>
      </c>
      <c r="BG6" s="40">
        <f>IF($A6="","",$Z6*$AM6*$AN6*(1-$AO6))</f>
        <v/>
      </c>
      <c r="BH6" s="40">
        <f>IF($A6="","",$Z6*(TSOFR3M+$AP6)*$V6/DayBasis)</f>
        <v/>
      </c>
      <c r="BI6" s="43">
        <f>IF($A6="","",$C6+$Z6*1E-13)</f>
        <v/>
      </c>
    </row>
    <row r="7">
      <c r="B7" s="32" t="n"/>
      <c r="C7" s="33" t="n"/>
      <c r="E7" s="33" t="n"/>
      <c r="H7" s="34" t="n"/>
      <c r="X7" s="35" t="n"/>
      <c r="Y7" s="35" t="n"/>
      <c r="Z7" s="35" t="n"/>
      <c r="AA7" s="35" t="n"/>
      <c r="AB7" s="35" t="n"/>
      <c r="AD7" s="36" t="n"/>
      <c r="AE7" s="36" t="n"/>
      <c r="AF7" s="36" t="n"/>
      <c r="AK7" s="37">
        <f>IF($A7="","",IF(GradeRule="quantile",$I7,$F7))</f>
        <v/>
      </c>
      <c r="AL7" s="38">
        <f>IF($A7="","",CHOOSE(MATCH($AK7,{"S","A","B","C"},0),PD_S,PD_A,PD_B,PD_C))</f>
        <v/>
      </c>
      <c r="AM7" s="38">
        <f>IF($A7="","",IF($AH7=1,1,$AL7))</f>
        <v/>
      </c>
      <c r="AN7" s="38">
        <f>IF($A7="","",IF(OR($U7="LC_SIGHT",$U7="LC_USANCE"),LGD_LC,LGD))</f>
        <v/>
      </c>
      <c r="AO7" s="38">
        <f>IF($A7="","",IF($W7="Y",Cov,0))</f>
        <v/>
      </c>
      <c r="AP7" s="38">
        <f>IF($A7="","",CHOOSE(MATCH($AK7,{"S","A","B","C"},0),Spread_S,Spread_A,Spread_B,Spread_C))</f>
        <v/>
      </c>
      <c r="AQ7" s="38">
        <f>IF($A7="","",CHOOSE(MATCH($AK7,{"S","A","B","C"},0),Prem_S,Prem_A,Prem_B,Prem_C))</f>
        <v/>
      </c>
      <c r="AR7" s="39">
        <f>IF(OR($A7="",$V7&lt;=0),"",TSOFR3M+$AP7+$AL7*$AN7)</f>
        <v/>
      </c>
      <c r="AS7" s="39">
        <f>IF(OR($A7="",$V7&lt;=0),"",TSOFR3M+$AP7+$AQ7*365/$V7+$AL7*$AN7*(1-Cov))</f>
        <v/>
      </c>
      <c r="AT7" s="39">
        <f>IF(OR($A7="",$V7&lt;=0),"",IF($W7="Y",$AS7,$AR7))</f>
        <v/>
      </c>
      <c r="AU7" s="37">
        <f>IF(OR($A7="",$V7&lt;=0),"",IF($AS7&lt;$AR7,"부보 유리","무보험 유리"))</f>
        <v/>
      </c>
      <c r="AV7" s="40">
        <f>IF($A7="","",$Y7*($V7+Grace)/30)</f>
        <v/>
      </c>
      <c r="AW7" s="40">
        <f>IF($A7="","",CHOOSE(MATCH($AK7,{"S","A","B","C"},0),$AV7,Cap_A,Cap_B,Cap_C_OA))</f>
        <v/>
      </c>
      <c r="AX7" s="40">
        <f>IF($A7="","",IF($W7="Y",$X7,0))</f>
        <v/>
      </c>
      <c r="AY7" s="40">
        <f>IF($A7="","",Equity_USD*CHOOSE(MATCH($AK7,{"S","A","B","C"},0),s_S,s_A,s_B,s_C))</f>
        <v/>
      </c>
      <c r="AZ7" s="37">
        <f>IF($A7="","",'13_EarlyWarning'!$AH10)</f>
        <v/>
      </c>
      <c r="BA7" s="37">
        <f>IF($A7="","",IF(OR($U7="LC_SIGHT",$U7="LC_USANCE",$U7="TT_ADV"),"대상 아님","대상"))</f>
        <v/>
      </c>
      <c r="BB7" s="40">
        <f>IF($A7="","",IF(OR($BA7="대상 아님",$AZ7&lt;&gt;"",$AH7=1),0,MIN($AV7,$AW7,$AX7+$AY7)))</f>
        <v/>
      </c>
      <c r="BC7" s="40">
        <f>IF($A7="","",IF($AG7=1,MIN(StratMin*$AB7,$BB7),0))</f>
        <v/>
      </c>
      <c r="BD7" s="41">
        <f>IF($A7="","",IF(OR($V7&lt;=0,$BB7&lt;=0),0,Util*(GM*365/$V7-$AT7)))</f>
        <v/>
      </c>
      <c r="BE7" s="42">
        <f>IF($A7="","",Util*$AL7*$AN7*(1-$AO7))</f>
        <v/>
      </c>
      <c r="BF7" s="37">
        <f>IF($A7="","",IF($AC7="","0-2",IF($AC7&lt;=2,"0-2",IF($AC7=3,"3",IF($AC7&lt;=5,"4-5","6-7")))))</f>
        <v/>
      </c>
      <c r="BG7" s="40">
        <f>IF($A7="","",$Z7*$AM7*$AN7*(1-$AO7))</f>
        <v/>
      </c>
      <c r="BH7" s="40">
        <f>IF($A7="","",$Z7*(TSOFR3M+$AP7)*$V7/DayBasis)</f>
        <v/>
      </c>
      <c r="BI7" s="43">
        <f>IF($A7="","",$C7+$Z7*1E-13)</f>
        <v/>
      </c>
    </row>
    <row r="8">
      <c r="B8" s="32" t="n"/>
      <c r="C8" s="33" t="n"/>
      <c r="E8" s="33" t="n"/>
      <c r="H8" s="34" t="n"/>
      <c r="X8" s="35" t="n"/>
      <c r="Y8" s="35" t="n"/>
      <c r="Z8" s="35" t="n"/>
      <c r="AA8" s="35" t="n"/>
      <c r="AB8" s="35" t="n"/>
      <c r="AD8" s="36" t="n"/>
      <c r="AE8" s="36" t="n"/>
      <c r="AF8" s="36" t="n"/>
      <c r="AK8" s="37">
        <f>IF($A8="","",IF(GradeRule="quantile",$I8,$F8))</f>
        <v/>
      </c>
      <c r="AL8" s="38">
        <f>IF($A8="","",CHOOSE(MATCH($AK8,{"S","A","B","C"},0),PD_S,PD_A,PD_B,PD_C))</f>
        <v/>
      </c>
      <c r="AM8" s="38">
        <f>IF($A8="","",IF($AH8=1,1,$AL8))</f>
        <v/>
      </c>
      <c r="AN8" s="38">
        <f>IF($A8="","",IF(OR($U8="LC_SIGHT",$U8="LC_USANCE"),LGD_LC,LGD))</f>
        <v/>
      </c>
      <c r="AO8" s="38">
        <f>IF($A8="","",IF($W8="Y",Cov,0))</f>
        <v/>
      </c>
      <c r="AP8" s="38">
        <f>IF($A8="","",CHOOSE(MATCH($AK8,{"S","A","B","C"},0),Spread_S,Spread_A,Spread_B,Spread_C))</f>
        <v/>
      </c>
      <c r="AQ8" s="38">
        <f>IF($A8="","",CHOOSE(MATCH($AK8,{"S","A","B","C"},0),Prem_S,Prem_A,Prem_B,Prem_C))</f>
        <v/>
      </c>
      <c r="AR8" s="39">
        <f>IF(OR($A8="",$V8&lt;=0),"",TSOFR3M+$AP8+$AL8*$AN8)</f>
        <v/>
      </c>
      <c r="AS8" s="39">
        <f>IF(OR($A8="",$V8&lt;=0),"",TSOFR3M+$AP8+$AQ8*365/$V8+$AL8*$AN8*(1-Cov))</f>
        <v/>
      </c>
      <c r="AT8" s="39">
        <f>IF(OR($A8="",$V8&lt;=0),"",IF($W8="Y",$AS8,$AR8))</f>
        <v/>
      </c>
      <c r="AU8" s="37">
        <f>IF(OR($A8="",$V8&lt;=0),"",IF($AS8&lt;$AR8,"부보 유리","무보험 유리"))</f>
        <v/>
      </c>
      <c r="AV8" s="40">
        <f>IF($A8="","",$Y8*($V8+Grace)/30)</f>
        <v/>
      </c>
      <c r="AW8" s="40">
        <f>IF($A8="","",CHOOSE(MATCH($AK8,{"S","A","B","C"},0),$AV8,Cap_A,Cap_B,Cap_C_OA))</f>
        <v/>
      </c>
      <c r="AX8" s="40">
        <f>IF($A8="","",IF($W8="Y",$X8,0))</f>
        <v/>
      </c>
      <c r="AY8" s="40">
        <f>IF($A8="","",Equity_USD*CHOOSE(MATCH($AK8,{"S","A","B","C"},0),s_S,s_A,s_B,s_C))</f>
        <v/>
      </c>
      <c r="AZ8" s="37">
        <f>IF($A8="","",'13_EarlyWarning'!$AH11)</f>
        <v/>
      </c>
      <c r="BA8" s="37">
        <f>IF($A8="","",IF(OR($U8="LC_SIGHT",$U8="LC_USANCE",$U8="TT_ADV"),"대상 아님","대상"))</f>
        <v/>
      </c>
      <c r="BB8" s="40">
        <f>IF($A8="","",IF(OR($BA8="대상 아님",$AZ8&lt;&gt;"",$AH8=1),0,MIN($AV8,$AW8,$AX8+$AY8)))</f>
        <v/>
      </c>
      <c r="BC8" s="40">
        <f>IF($A8="","",IF($AG8=1,MIN(StratMin*$AB8,$BB8),0))</f>
        <v/>
      </c>
      <c r="BD8" s="41">
        <f>IF($A8="","",IF(OR($V8&lt;=0,$BB8&lt;=0),0,Util*(GM*365/$V8-$AT8)))</f>
        <v/>
      </c>
      <c r="BE8" s="42">
        <f>IF($A8="","",Util*$AL8*$AN8*(1-$AO8))</f>
        <v/>
      </c>
      <c r="BF8" s="37">
        <f>IF($A8="","",IF($AC8="","0-2",IF($AC8&lt;=2,"0-2",IF($AC8=3,"3",IF($AC8&lt;=5,"4-5","6-7")))))</f>
        <v/>
      </c>
      <c r="BG8" s="40">
        <f>IF($A8="","",$Z8*$AM8*$AN8*(1-$AO8))</f>
        <v/>
      </c>
      <c r="BH8" s="40">
        <f>IF($A8="","",$Z8*(TSOFR3M+$AP8)*$V8/DayBasis)</f>
        <v/>
      </c>
      <c r="BI8" s="43">
        <f>IF($A8="","",$C8+$Z8*1E-13)</f>
        <v/>
      </c>
    </row>
    <row r="9">
      <c r="B9" s="32" t="n"/>
      <c r="C9" s="33" t="n"/>
      <c r="E9" s="33" t="n"/>
      <c r="H9" s="34" t="n"/>
      <c r="X9" s="35" t="n"/>
      <c r="Y9" s="35" t="n"/>
      <c r="Z9" s="35" t="n"/>
      <c r="AA9" s="35" t="n"/>
      <c r="AB9" s="35" t="n"/>
      <c r="AD9" s="36" t="n"/>
      <c r="AE9" s="36" t="n"/>
      <c r="AF9" s="36" t="n"/>
      <c r="AK9" s="37">
        <f>IF($A9="","",IF(GradeRule="quantile",$I9,$F9))</f>
        <v/>
      </c>
      <c r="AL9" s="38">
        <f>IF($A9="","",CHOOSE(MATCH($AK9,{"S","A","B","C"},0),PD_S,PD_A,PD_B,PD_C))</f>
        <v/>
      </c>
      <c r="AM9" s="38">
        <f>IF($A9="","",IF($AH9=1,1,$AL9))</f>
        <v/>
      </c>
      <c r="AN9" s="38">
        <f>IF($A9="","",IF(OR($U9="LC_SIGHT",$U9="LC_USANCE"),LGD_LC,LGD))</f>
        <v/>
      </c>
      <c r="AO9" s="38">
        <f>IF($A9="","",IF($W9="Y",Cov,0))</f>
        <v/>
      </c>
      <c r="AP9" s="38">
        <f>IF($A9="","",CHOOSE(MATCH($AK9,{"S","A","B","C"},0),Spread_S,Spread_A,Spread_B,Spread_C))</f>
        <v/>
      </c>
      <c r="AQ9" s="38">
        <f>IF($A9="","",CHOOSE(MATCH($AK9,{"S","A","B","C"},0),Prem_S,Prem_A,Prem_B,Prem_C))</f>
        <v/>
      </c>
      <c r="AR9" s="39">
        <f>IF(OR($A9="",$V9&lt;=0),"",TSOFR3M+$AP9+$AL9*$AN9)</f>
        <v/>
      </c>
      <c r="AS9" s="39">
        <f>IF(OR($A9="",$V9&lt;=0),"",TSOFR3M+$AP9+$AQ9*365/$V9+$AL9*$AN9*(1-Cov))</f>
        <v/>
      </c>
      <c r="AT9" s="39">
        <f>IF(OR($A9="",$V9&lt;=0),"",IF($W9="Y",$AS9,$AR9))</f>
        <v/>
      </c>
      <c r="AU9" s="37">
        <f>IF(OR($A9="",$V9&lt;=0),"",IF($AS9&lt;$AR9,"부보 유리","무보험 유리"))</f>
        <v/>
      </c>
      <c r="AV9" s="40">
        <f>IF($A9="","",$Y9*($V9+Grace)/30)</f>
        <v/>
      </c>
      <c r="AW9" s="40">
        <f>IF($A9="","",CHOOSE(MATCH($AK9,{"S","A","B","C"},0),$AV9,Cap_A,Cap_B,Cap_C_OA))</f>
        <v/>
      </c>
      <c r="AX9" s="40">
        <f>IF($A9="","",IF($W9="Y",$X9,0))</f>
        <v/>
      </c>
      <c r="AY9" s="40">
        <f>IF($A9="","",Equity_USD*CHOOSE(MATCH($AK9,{"S","A","B","C"},0),s_S,s_A,s_B,s_C))</f>
        <v/>
      </c>
      <c r="AZ9" s="37">
        <f>IF($A9="","",'13_EarlyWarning'!$AH12)</f>
        <v/>
      </c>
      <c r="BA9" s="37">
        <f>IF($A9="","",IF(OR($U9="LC_SIGHT",$U9="LC_USANCE",$U9="TT_ADV"),"대상 아님","대상"))</f>
        <v/>
      </c>
      <c r="BB9" s="40">
        <f>IF($A9="","",IF(OR($BA9="대상 아님",$AZ9&lt;&gt;"",$AH9=1),0,MIN($AV9,$AW9,$AX9+$AY9)))</f>
        <v/>
      </c>
      <c r="BC9" s="40">
        <f>IF($A9="","",IF($AG9=1,MIN(StratMin*$AB9,$BB9),0))</f>
        <v/>
      </c>
      <c r="BD9" s="41">
        <f>IF($A9="","",IF(OR($V9&lt;=0,$BB9&lt;=0),0,Util*(GM*365/$V9-$AT9)))</f>
        <v/>
      </c>
      <c r="BE9" s="42">
        <f>IF($A9="","",Util*$AL9*$AN9*(1-$AO9))</f>
        <v/>
      </c>
      <c r="BF9" s="37">
        <f>IF($A9="","",IF($AC9="","0-2",IF($AC9&lt;=2,"0-2",IF($AC9=3,"3",IF($AC9&lt;=5,"4-5","6-7")))))</f>
        <v/>
      </c>
      <c r="BG9" s="40">
        <f>IF($A9="","",$Z9*$AM9*$AN9*(1-$AO9))</f>
        <v/>
      </c>
      <c r="BH9" s="40">
        <f>IF($A9="","",$Z9*(TSOFR3M+$AP9)*$V9/DayBasis)</f>
        <v/>
      </c>
      <c r="BI9" s="43">
        <f>IF($A9="","",$C9+$Z9*1E-13)</f>
        <v/>
      </c>
    </row>
    <row r="10">
      <c r="B10" s="32" t="n"/>
      <c r="C10" s="33" t="n"/>
      <c r="E10" s="33" t="n"/>
      <c r="H10" s="34" t="n"/>
      <c r="X10" s="35" t="n"/>
      <c r="Y10" s="35" t="n"/>
      <c r="Z10" s="35" t="n"/>
      <c r="AA10" s="35" t="n"/>
      <c r="AB10" s="35" t="n"/>
      <c r="AD10" s="36" t="n"/>
      <c r="AE10" s="36" t="n"/>
      <c r="AF10" s="36" t="n"/>
      <c r="AK10" s="37">
        <f>IF($A10="","",IF(GradeRule="quantile",$I10,$F10))</f>
        <v/>
      </c>
      <c r="AL10" s="38">
        <f>IF($A10="","",CHOOSE(MATCH($AK10,{"S","A","B","C"},0),PD_S,PD_A,PD_B,PD_C))</f>
        <v/>
      </c>
      <c r="AM10" s="38">
        <f>IF($A10="","",IF($AH10=1,1,$AL10))</f>
        <v/>
      </c>
      <c r="AN10" s="38">
        <f>IF($A10="","",IF(OR($U10="LC_SIGHT",$U10="LC_USANCE"),LGD_LC,LGD))</f>
        <v/>
      </c>
      <c r="AO10" s="38">
        <f>IF($A10="","",IF($W10="Y",Cov,0))</f>
        <v/>
      </c>
      <c r="AP10" s="38">
        <f>IF($A10="","",CHOOSE(MATCH($AK10,{"S","A","B","C"},0),Spread_S,Spread_A,Spread_B,Spread_C))</f>
        <v/>
      </c>
      <c r="AQ10" s="38">
        <f>IF($A10="","",CHOOSE(MATCH($AK10,{"S","A","B","C"},0),Prem_S,Prem_A,Prem_B,Prem_C))</f>
        <v/>
      </c>
      <c r="AR10" s="39">
        <f>IF(OR($A10="",$V10&lt;=0),"",TSOFR3M+$AP10+$AL10*$AN10)</f>
        <v/>
      </c>
      <c r="AS10" s="39">
        <f>IF(OR($A10="",$V10&lt;=0),"",TSOFR3M+$AP10+$AQ10*365/$V10+$AL10*$AN10*(1-Cov))</f>
        <v/>
      </c>
      <c r="AT10" s="39">
        <f>IF(OR($A10="",$V10&lt;=0),"",IF($W10="Y",$AS10,$AR10))</f>
        <v/>
      </c>
      <c r="AU10" s="37">
        <f>IF(OR($A10="",$V10&lt;=0),"",IF($AS10&lt;$AR10,"부보 유리","무보험 유리"))</f>
        <v/>
      </c>
      <c r="AV10" s="40">
        <f>IF($A10="","",$Y10*($V10+Grace)/30)</f>
        <v/>
      </c>
      <c r="AW10" s="40">
        <f>IF($A10="","",CHOOSE(MATCH($AK10,{"S","A","B","C"},0),$AV10,Cap_A,Cap_B,Cap_C_OA))</f>
        <v/>
      </c>
      <c r="AX10" s="40">
        <f>IF($A10="","",IF($W10="Y",$X10,0))</f>
        <v/>
      </c>
      <c r="AY10" s="40">
        <f>IF($A10="","",Equity_USD*CHOOSE(MATCH($AK10,{"S","A","B","C"},0),s_S,s_A,s_B,s_C))</f>
        <v/>
      </c>
      <c r="AZ10" s="37">
        <f>IF($A10="","",'13_EarlyWarning'!$AH13)</f>
        <v/>
      </c>
      <c r="BA10" s="37">
        <f>IF($A10="","",IF(OR($U10="LC_SIGHT",$U10="LC_USANCE",$U10="TT_ADV"),"대상 아님","대상"))</f>
        <v/>
      </c>
      <c r="BB10" s="40">
        <f>IF($A10="","",IF(OR($BA10="대상 아님",$AZ10&lt;&gt;"",$AH10=1),0,MIN($AV10,$AW10,$AX10+$AY10)))</f>
        <v/>
      </c>
      <c r="BC10" s="40">
        <f>IF($A10="","",IF($AG10=1,MIN(StratMin*$AB10,$BB10),0))</f>
        <v/>
      </c>
      <c r="BD10" s="41">
        <f>IF($A10="","",IF(OR($V10&lt;=0,$BB10&lt;=0),0,Util*(GM*365/$V10-$AT10)))</f>
        <v/>
      </c>
      <c r="BE10" s="42">
        <f>IF($A10="","",Util*$AL10*$AN10*(1-$AO10))</f>
        <v/>
      </c>
      <c r="BF10" s="37">
        <f>IF($A10="","",IF($AC10="","0-2",IF($AC10&lt;=2,"0-2",IF($AC10=3,"3",IF($AC10&lt;=5,"4-5","6-7")))))</f>
        <v/>
      </c>
      <c r="BG10" s="40">
        <f>IF($A10="","",$Z10*$AM10*$AN10*(1-$AO10))</f>
        <v/>
      </c>
      <c r="BH10" s="40">
        <f>IF($A10="","",$Z10*(TSOFR3M+$AP10)*$V10/DayBasis)</f>
        <v/>
      </c>
      <c r="BI10" s="43">
        <f>IF($A10="","",$C10+$Z10*1E-13)</f>
        <v/>
      </c>
    </row>
    <row r="11">
      <c r="B11" s="32" t="n"/>
      <c r="C11" s="33" t="n"/>
      <c r="E11" s="33" t="n"/>
      <c r="H11" s="34" t="n"/>
      <c r="X11" s="35" t="n"/>
      <c r="Y11" s="35" t="n"/>
      <c r="Z11" s="35" t="n"/>
      <c r="AA11" s="35" t="n"/>
      <c r="AB11" s="35" t="n"/>
      <c r="AD11" s="36" t="n"/>
      <c r="AE11" s="36" t="n"/>
      <c r="AF11" s="36" t="n"/>
      <c r="AK11" s="37">
        <f>IF($A11="","",IF(GradeRule="quantile",$I11,$F11))</f>
        <v/>
      </c>
      <c r="AL11" s="38">
        <f>IF($A11="","",CHOOSE(MATCH($AK11,{"S","A","B","C"},0),PD_S,PD_A,PD_B,PD_C))</f>
        <v/>
      </c>
      <c r="AM11" s="38">
        <f>IF($A11="","",IF($AH11=1,1,$AL11))</f>
        <v/>
      </c>
      <c r="AN11" s="38">
        <f>IF($A11="","",IF(OR($U11="LC_SIGHT",$U11="LC_USANCE"),LGD_LC,LGD))</f>
        <v/>
      </c>
      <c r="AO11" s="38">
        <f>IF($A11="","",IF($W11="Y",Cov,0))</f>
        <v/>
      </c>
      <c r="AP11" s="38">
        <f>IF($A11="","",CHOOSE(MATCH($AK11,{"S","A","B","C"},0),Spread_S,Spread_A,Spread_B,Spread_C))</f>
        <v/>
      </c>
      <c r="AQ11" s="38">
        <f>IF($A11="","",CHOOSE(MATCH($AK11,{"S","A","B","C"},0),Prem_S,Prem_A,Prem_B,Prem_C))</f>
        <v/>
      </c>
      <c r="AR11" s="39">
        <f>IF(OR($A11="",$V11&lt;=0),"",TSOFR3M+$AP11+$AL11*$AN11)</f>
        <v/>
      </c>
      <c r="AS11" s="39">
        <f>IF(OR($A11="",$V11&lt;=0),"",TSOFR3M+$AP11+$AQ11*365/$V11+$AL11*$AN11*(1-Cov))</f>
        <v/>
      </c>
      <c r="AT11" s="39">
        <f>IF(OR($A11="",$V11&lt;=0),"",IF($W11="Y",$AS11,$AR11))</f>
        <v/>
      </c>
      <c r="AU11" s="37">
        <f>IF(OR($A11="",$V11&lt;=0),"",IF($AS11&lt;$AR11,"부보 유리","무보험 유리"))</f>
        <v/>
      </c>
      <c r="AV11" s="40">
        <f>IF($A11="","",$Y11*($V11+Grace)/30)</f>
        <v/>
      </c>
      <c r="AW11" s="40">
        <f>IF($A11="","",CHOOSE(MATCH($AK11,{"S","A","B","C"},0),$AV11,Cap_A,Cap_B,Cap_C_OA))</f>
        <v/>
      </c>
      <c r="AX11" s="40">
        <f>IF($A11="","",IF($W11="Y",$X11,0))</f>
        <v/>
      </c>
      <c r="AY11" s="40">
        <f>IF($A11="","",Equity_USD*CHOOSE(MATCH($AK11,{"S","A","B","C"},0),s_S,s_A,s_B,s_C))</f>
        <v/>
      </c>
      <c r="AZ11" s="37">
        <f>IF($A11="","",'13_EarlyWarning'!$AH14)</f>
        <v/>
      </c>
      <c r="BA11" s="37">
        <f>IF($A11="","",IF(OR($U11="LC_SIGHT",$U11="LC_USANCE",$U11="TT_ADV"),"대상 아님","대상"))</f>
        <v/>
      </c>
      <c r="BB11" s="40">
        <f>IF($A11="","",IF(OR($BA11="대상 아님",$AZ11&lt;&gt;"",$AH11=1),0,MIN($AV11,$AW11,$AX11+$AY11)))</f>
        <v/>
      </c>
      <c r="BC11" s="40">
        <f>IF($A11="","",IF($AG11=1,MIN(StratMin*$AB11,$BB11),0))</f>
        <v/>
      </c>
      <c r="BD11" s="41">
        <f>IF($A11="","",IF(OR($V11&lt;=0,$BB11&lt;=0),0,Util*(GM*365/$V11-$AT11)))</f>
        <v/>
      </c>
      <c r="BE11" s="42">
        <f>IF($A11="","",Util*$AL11*$AN11*(1-$AO11))</f>
        <v/>
      </c>
      <c r="BF11" s="37">
        <f>IF($A11="","",IF($AC11="","0-2",IF($AC11&lt;=2,"0-2",IF($AC11=3,"3",IF($AC11&lt;=5,"4-5","6-7")))))</f>
        <v/>
      </c>
      <c r="BG11" s="40">
        <f>IF($A11="","",$Z11*$AM11*$AN11*(1-$AO11))</f>
        <v/>
      </c>
      <c r="BH11" s="40">
        <f>IF($A11="","",$Z11*(TSOFR3M+$AP11)*$V11/DayBasis)</f>
        <v/>
      </c>
      <c r="BI11" s="43">
        <f>IF($A11="","",$C11+$Z11*1E-13)</f>
        <v/>
      </c>
    </row>
    <row r="12">
      <c r="B12" s="32" t="n"/>
      <c r="C12" s="33" t="n"/>
      <c r="E12" s="33" t="n"/>
      <c r="H12" s="34" t="n"/>
      <c r="X12" s="35" t="n"/>
      <c r="Y12" s="35" t="n"/>
      <c r="Z12" s="35" t="n"/>
      <c r="AA12" s="35" t="n"/>
      <c r="AB12" s="35" t="n"/>
      <c r="AD12" s="36" t="n"/>
      <c r="AE12" s="36" t="n"/>
      <c r="AF12" s="36" t="n"/>
      <c r="AK12" s="37">
        <f>IF($A12="","",IF(GradeRule="quantile",$I12,$F12))</f>
        <v/>
      </c>
      <c r="AL12" s="38">
        <f>IF($A12="","",CHOOSE(MATCH($AK12,{"S","A","B","C"},0),PD_S,PD_A,PD_B,PD_C))</f>
        <v/>
      </c>
      <c r="AM12" s="38">
        <f>IF($A12="","",IF($AH12=1,1,$AL12))</f>
        <v/>
      </c>
      <c r="AN12" s="38">
        <f>IF($A12="","",IF(OR($U12="LC_SIGHT",$U12="LC_USANCE"),LGD_LC,LGD))</f>
        <v/>
      </c>
      <c r="AO12" s="38">
        <f>IF($A12="","",IF($W12="Y",Cov,0))</f>
        <v/>
      </c>
      <c r="AP12" s="38">
        <f>IF($A12="","",CHOOSE(MATCH($AK12,{"S","A","B","C"},0),Spread_S,Spread_A,Spread_B,Spread_C))</f>
        <v/>
      </c>
      <c r="AQ12" s="38">
        <f>IF($A12="","",CHOOSE(MATCH($AK12,{"S","A","B","C"},0),Prem_S,Prem_A,Prem_B,Prem_C))</f>
        <v/>
      </c>
      <c r="AR12" s="39">
        <f>IF(OR($A12="",$V12&lt;=0),"",TSOFR3M+$AP12+$AL12*$AN12)</f>
        <v/>
      </c>
      <c r="AS12" s="39">
        <f>IF(OR($A12="",$V12&lt;=0),"",TSOFR3M+$AP12+$AQ12*365/$V12+$AL12*$AN12*(1-Cov))</f>
        <v/>
      </c>
      <c r="AT12" s="39">
        <f>IF(OR($A12="",$V12&lt;=0),"",IF($W12="Y",$AS12,$AR12))</f>
        <v/>
      </c>
      <c r="AU12" s="37">
        <f>IF(OR($A12="",$V12&lt;=0),"",IF($AS12&lt;$AR12,"부보 유리","무보험 유리"))</f>
        <v/>
      </c>
      <c r="AV12" s="40">
        <f>IF($A12="","",$Y12*($V12+Grace)/30)</f>
        <v/>
      </c>
      <c r="AW12" s="40">
        <f>IF($A12="","",CHOOSE(MATCH($AK12,{"S","A","B","C"},0),$AV12,Cap_A,Cap_B,Cap_C_OA))</f>
        <v/>
      </c>
      <c r="AX12" s="40">
        <f>IF($A12="","",IF($W12="Y",$X12,0))</f>
        <v/>
      </c>
      <c r="AY12" s="40">
        <f>IF($A12="","",Equity_USD*CHOOSE(MATCH($AK12,{"S","A","B","C"},0),s_S,s_A,s_B,s_C))</f>
        <v/>
      </c>
      <c r="AZ12" s="37">
        <f>IF($A12="","",'13_EarlyWarning'!$AH15)</f>
        <v/>
      </c>
      <c r="BA12" s="37">
        <f>IF($A12="","",IF(OR($U12="LC_SIGHT",$U12="LC_USANCE",$U12="TT_ADV"),"대상 아님","대상"))</f>
        <v/>
      </c>
      <c r="BB12" s="40">
        <f>IF($A12="","",IF(OR($BA12="대상 아님",$AZ12&lt;&gt;"",$AH12=1),0,MIN($AV12,$AW12,$AX12+$AY12)))</f>
        <v/>
      </c>
      <c r="BC12" s="40">
        <f>IF($A12="","",IF($AG12=1,MIN(StratMin*$AB12,$BB12),0))</f>
        <v/>
      </c>
      <c r="BD12" s="41">
        <f>IF($A12="","",IF(OR($V12&lt;=0,$BB12&lt;=0),0,Util*(GM*365/$V12-$AT12)))</f>
        <v/>
      </c>
      <c r="BE12" s="42">
        <f>IF($A12="","",Util*$AL12*$AN12*(1-$AO12))</f>
        <v/>
      </c>
      <c r="BF12" s="37">
        <f>IF($A12="","",IF($AC12="","0-2",IF($AC12&lt;=2,"0-2",IF($AC12=3,"3",IF($AC12&lt;=5,"4-5","6-7")))))</f>
        <v/>
      </c>
      <c r="BG12" s="40">
        <f>IF($A12="","",$Z12*$AM12*$AN12*(1-$AO12))</f>
        <v/>
      </c>
      <c r="BH12" s="40">
        <f>IF($A12="","",$Z12*(TSOFR3M+$AP12)*$V12/DayBasis)</f>
        <v/>
      </c>
      <c r="BI12" s="43">
        <f>IF($A12="","",$C12+$Z12*1E-13)</f>
        <v/>
      </c>
    </row>
    <row r="13">
      <c r="B13" s="32" t="n"/>
      <c r="C13" s="33" t="n"/>
      <c r="E13" s="33" t="n"/>
      <c r="H13" s="34" t="n"/>
      <c r="X13" s="35" t="n"/>
      <c r="Y13" s="35" t="n"/>
      <c r="Z13" s="35" t="n"/>
      <c r="AA13" s="35" t="n"/>
      <c r="AB13" s="35" t="n"/>
      <c r="AD13" s="36" t="n"/>
      <c r="AE13" s="36" t="n"/>
      <c r="AF13" s="36" t="n"/>
      <c r="AK13" s="37">
        <f>IF($A13="","",IF(GradeRule="quantile",$I13,$F13))</f>
        <v/>
      </c>
      <c r="AL13" s="38">
        <f>IF($A13="","",CHOOSE(MATCH($AK13,{"S","A","B","C"},0),PD_S,PD_A,PD_B,PD_C))</f>
        <v/>
      </c>
      <c r="AM13" s="38">
        <f>IF($A13="","",IF($AH13=1,1,$AL13))</f>
        <v/>
      </c>
      <c r="AN13" s="38">
        <f>IF($A13="","",IF(OR($U13="LC_SIGHT",$U13="LC_USANCE"),LGD_LC,LGD))</f>
        <v/>
      </c>
      <c r="AO13" s="38">
        <f>IF($A13="","",IF($W13="Y",Cov,0))</f>
        <v/>
      </c>
      <c r="AP13" s="38">
        <f>IF($A13="","",CHOOSE(MATCH($AK13,{"S","A","B","C"},0),Spread_S,Spread_A,Spread_B,Spread_C))</f>
        <v/>
      </c>
      <c r="AQ13" s="38">
        <f>IF($A13="","",CHOOSE(MATCH($AK13,{"S","A","B","C"},0),Prem_S,Prem_A,Prem_B,Prem_C))</f>
        <v/>
      </c>
      <c r="AR13" s="39">
        <f>IF(OR($A13="",$V13&lt;=0),"",TSOFR3M+$AP13+$AL13*$AN13)</f>
        <v/>
      </c>
      <c r="AS13" s="39">
        <f>IF(OR($A13="",$V13&lt;=0),"",TSOFR3M+$AP13+$AQ13*365/$V13+$AL13*$AN13*(1-Cov))</f>
        <v/>
      </c>
      <c r="AT13" s="39">
        <f>IF(OR($A13="",$V13&lt;=0),"",IF($W13="Y",$AS13,$AR13))</f>
        <v/>
      </c>
      <c r="AU13" s="37">
        <f>IF(OR($A13="",$V13&lt;=0),"",IF($AS13&lt;$AR13,"부보 유리","무보험 유리"))</f>
        <v/>
      </c>
      <c r="AV13" s="40">
        <f>IF($A13="","",$Y13*($V13+Grace)/30)</f>
        <v/>
      </c>
      <c r="AW13" s="40">
        <f>IF($A13="","",CHOOSE(MATCH($AK13,{"S","A","B","C"},0),$AV13,Cap_A,Cap_B,Cap_C_OA))</f>
        <v/>
      </c>
      <c r="AX13" s="40">
        <f>IF($A13="","",IF($W13="Y",$X13,0))</f>
        <v/>
      </c>
      <c r="AY13" s="40">
        <f>IF($A13="","",Equity_USD*CHOOSE(MATCH($AK13,{"S","A","B","C"},0),s_S,s_A,s_B,s_C))</f>
        <v/>
      </c>
      <c r="AZ13" s="37">
        <f>IF($A13="","",'13_EarlyWarning'!$AH16)</f>
        <v/>
      </c>
      <c r="BA13" s="37">
        <f>IF($A13="","",IF(OR($U13="LC_SIGHT",$U13="LC_USANCE",$U13="TT_ADV"),"대상 아님","대상"))</f>
        <v/>
      </c>
      <c r="BB13" s="40">
        <f>IF($A13="","",IF(OR($BA13="대상 아님",$AZ13&lt;&gt;"",$AH13=1),0,MIN($AV13,$AW13,$AX13+$AY13)))</f>
        <v/>
      </c>
      <c r="BC13" s="40">
        <f>IF($A13="","",IF($AG13=1,MIN(StratMin*$AB13,$BB13),0))</f>
        <v/>
      </c>
      <c r="BD13" s="41">
        <f>IF($A13="","",IF(OR($V13&lt;=0,$BB13&lt;=0),0,Util*(GM*365/$V13-$AT13)))</f>
        <v/>
      </c>
      <c r="BE13" s="42">
        <f>IF($A13="","",Util*$AL13*$AN13*(1-$AO13))</f>
        <v/>
      </c>
      <c r="BF13" s="37">
        <f>IF($A13="","",IF($AC13="","0-2",IF($AC13&lt;=2,"0-2",IF($AC13=3,"3",IF($AC13&lt;=5,"4-5","6-7")))))</f>
        <v/>
      </c>
      <c r="BG13" s="40">
        <f>IF($A13="","",$Z13*$AM13*$AN13*(1-$AO13))</f>
        <v/>
      </c>
      <c r="BH13" s="40">
        <f>IF($A13="","",$Z13*(TSOFR3M+$AP13)*$V13/DayBasis)</f>
        <v/>
      </c>
      <c r="BI13" s="43">
        <f>IF($A13="","",$C13+$Z13*1E-13)</f>
        <v/>
      </c>
    </row>
    <row r="14">
      <c r="B14" s="32" t="n"/>
      <c r="C14" s="33" t="n"/>
      <c r="E14" s="33" t="n"/>
      <c r="H14" s="34" t="n"/>
      <c r="X14" s="35" t="n"/>
      <c r="Y14" s="35" t="n"/>
      <c r="Z14" s="35" t="n"/>
      <c r="AA14" s="35" t="n"/>
      <c r="AB14" s="35" t="n"/>
      <c r="AD14" s="36" t="n"/>
      <c r="AE14" s="36" t="n"/>
      <c r="AF14" s="36" t="n"/>
      <c r="AK14" s="37">
        <f>IF($A14="","",IF(GradeRule="quantile",$I14,$F14))</f>
        <v/>
      </c>
      <c r="AL14" s="38">
        <f>IF($A14="","",CHOOSE(MATCH($AK14,{"S","A","B","C"},0),PD_S,PD_A,PD_B,PD_C))</f>
        <v/>
      </c>
      <c r="AM14" s="38">
        <f>IF($A14="","",IF($AH14=1,1,$AL14))</f>
        <v/>
      </c>
      <c r="AN14" s="38">
        <f>IF($A14="","",IF(OR($U14="LC_SIGHT",$U14="LC_USANCE"),LGD_LC,LGD))</f>
        <v/>
      </c>
      <c r="AO14" s="38">
        <f>IF($A14="","",IF($W14="Y",Cov,0))</f>
        <v/>
      </c>
      <c r="AP14" s="38">
        <f>IF($A14="","",CHOOSE(MATCH($AK14,{"S","A","B","C"},0),Spread_S,Spread_A,Spread_B,Spread_C))</f>
        <v/>
      </c>
      <c r="AQ14" s="38">
        <f>IF($A14="","",CHOOSE(MATCH($AK14,{"S","A","B","C"},0),Prem_S,Prem_A,Prem_B,Prem_C))</f>
        <v/>
      </c>
      <c r="AR14" s="39">
        <f>IF(OR($A14="",$V14&lt;=0),"",TSOFR3M+$AP14+$AL14*$AN14)</f>
        <v/>
      </c>
      <c r="AS14" s="39">
        <f>IF(OR($A14="",$V14&lt;=0),"",TSOFR3M+$AP14+$AQ14*365/$V14+$AL14*$AN14*(1-Cov))</f>
        <v/>
      </c>
      <c r="AT14" s="39">
        <f>IF(OR($A14="",$V14&lt;=0),"",IF($W14="Y",$AS14,$AR14))</f>
        <v/>
      </c>
      <c r="AU14" s="37">
        <f>IF(OR($A14="",$V14&lt;=0),"",IF($AS14&lt;$AR14,"부보 유리","무보험 유리"))</f>
        <v/>
      </c>
      <c r="AV14" s="40">
        <f>IF($A14="","",$Y14*($V14+Grace)/30)</f>
        <v/>
      </c>
      <c r="AW14" s="40">
        <f>IF($A14="","",CHOOSE(MATCH($AK14,{"S","A","B","C"},0),$AV14,Cap_A,Cap_B,Cap_C_OA))</f>
        <v/>
      </c>
      <c r="AX14" s="40">
        <f>IF($A14="","",IF($W14="Y",$X14,0))</f>
        <v/>
      </c>
      <c r="AY14" s="40">
        <f>IF($A14="","",Equity_USD*CHOOSE(MATCH($AK14,{"S","A","B","C"},0),s_S,s_A,s_B,s_C))</f>
        <v/>
      </c>
      <c r="AZ14" s="37">
        <f>IF($A14="","",'13_EarlyWarning'!$AH17)</f>
        <v/>
      </c>
      <c r="BA14" s="37">
        <f>IF($A14="","",IF(OR($U14="LC_SIGHT",$U14="LC_USANCE",$U14="TT_ADV"),"대상 아님","대상"))</f>
        <v/>
      </c>
      <c r="BB14" s="40">
        <f>IF($A14="","",IF(OR($BA14="대상 아님",$AZ14&lt;&gt;"",$AH14=1),0,MIN($AV14,$AW14,$AX14+$AY14)))</f>
        <v/>
      </c>
      <c r="BC14" s="40">
        <f>IF($A14="","",IF($AG14=1,MIN(StratMin*$AB14,$BB14),0))</f>
        <v/>
      </c>
      <c r="BD14" s="41">
        <f>IF($A14="","",IF(OR($V14&lt;=0,$BB14&lt;=0),0,Util*(GM*365/$V14-$AT14)))</f>
        <v/>
      </c>
      <c r="BE14" s="42">
        <f>IF($A14="","",Util*$AL14*$AN14*(1-$AO14))</f>
        <v/>
      </c>
      <c r="BF14" s="37">
        <f>IF($A14="","",IF($AC14="","0-2",IF($AC14&lt;=2,"0-2",IF($AC14=3,"3",IF($AC14&lt;=5,"4-5","6-7")))))</f>
        <v/>
      </c>
      <c r="BG14" s="40">
        <f>IF($A14="","",$Z14*$AM14*$AN14*(1-$AO14))</f>
        <v/>
      </c>
      <c r="BH14" s="40">
        <f>IF($A14="","",$Z14*(TSOFR3M+$AP14)*$V14/DayBasis)</f>
        <v/>
      </c>
      <c r="BI14" s="43">
        <f>IF($A14="","",$C14+$Z14*1E-13)</f>
        <v/>
      </c>
    </row>
    <row r="15">
      <c r="B15" s="32" t="n"/>
      <c r="C15" s="33" t="n"/>
      <c r="E15" s="33" t="n"/>
      <c r="H15" s="34" t="n"/>
      <c r="X15" s="35" t="n"/>
      <c r="Y15" s="35" t="n"/>
      <c r="Z15" s="35" t="n"/>
      <c r="AA15" s="35" t="n"/>
      <c r="AB15" s="35" t="n"/>
      <c r="AD15" s="36" t="n"/>
      <c r="AE15" s="36" t="n"/>
      <c r="AF15" s="36" t="n"/>
      <c r="AK15" s="37">
        <f>IF($A15="","",IF(GradeRule="quantile",$I15,$F15))</f>
        <v/>
      </c>
      <c r="AL15" s="38">
        <f>IF($A15="","",CHOOSE(MATCH($AK15,{"S","A","B","C"},0),PD_S,PD_A,PD_B,PD_C))</f>
        <v/>
      </c>
      <c r="AM15" s="38">
        <f>IF($A15="","",IF($AH15=1,1,$AL15))</f>
        <v/>
      </c>
      <c r="AN15" s="38">
        <f>IF($A15="","",IF(OR($U15="LC_SIGHT",$U15="LC_USANCE"),LGD_LC,LGD))</f>
        <v/>
      </c>
      <c r="AO15" s="38">
        <f>IF($A15="","",IF($W15="Y",Cov,0))</f>
        <v/>
      </c>
      <c r="AP15" s="38">
        <f>IF($A15="","",CHOOSE(MATCH($AK15,{"S","A","B","C"},0),Spread_S,Spread_A,Spread_B,Spread_C))</f>
        <v/>
      </c>
      <c r="AQ15" s="38">
        <f>IF($A15="","",CHOOSE(MATCH($AK15,{"S","A","B","C"},0),Prem_S,Prem_A,Prem_B,Prem_C))</f>
        <v/>
      </c>
      <c r="AR15" s="39">
        <f>IF(OR($A15="",$V15&lt;=0),"",TSOFR3M+$AP15+$AL15*$AN15)</f>
        <v/>
      </c>
      <c r="AS15" s="39">
        <f>IF(OR($A15="",$V15&lt;=0),"",TSOFR3M+$AP15+$AQ15*365/$V15+$AL15*$AN15*(1-Cov))</f>
        <v/>
      </c>
      <c r="AT15" s="39">
        <f>IF(OR($A15="",$V15&lt;=0),"",IF($W15="Y",$AS15,$AR15))</f>
        <v/>
      </c>
      <c r="AU15" s="37">
        <f>IF(OR($A15="",$V15&lt;=0),"",IF($AS15&lt;$AR15,"부보 유리","무보험 유리"))</f>
        <v/>
      </c>
      <c r="AV15" s="40">
        <f>IF($A15="","",$Y15*($V15+Grace)/30)</f>
        <v/>
      </c>
      <c r="AW15" s="40">
        <f>IF($A15="","",CHOOSE(MATCH($AK15,{"S","A","B","C"},0),$AV15,Cap_A,Cap_B,Cap_C_OA))</f>
        <v/>
      </c>
      <c r="AX15" s="40">
        <f>IF($A15="","",IF($W15="Y",$X15,0))</f>
        <v/>
      </c>
      <c r="AY15" s="40">
        <f>IF($A15="","",Equity_USD*CHOOSE(MATCH($AK15,{"S","A","B","C"},0),s_S,s_A,s_B,s_C))</f>
        <v/>
      </c>
      <c r="AZ15" s="37">
        <f>IF($A15="","",'13_EarlyWarning'!$AH18)</f>
        <v/>
      </c>
      <c r="BA15" s="37">
        <f>IF($A15="","",IF(OR($U15="LC_SIGHT",$U15="LC_USANCE",$U15="TT_ADV"),"대상 아님","대상"))</f>
        <v/>
      </c>
      <c r="BB15" s="40">
        <f>IF($A15="","",IF(OR($BA15="대상 아님",$AZ15&lt;&gt;"",$AH15=1),0,MIN($AV15,$AW15,$AX15+$AY15)))</f>
        <v/>
      </c>
      <c r="BC15" s="40">
        <f>IF($A15="","",IF($AG15=1,MIN(StratMin*$AB15,$BB15),0))</f>
        <v/>
      </c>
      <c r="BD15" s="41">
        <f>IF($A15="","",IF(OR($V15&lt;=0,$BB15&lt;=0),0,Util*(GM*365/$V15-$AT15)))</f>
        <v/>
      </c>
      <c r="BE15" s="42">
        <f>IF($A15="","",Util*$AL15*$AN15*(1-$AO15))</f>
        <v/>
      </c>
      <c r="BF15" s="37">
        <f>IF($A15="","",IF($AC15="","0-2",IF($AC15&lt;=2,"0-2",IF($AC15=3,"3",IF($AC15&lt;=5,"4-5","6-7")))))</f>
        <v/>
      </c>
      <c r="BG15" s="40">
        <f>IF($A15="","",$Z15*$AM15*$AN15*(1-$AO15))</f>
        <v/>
      </c>
      <c r="BH15" s="40">
        <f>IF($A15="","",$Z15*(TSOFR3M+$AP15)*$V15/DayBasis)</f>
        <v/>
      </c>
      <c r="BI15" s="43">
        <f>IF($A15="","",$C15+$Z15*1E-13)</f>
        <v/>
      </c>
    </row>
    <row r="16">
      <c r="B16" s="32" t="n"/>
      <c r="C16" s="33" t="n"/>
      <c r="E16" s="33" t="n"/>
      <c r="H16" s="34" t="n"/>
      <c r="X16" s="35" t="n"/>
      <c r="Y16" s="35" t="n"/>
      <c r="Z16" s="35" t="n"/>
      <c r="AA16" s="35" t="n"/>
      <c r="AB16" s="35" t="n"/>
      <c r="AD16" s="36" t="n"/>
      <c r="AE16" s="36" t="n"/>
      <c r="AF16" s="36" t="n"/>
      <c r="AK16" s="37">
        <f>IF($A16="","",IF(GradeRule="quantile",$I16,$F16))</f>
        <v/>
      </c>
      <c r="AL16" s="38">
        <f>IF($A16="","",CHOOSE(MATCH($AK16,{"S","A","B","C"},0),PD_S,PD_A,PD_B,PD_C))</f>
        <v/>
      </c>
      <c r="AM16" s="38">
        <f>IF($A16="","",IF($AH16=1,1,$AL16))</f>
        <v/>
      </c>
      <c r="AN16" s="38">
        <f>IF($A16="","",IF(OR($U16="LC_SIGHT",$U16="LC_USANCE"),LGD_LC,LGD))</f>
        <v/>
      </c>
      <c r="AO16" s="38">
        <f>IF($A16="","",IF($W16="Y",Cov,0))</f>
        <v/>
      </c>
      <c r="AP16" s="38">
        <f>IF($A16="","",CHOOSE(MATCH($AK16,{"S","A","B","C"},0),Spread_S,Spread_A,Spread_B,Spread_C))</f>
        <v/>
      </c>
      <c r="AQ16" s="38">
        <f>IF($A16="","",CHOOSE(MATCH($AK16,{"S","A","B","C"},0),Prem_S,Prem_A,Prem_B,Prem_C))</f>
        <v/>
      </c>
      <c r="AR16" s="39">
        <f>IF(OR($A16="",$V16&lt;=0),"",TSOFR3M+$AP16+$AL16*$AN16)</f>
        <v/>
      </c>
      <c r="AS16" s="39">
        <f>IF(OR($A16="",$V16&lt;=0),"",TSOFR3M+$AP16+$AQ16*365/$V16+$AL16*$AN16*(1-Cov))</f>
        <v/>
      </c>
      <c r="AT16" s="39">
        <f>IF(OR($A16="",$V16&lt;=0),"",IF($W16="Y",$AS16,$AR16))</f>
        <v/>
      </c>
      <c r="AU16" s="37">
        <f>IF(OR($A16="",$V16&lt;=0),"",IF($AS16&lt;$AR16,"부보 유리","무보험 유리"))</f>
        <v/>
      </c>
      <c r="AV16" s="40">
        <f>IF($A16="","",$Y16*($V16+Grace)/30)</f>
        <v/>
      </c>
      <c r="AW16" s="40">
        <f>IF($A16="","",CHOOSE(MATCH($AK16,{"S","A","B","C"},0),$AV16,Cap_A,Cap_B,Cap_C_OA))</f>
        <v/>
      </c>
      <c r="AX16" s="40">
        <f>IF($A16="","",IF($W16="Y",$X16,0))</f>
        <v/>
      </c>
      <c r="AY16" s="40">
        <f>IF($A16="","",Equity_USD*CHOOSE(MATCH($AK16,{"S","A","B","C"},0),s_S,s_A,s_B,s_C))</f>
        <v/>
      </c>
      <c r="AZ16" s="37">
        <f>IF($A16="","",'13_EarlyWarning'!$AH19)</f>
        <v/>
      </c>
      <c r="BA16" s="37">
        <f>IF($A16="","",IF(OR($U16="LC_SIGHT",$U16="LC_USANCE",$U16="TT_ADV"),"대상 아님","대상"))</f>
        <v/>
      </c>
      <c r="BB16" s="40">
        <f>IF($A16="","",IF(OR($BA16="대상 아님",$AZ16&lt;&gt;"",$AH16=1),0,MIN($AV16,$AW16,$AX16+$AY16)))</f>
        <v/>
      </c>
      <c r="BC16" s="40">
        <f>IF($A16="","",IF($AG16=1,MIN(StratMin*$AB16,$BB16),0))</f>
        <v/>
      </c>
      <c r="BD16" s="41">
        <f>IF($A16="","",IF(OR($V16&lt;=0,$BB16&lt;=0),0,Util*(GM*365/$V16-$AT16)))</f>
        <v/>
      </c>
      <c r="BE16" s="42">
        <f>IF($A16="","",Util*$AL16*$AN16*(1-$AO16))</f>
        <v/>
      </c>
      <c r="BF16" s="37">
        <f>IF($A16="","",IF($AC16="","0-2",IF($AC16&lt;=2,"0-2",IF($AC16=3,"3",IF($AC16&lt;=5,"4-5","6-7")))))</f>
        <v/>
      </c>
      <c r="BG16" s="40">
        <f>IF($A16="","",$Z16*$AM16*$AN16*(1-$AO16))</f>
        <v/>
      </c>
      <c r="BH16" s="40">
        <f>IF($A16="","",$Z16*(TSOFR3M+$AP16)*$V16/DayBasis)</f>
        <v/>
      </c>
      <c r="BI16" s="43">
        <f>IF($A16="","",$C16+$Z16*1E-13)</f>
        <v/>
      </c>
    </row>
    <row r="17">
      <c r="B17" s="32" t="n"/>
      <c r="C17" s="33" t="n"/>
      <c r="E17" s="33" t="n"/>
      <c r="H17" s="34" t="n"/>
      <c r="X17" s="35" t="n"/>
      <c r="Y17" s="35" t="n"/>
      <c r="Z17" s="35" t="n"/>
      <c r="AA17" s="35" t="n"/>
      <c r="AB17" s="35" t="n"/>
      <c r="AD17" s="36" t="n"/>
      <c r="AE17" s="36" t="n"/>
      <c r="AF17" s="36" t="n"/>
      <c r="AK17" s="37">
        <f>IF($A17="","",IF(GradeRule="quantile",$I17,$F17))</f>
        <v/>
      </c>
      <c r="AL17" s="38">
        <f>IF($A17="","",CHOOSE(MATCH($AK17,{"S","A","B","C"},0),PD_S,PD_A,PD_B,PD_C))</f>
        <v/>
      </c>
      <c r="AM17" s="38">
        <f>IF($A17="","",IF($AH17=1,1,$AL17))</f>
        <v/>
      </c>
      <c r="AN17" s="38">
        <f>IF($A17="","",IF(OR($U17="LC_SIGHT",$U17="LC_USANCE"),LGD_LC,LGD))</f>
        <v/>
      </c>
      <c r="AO17" s="38">
        <f>IF($A17="","",IF($W17="Y",Cov,0))</f>
        <v/>
      </c>
      <c r="AP17" s="38">
        <f>IF($A17="","",CHOOSE(MATCH($AK17,{"S","A","B","C"},0),Spread_S,Spread_A,Spread_B,Spread_C))</f>
        <v/>
      </c>
      <c r="AQ17" s="38">
        <f>IF($A17="","",CHOOSE(MATCH($AK17,{"S","A","B","C"},0),Prem_S,Prem_A,Prem_B,Prem_C))</f>
        <v/>
      </c>
      <c r="AR17" s="39">
        <f>IF(OR($A17="",$V17&lt;=0),"",TSOFR3M+$AP17+$AL17*$AN17)</f>
        <v/>
      </c>
      <c r="AS17" s="39">
        <f>IF(OR($A17="",$V17&lt;=0),"",TSOFR3M+$AP17+$AQ17*365/$V17+$AL17*$AN17*(1-Cov))</f>
        <v/>
      </c>
      <c r="AT17" s="39">
        <f>IF(OR($A17="",$V17&lt;=0),"",IF($W17="Y",$AS17,$AR17))</f>
        <v/>
      </c>
      <c r="AU17" s="37">
        <f>IF(OR($A17="",$V17&lt;=0),"",IF($AS17&lt;$AR17,"부보 유리","무보험 유리"))</f>
        <v/>
      </c>
      <c r="AV17" s="40">
        <f>IF($A17="","",$Y17*($V17+Grace)/30)</f>
        <v/>
      </c>
      <c r="AW17" s="40">
        <f>IF($A17="","",CHOOSE(MATCH($AK17,{"S","A","B","C"},0),$AV17,Cap_A,Cap_B,Cap_C_OA))</f>
        <v/>
      </c>
      <c r="AX17" s="40">
        <f>IF($A17="","",IF($W17="Y",$X17,0))</f>
        <v/>
      </c>
      <c r="AY17" s="40">
        <f>IF($A17="","",Equity_USD*CHOOSE(MATCH($AK17,{"S","A","B","C"},0),s_S,s_A,s_B,s_C))</f>
        <v/>
      </c>
      <c r="AZ17" s="37">
        <f>IF($A17="","",'13_EarlyWarning'!$AH20)</f>
        <v/>
      </c>
      <c r="BA17" s="37">
        <f>IF($A17="","",IF(OR($U17="LC_SIGHT",$U17="LC_USANCE",$U17="TT_ADV"),"대상 아님","대상"))</f>
        <v/>
      </c>
      <c r="BB17" s="40">
        <f>IF($A17="","",IF(OR($BA17="대상 아님",$AZ17&lt;&gt;"",$AH17=1),0,MIN($AV17,$AW17,$AX17+$AY17)))</f>
        <v/>
      </c>
      <c r="BC17" s="40">
        <f>IF($A17="","",IF($AG17=1,MIN(StratMin*$AB17,$BB17),0))</f>
        <v/>
      </c>
      <c r="BD17" s="41">
        <f>IF($A17="","",IF(OR($V17&lt;=0,$BB17&lt;=0),0,Util*(GM*365/$V17-$AT17)))</f>
        <v/>
      </c>
      <c r="BE17" s="42">
        <f>IF($A17="","",Util*$AL17*$AN17*(1-$AO17))</f>
        <v/>
      </c>
      <c r="BF17" s="37">
        <f>IF($A17="","",IF($AC17="","0-2",IF($AC17&lt;=2,"0-2",IF($AC17=3,"3",IF($AC17&lt;=5,"4-5","6-7")))))</f>
        <v/>
      </c>
      <c r="BG17" s="40">
        <f>IF($A17="","",$Z17*$AM17*$AN17*(1-$AO17))</f>
        <v/>
      </c>
      <c r="BH17" s="40">
        <f>IF($A17="","",$Z17*(TSOFR3M+$AP17)*$V17/DayBasis)</f>
        <v/>
      </c>
      <c r="BI17" s="43">
        <f>IF($A17="","",$C17+$Z17*1E-13)</f>
        <v/>
      </c>
    </row>
    <row r="18">
      <c r="B18" s="32" t="n"/>
      <c r="C18" s="33" t="n"/>
      <c r="E18" s="33" t="n"/>
      <c r="H18" s="34" t="n"/>
      <c r="X18" s="35" t="n"/>
      <c r="Y18" s="35" t="n"/>
      <c r="Z18" s="35" t="n"/>
      <c r="AA18" s="35" t="n"/>
      <c r="AB18" s="35" t="n"/>
      <c r="AD18" s="36" t="n"/>
      <c r="AE18" s="36" t="n"/>
      <c r="AF18" s="36" t="n"/>
      <c r="AK18" s="37">
        <f>IF($A18="","",IF(GradeRule="quantile",$I18,$F18))</f>
        <v/>
      </c>
      <c r="AL18" s="38">
        <f>IF($A18="","",CHOOSE(MATCH($AK18,{"S","A","B","C"},0),PD_S,PD_A,PD_B,PD_C))</f>
        <v/>
      </c>
      <c r="AM18" s="38">
        <f>IF($A18="","",IF($AH18=1,1,$AL18))</f>
        <v/>
      </c>
      <c r="AN18" s="38">
        <f>IF($A18="","",IF(OR($U18="LC_SIGHT",$U18="LC_USANCE"),LGD_LC,LGD))</f>
        <v/>
      </c>
      <c r="AO18" s="38">
        <f>IF($A18="","",IF($W18="Y",Cov,0))</f>
        <v/>
      </c>
      <c r="AP18" s="38">
        <f>IF($A18="","",CHOOSE(MATCH($AK18,{"S","A","B","C"},0),Spread_S,Spread_A,Spread_B,Spread_C))</f>
        <v/>
      </c>
      <c r="AQ18" s="38">
        <f>IF($A18="","",CHOOSE(MATCH($AK18,{"S","A","B","C"},0),Prem_S,Prem_A,Prem_B,Prem_C))</f>
        <v/>
      </c>
      <c r="AR18" s="39">
        <f>IF(OR($A18="",$V18&lt;=0),"",TSOFR3M+$AP18+$AL18*$AN18)</f>
        <v/>
      </c>
      <c r="AS18" s="39">
        <f>IF(OR($A18="",$V18&lt;=0),"",TSOFR3M+$AP18+$AQ18*365/$V18+$AL18*$AN18*(1-Cov))</f>
        <v/>
      </c>
      <c r="AT18" s="39">
        <f>IF(OR($A18="",$V18&lt;=0),"",IF($W18="Y",$AS18,$AR18))</f>
        <v/>
      </c>
      <c r="AU18" s="37">
        <f>IF(OR($A18="",$V18&lt;=0),"",IF($AS18&lt;$AR18,"부보 유리","무보험 유리"))</f>
        <v/>
      </c>
      <c r="AV18" s="40">
        <f>IF($A18="","",$Y18*($V18+Grace)/30)</f>
        <v/>
      </c>
      <c r="AW18" s="40">
        <f>IF($A18="","",CHOOSE(MATCH($AK18,{"S","A","B","C"},0),$AV18,Cap_A,Cap_B,Cap_C_OA))</f>
        <v/>
      </c>
      <c r="AX18" s="40">
        <f>IF($A18="","",IF($W18="Y",$X18,0))</f>
        <v/>
      </c>
      <c r="AY18" s="40">
        <f>IF($A18="","",Equity_USD*CHOOSE(MATCH($AK18,{"S","A","B","C"},0),s_S,s_A,s_B,s_C))</f>
        <v/>
      </c>
      <c r="AZ18" s="37">
        <f>IF($A18="","",'13_EarlyWarning'!$AH21)</f>
        <v/>
      </c>
      <c r="BA18" s="37">
        <f>IF($A18="","",IF(OR($U18="LC_SIGHT",$U18="LC_USANCE",$U18="TT_ADV"),"대상 아님","대상"))</f>
        <v/>
      </c>
      <c r="BB18" s="40">
        <f>IF($A18="","",IF(OR($BA18="대상 아님",$AZ18&lt;&gt;"",$AH18=1),0,MIN($AV18,$AW18,$AX18+$AY18)))</f>
        <v/>
      </c>
      <c r="BC18" s="40">
        <f>IF($A18="","",IF($AG18=1,MIN(StratMin*$AB18,$BB18),0))</f>
        <v/>
      </c>
      <c r="BD18" s="41">
        <f>IF($A18="","",IF(OR($V18&lt;=0,$BB18&lt;=0),0,Util*(GM*365/$V18-$AT18)))</f>
        <v/>
      </c>
      <c r="BE18" s="42">
        <f>IF($A18="","",Util*$AL18*$AN18*(1-$AO18))</f>
        <v/>
      </c>
      <c r="BF18" s="37">
        <f>IF($A18="","",IF($AC18="","0-2",IF($AC18&lt;=2,"0-2",IF($AC18=3,"3",IF($AC18&lt;=5,"4-5","6-7")))))</f>
        <v/>
      </c>
      <c r="BG18" s="40">
        <f>IF($A18="","",$Z18*$AM18*$AN18*(1-$AO18))</f>
        <v/>
      </c>
      <c r="BH18" s="40">
        <f>IF($A18="","",$Z18*(TSOFR3M+$AP18)*$V18/DayBasis)</f>
        <v/>
      </c>
      <c r="BI18" s="43">
        <f>IF($A18="","",$C18+$Z18*1E-13)</f>
        <v/>
      </c>
    </row>
    <row r="19">
      <c r="B19" s="32" t="n"/>
      <c r="C19" s="33" t="n"/>
      <c r="E19" s="33" t="n"/>
      <c r="H19" s="34" t="n"/>
      <c r="X19" s="35" t="n"/>
      <c r="Y19" s="35" t="n"/>
      <c r="Z19" s="35" t="n"/>
      <c r="AA19" s="35" t="n"/>
      <c r="AB19" s="35" t="n"/>
      <c r="AD19" s="36" t="n"/>
      <c r="AE19" s="36" t="n"/>
      <c r="AF19" s="36" t="n"/>
      <c r="AK19" s="37">
        <f>IF($A19="","",IF(GradeRule="quantile",$I19,$F19))</f>
        <v/>
      </c>
      <c r="AL19" s="38">
        <f>IF($A19="","",CHOOSE(MATCH($AK19,{"S","A","B","C"},0),PD_S,PD_A,PD_B,PD_C))</f>
        <v/>
      </c>
      <c r="AM19" s="38">
        <f>IF($A19="","",IF($AH19=1,1,$AL19))</f>
        <v/>
      </c>
      <c r="AN19" s="38">
        <f>IF($A19="","",IF(OR($U19="LC_SIGHT",$U19="LC_USANCE"),LGD_LC,LGD))</f>
        <v/>
      </c>
      <c r="AO19" s="38">
        <f>IF($A19="","",IF($W19="Y",Cov,0))</f>
        <v/>
      </c>
      <c r="AP19" s="38">
        <f>IF($A19="","",CHOOSE(MATCH($AK19,{"S","A","B","C"},0),Spread_S,Spread_A,Spread_B,Spread_C))</f>
        <v/>
      </c>
      <c r="AQ19" s="38">
        <f>IF($A19="","",CHOOSE(MATCH($AK19,{"S","A","B","C"},0),Prem_S,Prem_A,Prem_B,Prem_C))</f>
        <v/>
      </c>
      <c r="AR19" s="39">
        <f>IF(OR($A19="",$V19&lt;=0),"",TSOFR3M+$AP19+$AL19*$AN19)</f>
        <v/>
      </c>
      <c r="AS19" s="39">
        <f>IF(OR($A19="",$V19&lt;=0),"",TSOFR3M+$AP19+$AQ19*365/$V19+$AL19*$AN19*(1-Cov))</f>
        <v/>
      </c>
      <c r="AT19" s="39">
        <f>IF(OR($A19="",$V19&lt;=0),"",IF($W19="Y",$AS19,$AR19))</f>
        <v/>
      </c>
      <c r="AU19" s="37">
        <f>IF(OR($A19="",$V19&lt;=0),"",IF($AS19&lt;$AR19,"부보 유리","무보험 유리"))</f>
        <v/>
      </c>
      <c r="AV19" s="40">
        <f>IF($A19="","",$Y19*($V19+Grace)/30)</f>
        <v/>
      </c>
      <c r="AW19" s="40">
        <f>IF($A19="","",CHOOSE(MATCH($AK19,{"S","A","B","C"},0),$AV19,Cap_A,Cap_B,Cap_C_OA))</f>
        <v/>
      </c>
      <c r="AX19" s="40">
        <f>IF($A19="","",IF($W19="Y",$X19,0))</f>
        <v/>
      </c>
      <c r="AY19" s="40">
        <f>IF($A19="","",Equity_USD*CHOOSE(MATCH($AK19,{"S","A","B","C"},0),s_S,s_A,s_B,s_C))</f>
        <v/>
      </c>
      <c r="AZ19" s="37">
        <f>IF($A19="","",'13_EarlyWarning'!$AH22)</f>
        <v/>
      </c>
      <c r="BA19" s="37">
        <f>IF($A19="","",IF(OR($U19="LC_SIGHT",$U19="LC_USANCE",$U19="TT_ADV"),"대상 아님","대상"))</f>
        <v/>
      </c>
      <c r="BB19" s="40">
        <f>IF($A19="","",IF(OR($BA19="대상 아님",$AZ19&lt;&gt;"",$AH19=1),0,MIN($AV19,$AW19,$AX19+$AY19)))</f>
        <v/>
      </c>
      <c r="BC19" s="40">
        <f>IF($A19="","",IF($AG19=1,MIN(StratMin*$AB19,$BB19),0))</f>
        <v/>
      </c>
      <c r="BD19" s="41">
        <f>IF($A19="","",IF(OR($V19&lt;=0,$BB19&lt;=0),0,Util*(GM*365/$V19-$AT19)))</f>
        <v/>
      </c>
      <c r="BE19" s="42">
        <f>IF($A19="","",Util*$AL19*$AN19*(1-$AO19))</f>
        <v/>
      </c>
      <c r="BF19" s="37">
        <f>IF($A19="","",IF($AC19="","0-2",IF($AC19&lt;=2,"0-2",IF($AC19=3,"3",IF($AC19&lt;=5,"4-5","6-7")))))</f>
        <v/>
      </c>
      <c r="BG19" s="40">
        <f>IF($A19="","",$Z19*$AM19*$AN19*(1-$AO19))</f>
        <v/>
      </c>
      <c r="BH19" s="40">
        <f>IF($A19="","",$Z19*(TSOFR3M+$AP19)*$V19/DayBasis)</f>
        <v/>
      </c>
      <c r="BI19" s="43">
        <f>IF($A19="","",$C19+$Z19*1E-13)</f>
        <v/>
      </c>
    </row>
    <row r="20">
      <c r="B20" s="32" t="n"/>
      <c r="C20" s="33" t="n"/>
      <c r="E20" s="33" t="n"/>
      <c r="H20" s="34" t="n"/>
      <c r="X20" s="35" t="n"/>
      <c r="Y20" s="35" t="n"/>
      <c r="Z20" s="35" t="n"/>
      <c r="AA20" s="35" t="n"/>
      <c r="AB20" s="35" t="n"/>
      <c r="AD20" s="36" t="n"/>
      <c r="AE20" s="36" t="n"/>
      <c r="AF20" s="36" t="n"/>
      <c r="AK20" s="37">
        <f>IF($A20="","",IF(GradeRule="quantile",$I20,$F20))</f>
        <v/>
      </c>
      <c r="AL20" s="38">
        <f>IF($A20="","",CHOOSE(MATCH($AK20,{"S","A","B","C"},0),PD_S,PD_A,PD_B,PD_C))</f>
        <v/>
      </c>
      <c r="AM20" s="38">
        <f>IF($A20="","",IF($AH20=1,1,$AL20))</f>
        <v/>
      </c>
      <c r="AN20" s="38">
        <f>IF($A20="","",IF(OR($U20="LC_SIGHT",$U20="LC_USANCE"),LGD_LC,LGD))</f>
        <v/>
      </c>
      <c r="AO20" s="38">
        <f>IF($A20="","",IF($W20="Y",Cov,0))</f>
        <v/>
      </c>
      <c r="AP20" s="38">
        <f>IF($A20="","",CHOOSE(MATCH($AK20,{"S","A","B","C"},0),Spread_S,Spread_A,Spread_B,Spread_C))</f>
        <v/>
      </c>
      <c r="AQ20" s="38">
        <f>IF($A20="","",CHOOSE(MATCH($AK20,{"S","A","B","C"},0),Prem_S,Prem_A,Prem_B,Prem_C))</f>
        <v/>
      </c>
      <c r="AR20" s="39">
        <f>IF(OR($A20="",$V20&lt;=0),"",TSOFR3M+$AP20+$AL20*$AN20)</f>
        <v/>
      </c>
      <c r="AS20" s="39">
        <f>IF(OR($A20="",$V20&lt;=0),"",TSOFR3M+$AP20+$AQ20*365/$V20+$AL20*$AN20*(1-Cov))</f>
        <v/>
      </c>
      <c r="AT20" s="39">
        <f>IF(OR($A20="",$V20&lt;=0),"",IF($W20="Y",$AS20,$AR20))</f>
        <v/>
      </c>
      <c r="AU20" s="37">
        <f>IF(OR($A20="",$V20&lt;=0),"",IF($AS20&lt;$AR20,"부보 유리","무보험 유리"))</f>
        <v/>
      </c>
      <c r="AV20" s="40">
        <f>IF($A20="","",$Y20*($V20+Grace)/30)</f>
        <v/>
      </c>
      <c r="AW20" s="40">
        <f>IF($A20="","",CHOOSE(MATCH($AK20,{"S","A","B","C"},0),$AV20,Cap_A,Cap_B,Cap_C_OA))</f>
        <v/>
      </c>
      <c r="AX20" s="40">
        <f>IF($A20="","",IF($W20="Y",$X20,0))</f>
        <v/>
      </c>
      <c r="AY20" s="40">
        <f>IF($A20="","",Equity_USD*CHOOSE(MATCH($AK20,{"S","A","B","C"},0),s_S,s_A,s_B,s_C))</f>
        <v/>
      </c>
      <c r="AZ20" s="37">
        <f>IF($A20="","",'13_EarlyWarning'!$AH23)</f>
        <v/>
      </c>
      <c r="BA20" s="37">
        <f>IF($A20="","",IF(OR($U20="LC_SIGHT",$U20="LC_USANCE",$U20="TT_ADV"),"대상 아님","대상"))</f>
        <v/>
      </c>
      <c r="BB20" s="40">
        <f>IF($A20="","",IF(OR($BA20="대상 아님",$AZ20&lt;&gt;"",$AH20=1),0,MIN($AV20,$AW20,$AX20+$AY20)))</f>
        <v/>
      </c>
      <c r="BC20" s="40">
        <f>IF($A20="","",IF($AG20=1,MIN(StratMin*$AB20,$BB20),0))</f>
        <v/>
      </c>
      <c r="BD20" s="41">
        <f>IF($A20="","",IF(OR($V20&lt;=0,$BB20&lt;=0),0,Util*(GM*365/$V20-$AT20)))</f>
        <v/>
      </c>
      <c r="BE20" s="42">
        <f>IF($A20="","",Util*$AL20*$AN20*(1-$AO20))</f>
        <v/>
      </c>
      <c r="BF20" s="37">
        <f>IF($A20="","",IF($AC20="","0-2",IF($AC20&lt;=2,"0-2",IF($AC20=3,"3",IF($AC20&lt;=5,"4-5","6-7")))))</f>
        <v/>
      </c>
      <c r="BG20" s="40">
        <f>IF($A20="","",$Z20*$AM20*$AN20*(1-$AO20))</f>
        <v/>
      </c>
      <c r="BH20" s="40">
        <f>IF($A20="","",$Z20*(TSOFR3M+$AP20)*$V20/DayBasis)</f>
        <v/>
      </c>
      <c r="BI20" s="43">
        <f>IF($A20="","",$C20+$Z20*1E-13)</f>
        <v/>
      </c>
    </row>
    <row r="21">
      <c r="B21" s="32" t="n"/>
      <c r="C21" s="33" t="n"/>
      <c r="E21" s="33" t="n"/>
      <c r="H21" s="34" t="n"/>
      <c r="X21" s="35" t="n"/>
      <c r="Y21" s="35" t="n"/>
      <c r="Z21" s="35" t="n"/>
      <c r="AA21" s="35" t="n"/>
      <c r="AB21" s="35" t="n"/>
      <c r="AD21" s="36" t="n"/>
      <c r="AE21" s="36" t="n"/>
      <c r="AF21" s="36" t="n"/>
      <c r="AK21" s="37">
        <f>IF($A21="","",IF(GradeRule="quantile",$I21,$F21))</f>
        <v/>
      </c>
      <c r="AL21" s="38">
        <f>IF($A21="","",CHOOSE(MATCH($AK21,{"S","A","B","C"},0),PD_S,PD_A,PD_B,PD_C))</f>
        <v/>
      </c>
      <c r="AM21" s="38">
        <f>IF($A21="","",IF($AH21=1,1,$AL21))</f>
        <v/>
      </c>
      <c r="AN21" s="38">
        <f>IF($A21="","",IF(OR($U21="LC_SIGHT",$U21="LC_USANCE"),LGD_LC,LGD))</f>
        <v/>
      </c>
      <c r="AO21" s="38">
        <f>IF($A21="","",IF($W21="Y",Cov,0))</f>
        <v/>
      </c>
      <c r="AP21" s="38">
        <f>IF($A21="","",CHOOSE(MATCH($AK21,{"S","A","B","C"},0),Spread_S,Spread_A,Spread_B,Spread_C))</f>
        <v/>
      </c>
      <c r="AQ21" s="38">
        <f>IF($A21="","",CHOOSE(MATCH($AK21,{"S","A","B","C"},0),Prem_S,Prem_A,Prem_B,Prem_C))</f>
        <v/>
      </c>
      <c r="AR21" s="39">
        <f>IF(OR($A21="",$V21&lt;=0),"",TSOFR3M+$AP21+$AL21*$AN21)</f>
        <v/>
      </c>
      <c r="AS21" s="39">
        <f>IF(OR($A21="",$V21&lt;=0),"",TSOFR3M+$AP21+$AQ21*365/$V21+$AL21*$AN21*(1-Cov))</f>
        <v/>
      </c>
      <c r="AT21" s="39">
        <f>IF(OR($A21="",$V21&lt;=0),"",IF($W21="Y",$AS21,$AR21))</f>
        <v/>
      </c>
      <c r="AU21" s="37">
        <f>IF(OR($A21="",$V21&lt;=0),"",IF($AS21&lt;$AR21,"부보 유리","무보험 유리"))</f>
        <v/>
      </c>
      <c r="AV21" s="40">
        <f>IF($A21="","",$Y21*($V21+Grace)/30)</f>
        <v/>
      </c>
      <c r="AW21" s="40">
        <f>IF($A21="","",CHOOSE(MATCH($AK21,{"S","A","B","C"},0),$AV21,Cap_A,Cap_B,Cap_C_OA))</f>
        <v/>
      </c>
      <c r="AX21" s="40">
        <f>IF($A21="","",IF($W21="Y",$X21,0))</f>
        <v/>
      </c>
      <c r="AY21" s="40">
        <f>IF($A21="","",Equity_USD*CHOOSE(MATCH($AK21,{"S","A","B","C"},0),s_S,s_A,s_B,s_C))</f>
        <v/>
      </c>
      <c r="AZ21" s="37">
        <f>IF($A21="","",'13_EarlyWarning'!$AH24)</f>
        <v/>
      </c>
      <c r="BA21" s="37">
        <f>IF($A21="","",IF(OR($U21="LC_SIGHT",$U21="LC_USANCE",$U21="TT_ADV"),"대상 아님","대상"))</f>
        <v/>
      </c>
      <c r="BB21" s="40">
        <f>IF($A21="","",IF(OR($BA21="대상 아님",$AZ21&lt;&gt;"",$AH21=1),0,MIN($AV21,$AW21,$AX21+$AY21)))</f>
        <v/>
      </c>
      <c r="BC21" s="40">
        <f>IF($A21="","",IF($AG21=1,MIN(StratMin*$AB21,$BB21),0))</f>
        <v/>
      </c>
      <c r="BD21" s="41">
        <f>IF($A21="","",IF(OR($V21&lt;=0,$BB21&lt;=0),0,Util*(GM*365/$V21-$AT21)))</f>
        <v/>
      </c>
      <c r="BE21" s="42">
        <f>IF($A21="","",Util*$AL21*$AN21*(1-$AO21))</f>
        <v/>
      </c>
      <c r="BF21" s="37">
        <f>IF($A21="","",IF($AC21="","0-2",IF($AC21&lt;=2,"0-2",IF($AC21=3,"3",IF($AC21&lt;=5,"4-5","6-7")))))</f>
        <v/>
      </c>
      <c r="BG21" s="40">
        <f>IF($A21="","",$Z21*$AM21*$AN21*(1-$AO21))</f>
        <v/>
      </c>
      <c r="BH21" s="40">
        <f>IF($A21="","",$Z21*(TSOFR3M+$AP21)*$V21/DayBasis)</f>
        <v/>
      </c>
      <c r="BI21" s="43">
        <f>IF($A21="","",$C21+$Z21*1E-13)</f>
        <v/>
      </c>
    </row>
    <row r="22">
      <c r="B22" s="32" t="n"/>
      <c r="C22" s="33" t="n"/>
      <c r="E22" s="33" t="n"/>
      <c r="H22" s="34" t="n"/>
      <c r="X22" s="35" t="n"/>
      <c r="Y22" s="35" t="n"/>
      <c r="Z22" s="35" t="n"/>
      <c r="AA22" s="35" t="n"/>
      <c r="AB22" s="35" t="n"/>
      <c r="AD22" s="36" t="n"/>
      <c r="AE22" s="36" t="n"/>
      <c r="AF22" s="36" t="n"/>
      <c r="AK22" s="37">
        <f>IF($A22="","",IF(GradeRule="quantile",$I22,$F22))</f>
        <v/>
      </c>
      <c r="AL22" s="38">
        <f>IF($A22="","",CHOOSE(MATCH($AK22,{"S","A","B","C"},0),PD_S,PD_A,PD_B,PD_C))</f>
        <v/>
      </c>
      <c r="AM22" s="38">
        <f>IF($A22="","",IF($AH22=1,1,$AL22))</f>
        <v/>
      </c>
      <c r="AN22" s="38">
        <f>IF($A22="","",IF(OR($U22="LC_SIGHT",$U22="LC_USANCE"),LGD_LC,LGD))</f>
        <v/>
      </c>
      <c r="AO22" s="38">
        <f>IF($A22="","",IF($W22="Y",Cov,0))</f>
        <v/>
      </c>
      <c r="AP22" s="38">
        <f>IF($A22="","",CHOOSE(MATCH($AK22,{"S","A","B","C"},0),Spread_S,Spread_A,Spread_B,Spread_C))</f>
        <v/>
      </c>
      <c r="AQ22" s="38">
        <f>IF($A22="","",CHOOSE(MATCH($AK22,{"S","A","B","C"},0),Prem_S,Prem_A,Prem_B,Prem_C))</f>
        <v/>
      </c>
      <c r="AR22" s="39">
        <f>IF(OR($A22="",$V22&lt;=0),"",TSOFR3M+$AP22+$AL22*$AN22)</f>
        <v/>
      </c>
      <c r="AS22" s="39">
        <f>IF(OR($A22="",$V22&lt;=0),"",TSOFR3M+$AP22+$AQ22*365/$V22+$AL22*$AN22*(1-Cov))</f>
        <v/>
      </c>
      <c r="AT22" s="39">
        <f>IF(OR($A22="",$V22&lt;=0),"",IF($W22="Y",$AS22,$AR22))</f>
        <v/>
      </c>
      <c r="AU22" s="37">
        <f>IF(OR($A22="",$V22&lt;=0),"",IF($AS22&lt;$AR22,"부보 유리","무보험 유리"))</f>
        <v/>
      </c>
      <c r="AV22" s="40">
        <f>IF($A22="","",$Y22*($V22+Grace)/30)</f>
        <v/>
      </c>
      <c r="AW22" s="40">
        <f>IF($A22="","",CHOOSE(MATCH($AK22,{"S","A","B","C"},0),$AV22,Cap_A,Cap_B,Cap_C_OA))</f>
        <v/>
      </c>
      <c r="AX22" s="40">
        <f>IF($A22="","",IF($W22="Y",$X22,0))</f>
        <v/>
      </c>
      <c r="AY22" s="40">
        <f>IF($A22="","",Equity_USD*CHOOSE(MATCH($AK22,{"S","A","B","C"},0),s_S,s_A,s_B,s_C))</f>
        <v/>
      </c>
      <c r="AZ22" s="37">
        <f>IF($A22="","",'13_EarlyWarning'!$AH25)</f>
        <v/>
      </c>
      <c r="BA22" s="37">
        <f>IF($A22="","",IF(OR($U22="LC_SIGHT",$U22="LC_USANCE",$U22="TT_ADV"),"대상 아님","대상"))</f>
        <v/>
      </c>
      <c r="BB22" s="40">
        <f>IF($A22="","",IF(OR($BA22="대상 아님",$AZ22&lt;&gt;"",$AH22=1),0,MIN($AV22,$AW22,$AX22+$AY22)))</f>
        <v/>
      </c>
      <c r="BC22" s="40">
        <f>IF($A22="","",IF($AG22=1,MIN(StratMin*$AB22,$BB22),0))</f>
        <v/>
      </c>
      <c r="BD22" s="41">
        <f>IF($A22="","",IF(OR($V22&lt;=0,$BB22&lt;=0),0,Util*(GM*365/$V22-$AT22)))</f>
        <v/>
      </c>
      <c r="BE22" s="42">
        <f>IF($A22="","",Util*$AL22*$AN22*(1-$AO22))</f>
        <v/>
      </c>
      <c r="BF22" s="37">
        <f>IF($A22="","",IF($AC22="","0-2",IF($AC22&lt;=2,"0-2",IF($AC22=3,"3",IF($AC22&lt;=5,"4-5","6-7")))))</f>
        <v/>
      </c>
      <c r="BG22" s="40">
        <f>IF($A22="","",$Z22*$AM22*$AN22*(1-$AO22))</f>
        <v/>
      </c>
      <c r="BH22" s="40">
        <f>IF($A22="","",$Z22*(TSOFR3M+$AP22)*$V22/DayBasis)</f>
        <v/>
      </c>
      <c r="BI22" s="43">
        <f>IF($A22="","",$C22+$Z22*1E-13)</f>
        <v/>
      </c>
    </row>
    <row r="23">
      <c r="B23" s="32" t="n"/>
      <c r="C23" s="33" t="n"/>
      <c r="E23" s="33" t="n"/>
      <c r="H23" s="34" t="n"/>
      <c r="X23" s="35" t="n"/>
      <c r="Y23" s="35" t="n"/>
      <c r="Z23" s="35" t="n"/>
      <c r="AA23" s="35" t="n"/>
      <c r="AB23" s="35" t="n"/>
      <c r="AD23" s="36" t="n"/>
      <c r="AE23" s="36" t="n"/>
      <c r="AF23" s="36" t="n"/>
      <c r="AK23" s="37">
        <f>IF($A23="","",IF(GradeRule="quantile",$I23,$F23))</f>
        <v/>
      </c>
      <c r="AL23" s="38">
        <f>IF($A23="","",CHOOSE(MATCH($AK23,{"S","A","B","C"},0),PD_S,PD_A,PD_B,PD_C))</f>
        <v/>
      </c>
      <c r="AM23" s="38">
        <f>IF($A23="","",IF($AH23=1,1,$AL23))</f>
        <v/>
      </c>
      <c r="AN23" s="38">
        <f>IF($A23="","",IF(OR($U23="LC_SIGHT",$U23="LC_USANCE"),LGD_LC,LGD))</f>
        <v/>
      </c>
      <c r="AO23" s="38">
        <f>IF($A23="","",IF($W23="Y",Cov,0))</f>
        <v/>
      </c>
      <c r="AP23" s="38">
        <f>IF($A23="","",CHOOSE(MATCH($AK23,{"S","A","B","C"},0),Spread_S,Spread_A,Spread_B,Spread_C))</f>
        <v/>
      </c>
      <c r="AQ23" s="38">
        <f>IF($A23="","",CHOOSE(MATCH($AK23,{"S","A","B","C"},0),Prem_S,Prem_A,Prem_B,Prem_C))</f>
        <v/>
      </c>
      <c r="AR23" s="39">
        <f>IF(OR($A23="",$V23&lt;=0),"",TSOFR3M+$AP23+$AL23*$AN23)</f>
        <v/>
      </c>
      <c r="AS23" s="39">
        <f>IF(OR($A23="",$V23&lt;=0),"",TSOFR3M+$AP23+$AQ23*365/$V23+$AL23*$AN23*(1-Cov))</f>
        <v/>
      </c>
      <c r="AT23" s="39">
        <f>IF(OR($A23="",$V23&lt;=0),"",IF($W23="Y",$AS23,$AR23))</f>
        <v/>
      </c>
      <c r="AU23" s="37">
        <f>IF(OR($A23="",$V23&lt;=0),"",IF($AS23&lt;$AR23,"부보 유리","무보험 유리"))</f>
        <v/>
      </c>
      <c r="AV23" s="40">
        <f>IF($A23="","",$Y23*($V23+Grace)/30)</f>
        <v/>
      </c>
      <c r="AW23" s="40">
        <f>IF($A23="","",CHOOSE(MATCH($AK23,{"S","A","B","C"},0),$AV23,Cap_A,Cap_B,Cap_C_OA))</f>
        <v/>
      </c>
      <c r="AX23" s="40">
        <f>IF($A23="","",IF($W23="Y",$X23,0))</f>
        <v/>
      </c>
      <c r="AY23" s="40">
        <f>IF($A23="","",Equity_USD*CHOOSE(MATCH($AK23,{"S","A","B","C"},0),s_S,s_A,s_B,s_C))</f>
        <v/>
      </c>
      <c r="AZ23" s="37">
        <f>IF($A23="","",'13_EarlyWarning'!$AH26)</f>
        <v/>
      </c>
      <c r="BA23" s="37">
        <f>IF($A23="","",IF(OR($U23="LC_SIGHT",$U23="LC_USANCE",$U23="TT_ADV"),"대상 아님","대상"))</f>
        <v/>
      </c>
      <c r="BB23" s="40">
        <f>IF($A23="","",IF(OR($BA23="대상 아님",$AZ23&lt;&gt;"",$AH23=1),0,MIN($AV23,$AW23,$AX23+$AY23)))</f>
        <v/>
      </c>
      <c r="BC23" s="40">
        <f>IF($A23="","",IF($AG23=1,MIN(StratMin*$AB23,$BB23),0))</f>
        <v/>
      </c>
      <c r="BD23" s="41">
        <f>IF($A23="","",IF(OR($V23&lt;=0,$BB23&lt;=0),0,Util*(GM*365/$V23-$AT23)))</f>
        <v/>
      </c>
      <c r="BE23" s="42">
        <f>IF($A23="","",Util*$AL23*$AN23*(1-$AO23))</f>
        <v/>
      </c>
      <c r="BF23" s="37">
        <f>IF($A23="","",IF($AC23="","0-2",IF($AC23&lt;=2,"0-2",IF($AC23=3,"3",IF($AC23&lt;=5,"4-5","6-7")))))</f>
        <v/>
      </c>
      <c r="BG23" s="40">
        <f>IF($A23="","",$Z23*$AM23*$AN23*(1-$AO23))</f>
        <v/>
      </c>
      <c r="BH23" s="40">
        <f>IF($A23="","",$Z23*(TSOFR3M+$AP23)*$V23/DayBasis)</f>
        <v/>
      </c>
      <c r="BI23" s="43">
        <f>IF($A23="","",$C23+$Z23*1E-13)</f>
        <v/>
      </c>
    </row>
    <row r="24">
      <c r="B24" s="32" t="n"/>
      <c r="C24" s="33" t="n"/>
      <c r="E24" s="33" t="n"/>
      <c r="H24" s="34" t="n"/>
      <c r="X24" s="35" t="n"/>
      <c r="Y24" s="35" t="n"/>
      <c r="Z24" s="35" t="n"/>
      <c r="AA24" s="35" t="n"/>
      <c r="AB24" s="35" t="n"/>
      <c r="AD24" s="36" t="n"/>
      <c r="AE24" s="36" t="n"/>
      <c r="AF24" s="36" t="n"/>
      <c r="AK24" s="37">
        <f>IF($A24="","",IF(GradeRule="quantile",$I24,$F24))</f>
        <v/>
      </c>
      <c r="AL24" s="38">
        <f>IF($A24="","",CHOOSE(MATCH($AK24,{"S","A","B","C"},0),PD_S,PD_A,PD_B,PD_C))</f>
        <v/>
      </c>
      <c r="AM24" s="38">
        <f>IF($A24="","",IF($AH24=1,1,$AL24))</f>
        <v/>
      </c>
      <c r="AN24" s="38">
        <f>IF($A24="","",IF(OR($U24="LC_SIGHT",$U24="LC_USANCE"),LGD_LC,LGD))</f>
        <v/>
      </c>
      <c r="AO24" s="38">
        <f>IF($A24="","",IF($W24="Y",Cov,0))</f>
        <v/>
      </c>
      <c r="AP24" s="38">
        <f>IF($A24="","",CHOOSE(MATCH($AK24,{"S","A","B","C"},0),Spread_S,Spread_A,Spread_B,Spread_C))</f>
        <v/>
      </c>
      <c r="AQ24" s="38">
        <f>IF($A24="","",CHOOSE(MATCH($AK24,{"S","A","B","C"},0),Prem_S,Prem_A,Prem_B,Prem_C))</f>
        <v/>
      </c>
      <c r="AR24" s="39">
        <f>IF(OR($A24="",$V24&lt;=0),"",TSOFR3M+$AP24+$AL24*$AN24)</f>
        <v/>
      </c>
      <c r="AS24" s="39">
        <f>IF(OR($A24="",$V24&lt;=0),"",TSOFR3M+$AP24+$AQ24*365/$V24+$AL24*$AN24*(1-Cov))</f>
        <v/>
      </c>
      <c r="AT24" s="39">
        <f>IF(OR($A24="",$V24&lt;=0),"",IF($W24="Y",$AS24,$AR24))</f>
        <v/>
      </c>
      <c r="AU24" s="37">
        <f>IF(OR($A24="",$V24&lt;=0),"",IF($AS24&lt;$AR24,"부보 유리","무보험 유리"))</f>
        <v/>
      </c>
      <c r="AV24" s="40">
        <f>IF($A24="","",$Y24*($V24+Grace)/30)</f>
        <v/>
      </c>
      <c r="AW24" s="40">
        <f>IF($A24="","",CHOOSE(MATCH($AK24,{"S","A","B","C"},0),$AV24,Cap_A,Cap_B,Cap_C_OA))</f>
        <v/>
      </c>
      <c r="AX24" s="40">
        <f>IF($A24="","",IF($W24="Y",$X24,0))</f>
        <v/>
      </c>
      <c r="AY24" s="40">
        <f>IF($A24="","",Equity_USD*CHOOSE(MATCH($AK24,{"S","A","B","C"},0),s_S,s_A,s_B,s_C))</f>
        <v/>
      </c>
      <c r="AZ24" s="37">
        <f>IF($A24="","",'13_EarlyWarning'!$AH27)</f>
        <v/>
      </c>
      <c r="BA24" s="37">
        <f>IF($A24="","",IF(OR($U24="LC_SIGHT",$U24="LC_USANCE",$U24="TT_ADV"),"대상 아님","대상"))</f>
        <v/>
      </c>
      <c r="BB24" s="40">
        <f>IF($A24="","",IF(OR($BA24="대상 아님",$AZ24&lt;&gt;"",$AH24=1),0,MIN($AV24,$AW24,$AX24+$AY24)))</f>
        <v/>
      </c>
      <c r="BC24" s="40">
        <f>IF($A24="","",IF($AG24=1,MIN(StratMin*$AB24,$BB24),0))</f>
        <v/>
      </c>
      <c r="BD24" s="41">
        <f>IF($A24="","",IF(OR($V24&lt;=0,$BB24&lt;=0),0,Util*(GM*365/$V24-$AT24)))</f>
        <v/>
      </c>
      <c r="BE24" s="42">
        <f>IF($A24="","",Util*$AL24*$AN24*(1-$AO24))</f>
        <v/>
      </c>
      <c r="BF24" s="37">
        <f>IF($A24="","",IF($AC24="","0-2",IF($AC24&lt;=2,"0-2",IF($AC24=3,"3",IF($AC24&lt;=5,"4-5","6-7")))))</f>
        <v/>
      </c>
      <c r="BG24" s="40">
        <f>IF($A24="","",$Z24*$AM24*$AN24*(1-$AO24))</f>
        <v/>
      </c>
      <c r="BH24" s="40">
        <f>IF($A24="","",$Z24*(TSOFR3M+$AP24)*$V24/DayBasis)</f>
        <v/>
      </c>
      <c r="BI24" s="43">
        <f>IF($A24="","",$C24+$Z24*1E-13)</f>
        <v/>
      </c>
    </row>
    <row r="25">
      <c r="B25" s="32" t="n"/>
      <c r="C25" s="33" t="n"/>
      <c r="E25" s="33" t="n"/>
      <c r="H25" s="34" t="n"/>
      <c r="X25" s="35" t="n"/>
      <c r="Y25" s="35" t="n"/>
      <c r="Z25" s="35" t="n"/>
      <c r="AA25" s="35" t="n"/>
      <c r="AB25" s="35" t="n"/>
      <c r="AD25" s="36" t="n"/>
      <c r="AE25" s="36" t="n"/>
      <c r="AF25" s="36" t="n"/>
      <c r="AK25" s="37">
        <f>IF($A25="","",IF(GradeRule="quantile",$I25,$F25))</f>
        <v/>
      </c>
      <c r="AL25" s="38">
        <f>IF($A25="","",CHOOSE(MATCH($AK25,{"S","A","B","C"},0),PD_S,PD_A,PD_B,PD_C))</f>
        <v/>
      </c>
      <c r="AM25" s="38">
        <f>IF($A25="","",IF($AH25=1,1,$AL25))</f>
        <v/>
      </c>
      <c r="AN25" s="38">
        <f>IF($A25="","",IF(OR($U25="LC_SIGHT",$U25="LC_USANCE"),LGD_LC,LGD))</f>
        <v/>
      </c>
      <c r="AO25" s="38">
        <f>IF($A25="","",IF($W25="Y",Cov,0))</f>
        <v/>
      </c>
      <c r="AP25" s="38">
        <f>IF($A25="","",CHOOSE(MATCH($AK25,{"S","A","B","C"},0),Spread_S,Spread_A,Spread_B,Spread_C))</f>
        <v/>
      </c>
      <c r="AQ25" s="38">
        <f>IF($A25="","",CHOOSE(MATCH($AK25,{"S","A","B","C"},0),Prem_S,Prem_A,Prem_B,Prem_C))</f>
        <v/>
      </c>
      <c r="AR25" s="39">
        <f>IF(OR($A25="",$V25&lt;=0),"",TSOFR3M+$AP25+$AL25*$AN25)</f>
        <v/>
      </c>
      <c r="AS25" s="39">
        <f>IF(OR($A25="",$V25&lt;=0),"",TSOFR3M+$AP25+$AQ25*365/$V25+$AL25*$AN25*(1-Cov))</f>
        <v/>
      </c>
      <c r="AT25" s="39">
        <f>IF(OR($A25="",$V25&lt;=0),"",IF($W25="Y",$AS25,$AR25))</f>
        <v/>
      </c>
      <c r="AU25" s="37">
        <f>IF(OR($A25="",$V25&lt;=0),"",IF($AS25&lt;$AR25,"부보 유리","무보험 유리"))</f>
        <v/>
      </c>
      <c r="AV25" s="40">
        <f>IF($A25="","",$Y25*($V25+Grace)/30)</f>
        <v/>
      </c>
      <c r="AW25" s="40">
        <f>IF($A25="","",CHOOSE(MATCH($AK25,{"S","A","B","C"},0),$AV25,Cap_A,Cap_B,Cap_C_OA))</f>
        <v/>
      </c>
      <c r="AX25" s="40">
        <f>IF($A25="","",IF($W25="Y",$X25,0))</f>
        <v/>
      </c>
      <c r="AY25" s="40">
        <f>IF($A25="","",Equity_USD*CHOOSE(MATCH($AK25,{"S","A","B","C"},0),s_S,s_A,s_B,s_C))</f>
        <v/>
      </c>
      <c r="AZ25" s="37">
        <f>IF($A25="","",'13_EarlyWarning'!$AH28)</f>
        <v/>
      </c>
      <c r="BA25" s="37">
        <f>IF($A25="","",IF(OR($U25="LC_SIGHT",$U25="LC_USANCE",$U25="TT_ADV"),"대상 아님","대상"))</f>
        <v/>
      </c>
      <c r="BB25" s="40">
        <f>IF($A25="","",IF(OR($BA25="대상 아님",$AZ25&lt;&gt;"",$AH25=1),0,MIN($AV25,$AW25,$AX25+$AY25)))</f>
        <v/>
      </c>
      <c r="BC25" s="40">
        <f>IF($A25="","",IF($AG25=1,MIN(StratMin*$AB25,$BB25),0))</f>
        <v/>
      </c>
      <c r="BD25" s="41">
        <f>IF($A25="","",IF(OR($V25&lt;=0,$BB25&lt;=0),0,Util*(GM*365/$V25-$AT25)))</f>
        <v/>
      </c>
      <c r="BE25" s="42">
        <f>IF($A25="","",Util*$AL25*$AN25*(1-$AO25))</f>
        <v/>
      </c>
      <c r="BF25" s="37">
        <f>IF($A25="","",IF($AC25="","0-2",IF($AC25&lt;=2,"0-2",IF($AC25=3,"3",IF($AC25&lt;=5,"4-5","6-7")))))</f>
        <v/>
      </c>
      <c r="BG25" s="40">
        <f>IF($A25="","",$Z25*$AM25*$AN25*(1-$AO25))</f>
        <v/>
      </c>
      <c r="BH25" s="40">
        <f>IF($A25="","",$Z25*(TSOFR3M+$AP25)*$V25/DayBasis)</f>
        <v/>
      </c>
      <c r="BI25" s="43">
        <f>IF($A25="","",$C25+$Z25*1E-13)</f>
        <v/>
      </c>
    </row>
    <row r="26">
      <c r="B26" s="32" t="n"/>
      <c r="C26" s="33" t="n"/>
      <c r="E26" s="33" t="n"/>
      <c r="H26" s="34" t="n"/>
      <c r="X26" s="35" t="n"/>
      <c r="Y26" s="35" t="n"/>
      <c r="Z26" s="35" t="n"/>
      <c r="AA26" s="35" t="n"/>
      <c r="AB26" s="35" t="n"/>
      <c r="AD26" s="36" t="n"/>
      <c r="AE26" s="36" t="n"/>
      <c r="AF26" s="36" t="n"/>
      <c r="AK26" s="37">
        <f>IF($A26="","",IF(GradeRule="quantile",$I26,$F26))</f>
        <v/>
      </c>
      <c r="AL26" s="38">
        <f>IF($A26="","",CHOOSE(MATCH($AK26,{"S","A","B","C"},0),PD_S,PD_A,PD_B,PD_C))</f>
        <v/>
      </c>
      <c r="AM26" s="38">
        <f>IF($A26="","",IF($AH26=1,1,$AL26))</f>
        <v/>
      </c>
      <c r="AN26" s="38">
        <f>IF($A26="","",IF(OR($U26="LC_SIGHT",$U26="LC_USANCE"),LGD_LC,LGD))</f>
        <v/>
      </c>
      <c r="AO26" s="38">
        <f>IF($A26="","",IF($W26="Y",Cov,0))</f>
        <v/>
      </c>
      <c r="AP26" s="38">
        <f>IF($A26="","",CHOOSE(MATCH($AK26,{"S","A","B","C"},0),Spread_S,Spread_A,Spread_B,Spread_C))</f>
        <v/>
      </c>
      <c r="AQ26" s="38">
        <f>IF($A26="","",CHOOSE(MATCH($AK26,{"S","A","B","C"},0),Prem_S,Prem_A,Prem_B,Prem_C))</f>
        <v/>
      </c>
      <c r="AR26" s="39">
        <f>IF(OR($A26="",$V26&lt;=0),"",TSOFR3M+$AP26+$AL26*$AN26)</f>
        <v/>
      </c>
      <c r="AS26" s="39">
        <f>IF(OR($A26="",$V26&lt;=0),"",TSOFR3M+$AP26+$AQ26*365/$V26+$AL26*$AN26*(1-Cov))</f>
        <v/>
      </c>
      <c r="AT26" s="39">
        <f>IF(OR($A26="",$V26&lt;=0),"",IF($W26="Y",$AS26,$AR26))</f>
        <v/>
      </c>
      <c r="AU26" s="37">
        <f>IF(OR($A26="",$V26&lt;=0),"",IF($AS26&lt;$AR26,"부보 유리","무보험 유리"))</f>
        <v/>
      </c>
      <c r="AV26" s="40">
        <f>IF($A26="","",$Y26*($V26+Grace)/30)</f>
        <v/>
      </c>
      <c r="AW26" s="40">
        <f>IF($A26="","",CHOOSE(MATCH($AK26,{"S","A","B","C"},0),$AV26,Cap_A,Cap_B,Cap_C_OA))</f>
        <v/>
      </c>
      <c r="AX26" s="40">
        <f>IF($A26="","",IF($W26="Y",$X26,0))</f>
        <v/>
      </c>
      <c r="AY26" s="40">
        <f>IF($A26="","",Equity_USD*CHOOSE(MATCH($AK26,{"S","A","B","C"},0),s_S,s_A,s_B,s_C))</f>
        <v/>
      </c>
      <c r="AZ26" s="37">
        <f>IF($A26="","",'13_EarlyWarning'!$AH29)</f>
        <v/>
      </c>
      <c r="BA26" s="37">
        <f>IF($A26="","",IF(OR($U26="LC_SIGHT",$U26="LC_USANCE",$U26="TT_ADV"),"대상 아님","대상"))</f>
        <v/>
      </c>
      <c r="BB26" s="40">
        <f>IF($A26="","",IF(OR($BA26="대상 아님",$AZ26&lt;&gt;"",$AH26=1),0,MIN($AV26,$AW26,$AX26+$AY26)))</f>
        <v/>
      </c>
      <c r="BC26" s="40">
        <f>IF($A26="","",IF($AG26=1,MIN(StratMin*$AB26,$BB26),0))</f>
        <v/>
      </c>
      <c r="BD26" s="41">
        <f>IF($A26="","",IF(OR($V26&lt;=0,$BB26&lt;=0),0,Util*(GM*365/$V26-$AT26)))</f>
        <v/>
      </c>
      <c r="BE26" s="42">
        <f>IF($A26="","",Util*$AL26*$AN26*(1-$AO26))</f>
        <v/>
      </c>
      <c r="BF26" s="37">
        <f>IF($A26="","",IF($AC26="","0-2",IF($AC26&lt;=2,"0-2",IF($AC26=3,"3",IF($AC26&lt;=5,"4-5","6-7")))))</f>
        <v/>
      </c>
      <c r="BG26" s="40">
        <f>IF($A26="","",$Z26*$AM26*$AN26*(1-$AO26))</f>
        <v/>
      </c>
      <c r="BH26" s="40">
        <f>IF($A26="","",$Z26*(TSOFR3M+$AP26)*$V26/DayBasis)</f>
        <v/>
      </c>
      <c r="BI26" s="43">
        <f>IF($A26="","",$C26+$Z26*1E-13)</f>
        <v/>
      </c>
    </row>
    <row r="27">
      <c r="B27" s="32" t="n"/>
      <c r="C27" s="33" t="n"/>
      <c r="E27" s="33" t="n"/>
      <c r="H27" s="34" t="n"/>
      <c r="X27" s="35" t="n"/>
      <c r="Y27" s="35" t="n"/>
      <c r="Z27" s="35" t="n"/>
      <c r="AA27" s="35" t="n"/>
      <c r="AB27" s="35" t="n"/>
      <c r="AD27" s="36" t="n"/>
      <c r="AE27" s="36" t="n"/>
      <c r="AF27" s="36" t="n"/>
      <c r="AK27" s="37">
        <f>IF($A27="","",IF(GradeRule="quantile",$I27,$F27))</f>
        <v/>
      </c>
      <c r="AL27" s="38">
        <f>IF($A27="","",CHOOSE(MATCH($AK27,{"S","A","B","C"},0),PD_S,PD_A,PD_B,PD_C))</f>
        <v/>
      </c>
      <c r="AM27" s="38">
        <f>IF($A27="","",IF($AH27=1,1,$AL27))</f>
        <v/>
      </c>
      <c r="AN27" s="38">
        <f>IF($A27="","",IF(OR($U27="LC_SIGHT",$U27="LC_USANCE"),LGD_LC,LGD))</f>
        <v/>
      </c>
      <c r="AO27" s="38">
        <f>IF($A27="","",IF($W27="Y",Cov,0))</f>
        <v/>
      </c>
      <c r="AP27" s="38">
        <f>IF($A27="","",CHOOSE(MATCH($AK27,{"S","A","B","C"},0),Spread_S,Spread_A,Spread_B,Spread_C))</f>
        <v/>
      </c>
      <c r="AQ27" s="38">
        <f>IF($A27="","",CHOOSE(MATCH($AK27,{"S","A","B","C"},0),Prem_S,Prem_A,Prem_B,Prem_C))</f>
        <v/>
      </c>
      <c r="AR27" s="39">
        <f>IF(OR($A27="",$V27&lt;=0),"",TSOFR3M+$AP27+$AL27*$AN27)</f>
        <v/>
      </c>
      <c r="AS27" s="39">
        <f>IF(OR($A27="",$V27&lt;=0),"",TSOFR3M+$AP27+$AQ27*365/$V27+$AL27*$AN27*(1-Cov))</f>
        <v/>
      </c>
      <c r="AT27" s="39">
        <f>IF(OR($A27="",$V27&lt;=0),"",IF($W27="Y",$AS27,$AR27))</f>
        <v/>
      </c>
      <c r="AU27" s="37">
        <f>IF(OR($A27="",$V27&lt;=0),"",IF($AS27&lt;$AR27,"부보 유리","무보험 유리"))</f>
        <v/>
      </c>
      <c r="AV27" s="40">
        <f>IF($A27="","",$Y27*($V27+Grace)/30)</f>
        <v/>
      </c>
      <c r="AW27" s="40">
        <f>IF($A27="","",CHOOSE(MATCH($AK27,{"S","A","B","C"},0),$AV27,Cap_A,Cap_B,Cap_C_OA))</f>
        <v/>
      </c>
      <c r="AX27" s="40">
        <f>IF($A27="","",IF($W27="Y",$X27,0))</f>
        <v/>
      </c>
      <c r="AY27" s="40">
        <f>IF($A27="","",Equity_USD*CHOOSE(MATCH($AK27,{"S","A","B","C"},0),s_S,s_A,s_B,s_C))</f>
        <v/>
      </c>
      <c r="AZ27" s="37">
        <f>IF($A27="","",'13_EarlyWarning'!$AH30)</f>
        <v/>
      </c>
      <c r="BA27" s="37">
        <f>IF($A27="","",IF(OR($U27="LC_SIGHT",$U27="LC_USANCE",$U27="TT_ADV"),"대상 아님","대상"))</f>
        <v/>
      </c>
      <c r="BB27" s="40">
        <f>IF($A27="","",IF(OR($BA27="대상 아님",$AZ27&lt;&gt;"",$AH27=1),0,MIN($AV27,$AW27,$AX27+$AY27)))</f>
        <v/>
      </c>
      <c r="BC27" s="40">
        <f>IF($A27="","",IF($AG27=1,MIN(StratMin*$AB27,$BB27),0))</f>
        <v/>
      </c>
      <c r="BD27" s="41">
        <f>IF($A27="","",IF(OR($V27&lt;=0,$BB27&lt;=0),0,Util*(GM*365/$V27-$AT27)))</f>
        <v/>
      </c>
      <c r="BE27" s="42">
        <f>IF($A27="","",Util*$AL27*$AN27*(1-$AO27))</f>
        <v/>
      </c>
      <c r="BF27" s="37">
        <f>IF($A27="","",IF($AC27="","0-2",IF($AC27&lt;=2,"0-2",IF($AC27=3,"3",IF($AC27&lt;=5,"4-5","6-7")))))</f>
        <v/>
      </c>
      <c r="BG27" s="40">
        <f>IF($A27="","",$Z27*$AM27*$AN27*(1-$AO27))</f>
        <v/>
      </c>
      <c r="BH27" s="40">
        <f>IF($A27="","",$Z27*(TSOFR3M+$AP27)*$V27/DayBasis)</f>
        <v/>
      </c>
      <c r="BI27" s="43">
        <f>IF($A27="","",$C27+$Z27*1E-13)</f>
        <v/>
      </c>
    </row>
    <row r="28">
      <c r="B28" s="32" t="n"/>
      <c r="C28" s="33" t="n"/>
      <c r="E28" s="33" t="n"/>
      <c r="H28" s="34" t="n"/>
      <c r="X28" s="35" t="n"/>
      <c r="Y28" s="35" t="n"/>
      <c r="Z28" s="35" t="n"/>
      <c r="AA28" s="35" t="n"/>
      <c r="AB28" s="35" t="n"/>
      <c r="AD28" s="36" t="n"/>
      <c r="AE28" s="36" t="n"/>
      <c r="AF28" s="36" t="n"/>
      <c r="AK28" s="37">
        <f>IF($A28="","",IF(GradeRule="quantile",$I28,$F28))</f>
        <v/>
      </c>
      <c r="AL28" s="38">
        <f>IF($A28="","",CHOOSE(MATCH($AK28,{"S","A","B","C"},0),PD_S,PD_A,PD_B,PD_C))</f>
        <v/>
      </c>
      <c r="AM28" s="38">
        <f>IF($A28="","",IF($AH28=1,1,$AL28))</f>
        <v/>
      </c>
      <c r="AN28" s="38">
        <f>IF($A28="","",IF(OR($U28="LC_SIGHT",$U28="LC_USANCE"),LGD_LC,LGD))</f>
        <v/>
      </c>
      <c r="AO28" s="38">
        <f>IF($A28="","",IF($W28="Y",Cov,0))</f>
        <v/>
      </c>
      <c r="AP28" s="38">
        <f>IF($A28="","",CHOOSE(MATCH($AK28,{"S","A","B","C"},0),Spread_S,Spread_A,Spread_B,Spread_C))</f>
        <v/>
      </c>
      <c r="AQ28" s="38">
        <f>IF($A28="","",CHOOSE(MATCH($AK28,{"S","A","B","C"},0),Prem_S,Prem_A,Prem_B,Prem_C))</f>
        <v/>
      </c>
      <c r="AR28" s="39">
        <f>IF(OR($A28="",$V28&lt;=0),"",TSOFR3M+$AP28+$AL28*$AN28)</f>
        <v/>
      </c>
      <c r="AS28" s="39">
        <f>IF(OR($A28="",$V28&lt;=0),"",TSOFR3M+$AP28+$AQ28*365/$V28+$AL28*$AN28*(1-Cov))</f>
        <v/>
      </c>
      <c r="AT28" s="39">
        <f>IF(OR($A28="",$V28&lt;=0),"",IF($W28="Y",$AS28,$AR28))</f>
        <v/>
      </c>
      <c r="AU28" s="37">
        <f>IF(OR($A28="",$V28&lt;=0),"",IF($AS28&lt;$AR28,"부보 유리","무보험 유리"))</f>
        <v/>
      </c>
      <c r="AV28" s="40">
        <f>IF($A28="","",$Y28*($V28+Grace)/30)</f>
        <v/>
      </c>
      <c r="AW28" s="40">
        <f>IF($A28="","",CHOOSE(MATCH($AK28,{"S","A","B","C"},0),$AV28,Cap_A,Cap_B,Cap_C_OA))</f>
        <v/>
      </c>
      <c r="AX28" s="40">
        <f>IF($A28="","",IF($W28="Y",$X28,0))</f>
        <v/>
      </c>
      <c r="AY28" s="40">
        <f>IF($A28="","",Equity_USD*CHOOSE(MATCH($AK28,{"S","A","B","C"},0),s_S,s_A,s_B,s_C))</f>
        <v/>
      </c>
      <c r="AZ28" s="37">
        <f>IF($A28="","",'13_EarlyWarning'!$AH31)</f>
        <v/>
      </c>
      <c r="BA28" s="37">
        <f>IF($A28="","",IF(OR($U28="LC_SIGHT",$U28="LC_USANCE",$U28="TT_ADV"),"대상 아님","대상"))</f>
        <v/>
      </c>
      <c r="BB28" s="40">
        <f>IF($A28="","",IF(OR($BA28="대상 아님",$AZ28&lt;&gt;"",$AH28=1),0,MIN($AV28,$AW28,$AX28+$AY28)))</f>
        <v/>
      </c>
      <c r="BC28" s="40">
        <f>IF($A28="","",IF($AG28=1,MIN(StratMin*$AB28,$BB28),0))</f>
        <v/>
      </c>
      <c r="BD28" s="41">
        <f>IF($A28="","",IF(OR($V28&lt;=0,$BB28&lt;=0),0,Util*(GM*365/$V28-$AT28)))</f>
        <v/>
      </c>
      <c r="BE28" s="42">
        <f>IF($A28="","",Util*$AL28*$AN28*(1-$AO28))</f>
        <v/>
      </c>
      <c r="BF28" s="37">
        <f>IF($A28="","",IF($AC28="","0-2",IF($AC28&lt;=2,"0-2",IF($AC28=3,"3",IF($AC28&lt;=5,"4-5","6-7")))))</f>
        <v/>
      </c>
      <c r="BG28" s="40">
        <f>IF($A28="","",$Z28*$AM28*$AN28*(1-$AO28))</f>
        <v/>
      </c>
      <c r="BH28" s="40">
        <f>IF($A28="","",$Z28*(TSOFR3M+$AP28)*$V28/DayBasis)</f>
        <v/>
      </c>
      <c r="BI28" s="43">
        <f>IF($A28="","",$C28+$Z28*1E-13)</f>
        <v/>
      </c>
    </row>
    <row r="29">
      <c r="B29" s="32" t="n"/>
      <c r="C29" s="33" t="n"/>
      <c r="E29" s="33" t="n"/>
      <c r="H29" s="34" t="n"/>
      <c r="X29" s="35" t="n"/>
      <c r="Y29" s="35" t="n"/>
      <c r="Z29" s="35" t="n"/>
      <c r="AA29" s="35" t="n"/>
      <c r="AB29" s="35" t="n"/>
      <c r="AD29" s="36" t="n"/>
      <c r="AE29" s="36" t="n"/>
      <c r="AF29" s="36" t="n"/>
      <c r="AK29" s="37">
        <f>IF($A29="","",IF(GradeRule="quantile",$I29,$F29))</f>
        <v/>
      </c>
      <c r="AL29" s="38">
        <f>IF($A29="","",CHOOSE(MATCH($AK29,{"S","A","B","C"},0),PD_S,PD_A,PD_B,PD_C))</f>
        <v/>
      </c>
      <c r="AM29" s="38">
        <f>IF($A29="","",IF($AH29=1,1,$AL29))</f>
        <v/>
      </c>
      <c r="AN29" s="38">
        <f>IF($A29="","",IF(OR($U29="LC_SIGHT",$U29="LC_USANCE"),LGD_LC,LGD))</f>
        <v/>
      </c>
      <c r="AO29" s="38">
        <f>IF($A29="","",IF($W29="Y",Cov,0))</f>
        <v/>
      </c>
      <c r="AP29" s="38">
        <f>IF($A29="","",CHOOSE(MATCH($AK29,{"S","A","B","C"},0),Spread_S,Spread_A,Spread_B,Spread_C))</f>
        <v/>
      </c>
      <c r="AQ29" s="38">
        <f>IF($A29="","",CHOOSE(MATCH($AK29,{"S","A","B","C"},0),Prem_S,Prem_A,Prem_B,Prem_C))</f>
        <v/>
      </c>
      <c r="AR29" s="39">
        <f>IF(OR($A29="",$V29&lt;=0),"",TSOFR3M+$AP29+$AL29*$AN29)</f>
        <v/>
      </c>
      <c r="AS29" s="39">
        <f>IF(OR($A29="",$V29&lt;=0),"",TSOFR3M+$AP29+$AQ29*365/$V29+$AL29*$AN29*(1-Cov))</f>
        <v/>
      </c>
      <c r="AT29" s="39">
        <f>IF(OR($A29="",$V29&lt;=0),"",IF($W29="Y",$AS29,$AR29))</f>
        <v/>
      </c>
      <c r="AU29" s="37">
        <f>IF(OR($A29="",$V29&lt;=0),"",IF($AS29&lt;$AR29,"부보 유리","무보험 유리"))</f>
        <v/>
      </c>
      <c r="AV29" s="40">
        <f>IF($A29="","",$Y29*($V29+Grace)/30)</f>
        <v/>
      </c>
      <c r="AW29" s="40">
        <f>IF($A29="","",CHOOSE(MATCH($AK29,{"S","A","B","C"},0),$AV29,Cap_A,Cap_B,Cap_C_OA))</f>
        <v/>
      </c>
      <c r="AX29" s="40">
        <f>IF($A29="","",IF($W29="Y",$X29,0))</f>
        <v/>
      </c>
      <c r="AY29" s="40">
        <f>IF($A29="","",Equity_USD*CHOOSE(MATCH($AK29,{"S","A","B","C"},0),s_S,s_A,s_B,s_C))</f>
        <v/>
      </c>
      <c r="AZ29" s="37">
        <f>IF($A29="","",'13_EarlyWarning'!$AH32)</f>
        <v/>
      </c>
      <c r="BA29" s="37">
        <f>IF($A29="","",IF(OR($U29="LC_SIGHT",$U29="LC_USANCE",$U29="TT_ADV"),"대상 아님","대상"))</f>
        <v/>
      </c>
      <c r="BB29" s="40">
        <f>IF($A29="","",IF(OR($BA29="대상 아님",$AZ29&lt;&gt;"",$AH29=1),0,MIN($AV29,$AW29,$AX29+$AY29)))</f>
        <v/>
      </c>
      <c r="BC29" s="40">
        <f>IF($A29="","",IF($AG29=1,MIN(StratMin*$AB29,$BB29),0))</f>
        <v/>
      </c>
      <c r="BD29" s="41">
        <f>IF($A29="","",IF(OR($V29&lt;=0,$BB29&lt;=0),0,Util*(GM*365/$V29-$AT29)))</f>
        <v/>
      </c>
      <c r="BE29" s="42">
        <f>IF($A29="","",Util*$AL29*$AN29*(1-$AO29))</f>
        <v/>
      </c>
      <c r="BF29" s="37">
        <f>IF($A29="","",IF($AC29="","0-2",IF($AC29&lt;=2,"0-2",IF($AC29=3,"3",IF($AC29&lt;=5,"4-5","6-7")))))</f>
        <v/>
      </c>
      <c r="BG29" s="40">
        <f>IF($A29="","",$Z29*$AM29*$AN29*(1-$AO29))</f>
        <v/>
      </c>
      <c r="BH29" s="40">
        <f>IF($A29="","",$Z29*(TSOFR3M+$AP29)*$V29/DayBasis)</f>
        <v/>
      </c>
      <c r="BI29" s="43">
        <f>IF($A29="","",$C29+$Z29*1E-13)</f>
        <v/>
      </c>
    </row>
    <row r="30">
      <c r="B30" s="32" t="n"/>
      <c r="C30" s="33" t="n"/>
      <c r="E30" s="33" t="n"/>
      <c r="H30" s="34" t="n"/>
      <c r="X30" s="35" t="n"/>
      <c r="Y30" s="35" t="n"/>
      <c r="Z30" s="35" t="n"/>
      <c r="AA30" s="35" t="n"/>
      <c r="AB30" s="35" t="n"/>
      <c r="AD30" s="36" t="n"/>
      <c r="AE30" s="36" t="n"/>
      <c r="AF30" s="36" t="n"/>
      <c r="AK30" s="37">
        <f>IF($A30="","",IF(GradeRule="quantile",$I30,$F30))</f>
        <v/>
      </c>
      <c r="AL30" s="38">
        <f>IF($A30="","",CHOOSE(MATCH($AK30,{"S","A","B","C"},0),PD_S,PD_A,PD_B,PD_C))</f>
        <v/>
      </c>
      <c r="AM30" s="38">
        <f>IF($A30="","",IF($AH30=1,1,$AL30))</f>
        <v/>
      </c>
      <c r="AN30" s="38">
        <f>IF($A30="","",IF(OR($U30="LC_SIGHT",$U30="LC_USANCE"),LGD_LC,LGD))</f>
        <v/>
      </c>
      <c r="AO30" s="38">
        <f>IF($A30="","",IF($W30="Y",Cov,0))</f>
        <v/>
      </c>
      <c r="AP30" s="38">
        <f>IF($A30="","",CHOOSE(MATCH($AK30,{"S","A","B","C"},0),Spread_S,Spread_A,Spread_B,Spread_C))</f>
        <v/>
      </c>
      <c r="AQ30" s="38">
        <f>IF($A30="","",CHOOSE(MATCH($AK30,{"S","A","B","C"},0),Prem_S,Prem_A,Prem_B,Prem_C))</f>
        <v/>
      </c>
      <c r="AR30" s="39">
        <f>IF(OR($A30="",$V30&lt;=0),"",TSOFR3M+$AP30+$AL30*$AN30)</f>
        <v/>
      </c>
      <c r="AS30" s="39">
        <f>IF(OR($A30="",$V30&lt;=0),"",TSOFR3M+$AP30+$AQ30*365/$V30+$AL30*$AN30*(1-Cov))</f>
        <v/>
      </c>
      <c r="AT30" s="39">
        <f>IF(OR($A30="",$V30&lt;=0),"",IF($W30="Y",$AS30,$AR30))</f>
        <v/>
      </c>
      <c r="AU30" s="37">
        <f>IF(OR($A30="",$V30&lt;=0),"",IF($AS30&lt;$AR30,"부보 유리","무보험 유리"))</f>
        <v/>
      </c>
      <c r="AV30" s="40">
        <f>IF($A30="","",$Y30*($V30+Grace)/30)</f>
        <v/>
      </c>
      <c r="AW30" s="40">
        <f>IF($A30="","",CHOOSE(MATCH($AK30,{"S","A","B","C"},0),$AV30,Cap_A,Cap_B,Cap_C_OA))</f>
        <v/>
      </c>
      <c r="AX30" s="40">
        <f>IF($A30="","",IF($W30="Y",$X30,0))</f>
        <v/>
      </c>
      <c r="AY30" s="40">
        <f>IF($A30="","",Equity_USD*CHOOSE(MATCH($AK30,{"S","A","B","C"},0),s_S,s_A,s_B,s_C))</f>
        <v/>
      </c>
      <c r="AZ30" s="37">
        <f>IF($A30="","",'13_EarlyWarning'!$AH33)</f>
        <v/>
      </c>
      <c r="BA30" s="37">
        <f>IF($A30="","",IF(OR($U30="LC_SIGHT",$U30="LC_USANCE",$U30="TT_ADV"),"대상 아님","대상"))</f>
        <v/>
      </c>
      <c r="BB30" s="40">
        <f>IF($A30="","",IF(OR($BA30="대상 아님",$AZ30&lt;&gt;"",$AH30=1),0,MIN($AV30,$AW30,$AX30+$AY30)))</f>
        <v/>
      </c>
      <c r="BC30" s="40">
        <f>IF($A30="","",IF($AG30=1,MIN(StratMin*$AB30,$BB30),0))</f>
        <v/>
      </c>
      <c r="BD30" s="41">
        <f>IF($A30="","",IF(OR($V30&lt;=0,$BB30&lt;=0),0,Util*(GM*365/$V30-$AT30)))</f>
        <v/>
      </c>
      <c r="BE30" s="42">
        <f>IF($A30="","",Util*$AL30*$AN30*(1-$AO30))</f>
        <v/>
      </c>
      <c r="BF30" s="37">
        <f>IF($A30="","",IF($AC30="","0-2",IF($AC30&lt;=2,"0-2",IF($AC30=3,"3",IF($AC30&lt;=5,"4-5","6-7")))))</f>
        <v/>
      </c>
      <c r="BG30" s="40">
        <f>IF($A30="","",$Z30*$AM30*$AN30*(1-$AO30))</f>
        <v/>
      </c>
      <c r="BH30" s="40">
        <f>IF($A30="","",$Z30*(TSOFR3M+$AP30)*$V30/DayBasis)</f>
        <v/>
      </c>
      <c r="BI30" s="43">
        <f>IF($A30="","",$C30+$Z30*1E-13)</f>
        <v/>
      </c>
    </row>
    <row r="31">
      <c r="B31" s="32" t="n"/>
      <c r="C31" s="33" t="n"/>
      <c r="E31" s="33" t="n"/>
      <c r="H31" s="34" t="n"/>
      <c r="X31" s="35" t="n"/>
      <c r="Y31" s="35" t="n"/>
      <c r="Z31" s="35" t="n"/>
      <c r="AA31" s="35" t="n"/>
      <c r="AB31" s="35" t="n"/>
      <c r="AD31" s="36" t="n"/>
      <c r="AE31" s="36" t="n"/>
      <c r="AF31" s="36" t="n"/>
      <c r="AK31" s="37">
        <f>IF($A31="","",IF(GradeRule="quantile",$I31,$F31))</f>
        <v/>
      </c>
      <c r="AL31" s="38">
        <f>IF($A31="","",CHOOSE(MATCH($AK31,{"S","A","B","C"},0),PD_S,PD_A,PD_B,PD_C))</f>
        <v/>
      </c>
      <c r="AM31" s="38">
        <f>IF($A31="","",IF($AH31=1,1,$AL31))</f>
        <v/>
      </c>
      <c r="AN31" s="38">
        <f>IF($A31="","",IF(OR($U31="LC_SIGHT",$U31="LC_USANCE"),LGD_LC,LGD))</f>
        <v/>
      </c>
      <c r="AO31" s="38">
        <f>IF($A31="","",IF($W31="Y",Cov,0))</f>
        <v/>
      </c>
      <c r="AP31" s="38">
        <f>IF($A31="","",CHOOSE(MATCH($AK31,{"S","A","B","C"},0),Spread_S,Spread_A,Spread_B,Spread_C))</f>
        <v/>
      </c>
      <c r="AQ31" s="38">
        <f>IF($A31="","",CHOOSE(MATCH($AK31,{"S","A","B","C"},0),Prem_S,Prem_A,Prem_B,Prem_C))</f>
        <v/>
      </c>
      <c r="AR31" s="39">
        <f>IF(OR($A31="",$V31&lt;=0),"",TSOFR3M+$AP31+$AL31*$AN31)</f>
        <v/>
      </c>
      <c r="AS31" s="39">
        <f>IF(OR($A31="",$V31&lt;=0),"",TSOFR3M+$AP31+$AQ31*365/$V31+$AL31*$AN31*(1-Cov))</f>
        <v/>
      </c>
      <c r="AT31" s="39">
        <f>IF(OR($A31="",$V31&lt;=0),"",IF($W31="Y",$AS31,$AR31))</f>
        <v/>
      </c>
      <c r="AU31" s="37">
        <f>IF(OR($A31="",$V31&lt;=0),"",IF($AS31&lt;$AR31,"부보 유리","무보험 유리"))</f>
        <v/>
      </c>
      <c r="AV31" s="40">
        <f>IF($A31="","",$Y31*($V31+Grace)/30)</f>
        <v/>
      </c>
      <c r="AW31" s="40">
        <f>IF($A31="","",CHOOSE(MATCH($AK31,{"S","A","B","C"},0),$AV31,Cap_A,Cap_B,Cap_C_OA))</f>
        <v/>
      </c>
      <c r="AX31" s="40">
        <f>IF($A31="","",IF($W31="Y",$X31,0))</f>
        <v/>
      </c>
      <c r="AY31" s="40">
        <f>IF($A31="","",Equity_USD*CHOOSE(MATCH($AK31,{"S","A","B","C"},0),s_S,s_A,s_B,s_C))</f>
        <v/>
      </c>
      <c r="AZ31" s="37">
        <f>IF($A31="","",'13_EarlyWarning'!$AH34)</f>
        <v/>
      </c>
      <c r="BA31" s="37">
        <f>IF($A31="","",IF(OR($U31="LC_SIGHT",$U31="LC_USANCE",$U31="TT_ADV"),"대상 아님","대상"))</f>
        <v/>
      </c>
      <c r="BB31" s="40">
        <f>IF($A31="","",IF(OR($BA31="대상 아님",$AZ31&lt;&gt;"",$AH31=1),0,MIN($AV31,$AW31,$AX31+$AY31)))</f>
        <v/>
      </c>
      <c r="BC31" s="40">
        <f>IF($A31="","",IF($AG31=1,MIN(StratMin*$AB31,$BB31),0))</f>
        <v/>
      </c>
      <c r="BD31" s="41">
        <f>IF($A31="","",IF(OR($V31&lt;=0,$BB31&lt;=0),0,Util*(GM*365/$V31-$AT31)))</f>
        <v/>
      </c>
      <c r="BE31" s="42">
        <f>IF($A31="","",Util*$AL31*$AN31*(1-$AO31))</f>
        <v/>
      </c>
      <c r="BF31" s="37">
        <f>IF($A31="","",IF($AC31="","0-2",IF($AC31&lt;=2,"0-2",IF($AC31=3,"3",IF($AC31&lt;=5,"4-5","6-7")))))</f>
        <v/>
      </c>
      <c r="BG31" s="40">
        <f>IF($A31="","",$Z31*$AM31*$AN31*(1-$AO31))</f>
        <v/>
      </c>
      <c r="BH31" s="40">
        <f>IF($A31="","",$Z31*(TSOFR3M+$AP31)*$V31/DayBasis)</f>
        <v/>
      </c>
      <c r="BI31" s="43">
        <f>IF($A31="","",$C31+$Z31*1E-13)</f>
        <v/>
      </c>
    </row>
    <row r="32">
      <c r="B32" s="32" t="n"/>
      <c r="C32" s="33" t="n"/>
      <c r="E32" s="33" t="n"/>
      <c r="H32" s="34" t="n"/>
      <c r="X32" s="35" t="n"/>
      <c r="Y32" s="35" t="n"/>
      <c r="Z32" s="35" t="n"/>
      <c r="AA32" s="35" t="n"/>
      <c r="AB32" s="35" t="n"/>
      <c r="AD32" s="36" t="n"/>
      <c r="AE32" s="36" t="n"/>
      <c r="AF32" s="36" t="n"/>
      <c r="AK32" s="37">
        <f>IF($A32="","",IF(GradeRule="quantile",$I32,$F32))</f>
        <v/>
      </c>
      <c r="AL32" s="38">
        <f>IF($A32="","",CHOOSE(MATCH($AK32,{"S","A","B","C"},0),PD_S,PD_A,PD_B,PD_C))</f>
        <v/>
      </c>
      <c r="AM32" s="38">
        <f>IF($A32="","",IF($AH32=1,1,$AL32))</f>
        <v/>
      </c>
      <c r="AN32" s="38">
        <f>IF($A32="","",IF(OR($U32="LC_SIGHT",$U32="LC_USANCE"),LGD_LC,LGD))</f>
        <v/>
      </c>
      <c r="AO32" s="38">
        <f>IF($A32="","",IF($W32="Y",Cov,0))</f>
        <v/>
      </c>
      <c r="AP32" s="38">
        <f>IF($A32="","",CHOOSE(MATCH($AK32,{"S","A","B","C"},0),Spread_S,Spread_A,Spread_B,Spread_C))</f>
        <v/>
      </c>
      <c r="AQ32" s="38">
        <f>IF($A32="","",CHOOSE(MATCH($AK32,{"S","A","B","C"},0),Prem_S,Prem_A,Prem_B,Prem_C))</f>
        <v/>
      </c>
      <c r="AR32" s="39">
        <f>IF(OR($A32="",$V32&lt;=0),"",TSOFR3M+$AP32+$AL32*$AN32)</f>
        <v/>
      </c>
      <c r="AS32" s="39">
        <f>IF(OR($A32="",$V32&lt;=0),"",TSOFR3M+$AP32+$AQ32*365/$V32+$AL32*$AN32*(1-Cov))</f>
        <v/>
      </c>
      <c r="AT32" s="39">
        <f>IF(OR($A32="",$V32&lt;=0),"",IF($W32="Y",$AS32,$AR32))</f>
        <v/>
      </c>
      <c r="AU32" s="37">
        <f>IF(OR($A32="",$V32&lt;=0),"",IF($AS32&lt;$AR32,"부보 유리","무보험 유리"))</f>
        <v/>
      </c>
      <c r="AV32" s="40">
        <f>IF($A32="","",$Y32*($V32+Grace)/30)</f>
        <v/>
      </c>
      <c r="AW32" s="40">
        <f>IF($A32="","",CHOOSE(MATCH($AK32,{"S","A","B","C"},0),$AV32,Cap_A,Cap_B,Cap_C_OA))</f>
        <v/>
      </c>
      <c r="AX32" s="40">
        <f>IF($A32="","",IF($W32="Y",$X32,0))</f>
        <v/>
      </c>
      <c r="AY32" s="40">
        <f>IF($A32="","",Equity_USD*CHOOSE(MATCH($AK32,{"S","A","B","C"},0),s_S,s_A,s_B,s_C))</f>
        <v/>
      </c>
      <c r="AZ32" s="37">
        <f>IF($A32="","",'13_EarlyWarning'!$AH35)</f>
        <v/>
      </c>
      <c r="BA32" s="37">
        <f>IF($A32="","",IF(OR($U32="LC_SIGHT",$U32="LC_USANCE",$U32="TT_ADV"),"대상 아님","대상"))</f>
        <v/>
      </c>
      <c r="BB32" s="40">
        <f>IF($A32="","",IF(OR($BA32="대상 아님",$AZ32&lt;&gt;"",$AH32=1),0,MIN($AV32,$AW32,$AX32+$AY32)))</f>
        <v/>
      </c>
      <c r="BC32" s="40">
        <f>IF($A32="","",IF($AG32=1,MIN(StratMin*$AB32,$BB32),0))</f>
        <v/>
      </c>
      <c r="BD32" s="41">
        <f>IF($A32="","",IF(OR($V32&lt;=0,$BB32&lt;=0),0,Util*(GM*365/$V32-$AT32)))</f>
        <v/>
      </c>
      <c r="BE32" s="42">
        <f>IF($A32="","",Util*$AL32*$AN32*(1-$AO32))</f>
        <v/>
      </c>
      <c r="BF32" s="37">
        <f>IF($A32="","",IF($AC32="","0-2",IF($AC32&lt;=2,"0-2",IF($AC32=3,"3",IF($AC32&lt;=5,"4-5","6-7")))))</f>
        <v/>
      </c>
      <c r="BG32" s="40">
        <f>IF($A32="","",$Z32*$AM32*$AN32*(1-$AO32))</f>
        <v/>
      </c>
      <c r="BH32" s="40">
        <f>IF($A32="","",$Z32*(TSOFR3M+$AP32)*$V32/DayBasis)</f>
        <v/>
      </c>
      <c r="BI32" s="43">
        <f>IF($A32="","",$C32+$Z32*1E-13)</f>
        <v/>
      </c>
    </row>
    <row r="33">
      <c r="B33" s="32" t="n"/>
      <c r="C33" s="33" t="n"/>
      <c r="E33" s="33" t="n"/>
      <c r="H33" s="34" t="n"/>
      <c r="X33" s="35" t="n"/>
      <c r="Y33" s="35" t="n"/>
      <c r="Z33" s="35" t="n"/>
      <c r="AA33" s="35" t="n"/>
      <c r="AB33" s="35" t="n"/>
      <c r="AD33" s="36" t="n"/>
      <c r="AE33" s="36" t="n"/>
      <c r="AF33" s="36" t="n"/>
      <c r="AK33" s="37">
        <f>IF($A33="","",IF(GradeRule="quantile",$I33,$F33))</f>
        <v/>
      </c>
      <c r="AL33" s="38">
        <f>IF($A33="","",CHOOSE(MATCH($AK33,{"S","A","B","C"},0),PD_S,PD_A,PD_B,PD_C))</f>
        <v/>
      </c>
      <c r="AM33" s="38">
        <f>IF($A33="","",IF($AH33=1,1,$AL33))</f>
        <v/>
      </c>
      <c r="AN33" s="38">
        <f>IF($A33="","",IF(OR($U33="LC_SIGHT",$U33="LC_USANCE"),LGD_LC,LGD))</f>
        <v/>
      </c>
      <c r="AO33" s="38">
        <f>IF($A33="","",IF($W33="Y",Cov,0))</f>
        <v/>
      </c>
      <c r="AP33" s="38">
        <f>IF($A33="","",CHOOSE(MATCH($AK33,{"S","A","B","C"},0),Spread_S,Spread_A,Spread_B,Spread_C))</f>
        <v/>
      </c>
      <c r="AQ33" s="38">
        <f>IF($A33="","",CHOOSE(MATCH($AK33,{"S","A","B","C"},0),Prem_S,Prem_A,Prem_B,Prem_C))</f>
        <v/>
      </c>
      <c r="AR33" s="39">
        <f>IF(OR($A33="",$V33&lt;=0),"",TSOFR3M+$AP33+$AL33*$AN33)</f>
        <v/>
      </c>
      <c r="AS33" s="39">
        <f>IF(OR($A33="",$V33&lt;=0),"",TSOFR3M+$AP33+$AQ33*365/$V33+$AL33*$AN33*(1-Cov))</f>
        <v/>
      </c>
      <c r="AT33" s="39">
        <f>IF(OR($A33="",$V33&lt;=0),"",IF($W33="Y",$AS33,$AR33))</f>
        <v/>
      </c>
      <c r="AU33" s="37">
        <f>IF(OR($A33="",$V33&lt;=0),"",IF($AS33&lt;$AR33,"부보 유리","무보험 유리"))</f>
        <v/>
      </c>
      <c r="AV33" s="40">
        <f>IF($A33="","",$Y33*($V33+Grace)/30)</f>
        <v/>
      </c>
      <c r="AW33" s="40">
        <f>IF($A33="","",CHOOSE(MATCH($AK33,{"S","A","B","C"},0),$AV33,Cap_A,Cap_B,Cap_C_OA))</f>
        <v/>
      </c>
      <c r="AX33" s="40">
        <f>IF($A33="","",IF($W33="Y",$X33,0))</f>
        <v/>
      </c>
      <c r="AY33" s="40">
        <f>IF($A33="","",Equity_USD*CHOOSE(MATCH($AK33,{"S","A","B","C"},0),s_S,s_A,s_B,s_C))</f>
        <v/>
      </c>
      <c r="AZ33" s="37">
        <f>IF($A33="","",'13_EarlyWarning'!$AH36)</f>
        <v/>
      </c>
      <c r="BA33" s="37">
        <f>IF($A33="","",IF(OR($U33="LC_SIGHT",$U33="LC_USANCE",$U33="TT_ADV"),"대상 아님","대상"))</f>
        <v/>
      </c>
      <c r="BB33" s="40">
        <f>IF($A33="","",IF(OR($BA33="대상 아님",$AZ33&lt;&gt;"",$AH33=1),0,MIN($AV33,$AW33,$AX33+$AY33)))</f>
        <v/>
      </c>
      <c r="BC33" s="40">
        <f>IF($A33="","",IF($AG33=1,MIN(StratMin*$AB33,$BB33),0))</f>
        <v/>
      </c>
      <c r="BD33" s="41">
        <f>IF($A33="","",IF(OR($V33&lt;=0,$BB33&lt;=0),0,Util*(GM*365/$V33-$AT33)))</f>
        <v/>
      </c>
      <c r="BE33" s="42">
        <f>IF($A33="","",Util*$AL33*$AN33*(1-$AO33))</f>
        <v/>
      </c>
      <c r="BF33" s="37">
        <f>IF($A33="","",IF($AC33="","0-2",IF($AC33&lt;=2,"0-2",IF($AC33=3,"3",IF($AC33&lt;=5,"4-5","6-7")))))</f>
        <v/>
      </c>
      <c r="BG33" s="40">
        <f>IF($A33="","",$Z33*$AM33*$AN33*(1-$AO33))</f>
        <v/>
      </c>
      <c r="BH33" s="40">
        <f>IF($A33="","",$Z33*(TSOFR3M+$AP33)*$V33/DayBasis)</f>
        <v/>
      </c>
      <c r="BI33" s="43">
        <f>IF($A33="","",$C33+$Z33*1E-13)</f>
        <v/>
      </c>
    </row>
    <row r="34">
      <c r="B34" s="32" t="n"/>
      <c r="C34" s="33" t="n"/>
      <c r="E34" s="33" t="n"/>
      <c r="H34" s="34" t="n"/>
      <c r="X34" s="35" t="n"/>
      <c r="Y34" s="35" t="n"/>
      <c r="Z34" s="35" t="n"/>
      <c r="AA34" s="35" t="n"/>
      <c r="AB34" s="35" t="n"/>
      <c r="AD34" s="36" t="n"/>
      <c r="AE34" s="36" t="n"/>
      <c r="AF34" s="36" t="n"/>
      <c r="AK34" s="37">
        <f>IF($A34="","",IF(GradeRule="quantile",$I34,$F34))</f>
        <v/>
      </c>
      <c r="AL34" s="38">
        <f>IF($A34="","",CHOOSE(MATCH($AK34,{"S","A","B","C"},0),PD_S,PD_A,PD_B,PD_C))</f>
        <v/>
      </c>
      <c r="AM34" s="38">
        <f>IF($A34="","",IF($AH34=1,1,$AL34))</f>
        <v/>
      </c>
      <c r="AN34" s="38">
        <f>IF($A34="","",IF(OR($U34="LC_SIGHT",$U34="LC_USANCE"),LGD_LC,LGD))</f>
        <v/>
      </c>
      <c r="AO34" s="38">
        <f>IF($A34="","",IF($W34="Y",Cov,0))</f>
        <v/>
      </c>
      <c r="AP34" s="38">
        <f>IF($A34="","",CHOOSE(MATCH($AK34,{"S","A","B","C"},0),Spread_S,Spread_A,Spread_B,Spread_C))</f>
        <v/>
      </c>
      <c r="AQ34" s="38">
        <f>IF($A34="","",CHOOSE(MATCH($AK34,{"S","A","B","C"},0),Prem_S,Prem_A,Prem_B,Prem_C))</f>
        <v/>
      </c>
      <c r="AR34" s="39">
        <f>IF(OR($A34="",$V34&lt;=0),"",TSOFR3M+$AP34+$AL34*$AN34)</f>
        <v/>
      </c>
      <c r="AS34" s="39">
        <f>IF(OR($A34="",$V34&lt;=0),"",TSOFR3M+$AP34+$AQ34*365/$V34+$AL34*$AN34*(1-Cov))</f>
        <v/>
      </c>
      <c r="AT34" s="39">
        <f>IF(OR($A34="",$V34&lt;=0),"",IF($W34="Y",$AS34,$AR34))</f>
        <v/>
      </c>
      <c r="AU34" s="37">
        <f>IF(OR($A34="",$V34&lt;=0),"",IF($AS34&lt;$AR34,"부보 유리","무보험 유리"))</f>
        <v/>
      </c>
      <c r="AV34" s="40">
        <f>IF($A34="","",$Y34*($V34+Grace)/30)</f>
        <v/>
      </c>
      <c r="AW34" s="40">
        <f>IF($A34="","",CHOOSE(MATCH($AK34,{"S","A","B","C"},0),$AV34,Cap_A,Cap_B,Cap_C_OA))</f>
        <v/>
      </c>
      <c r="AX34" s="40">
        <f>IF($A34="","",IF($W34="Y",$X34,0))</f>
        <v/>
      </c>
      <c r="AY34" s="40">
        <f>IF($A34="","",Equity_USD*CHOOSE(MATCH($AK34,{"S","A","B","C"},0),s_S,s_A,s_B,s_C))</f>
        <v/>
      </c>
      <c r="AZ34" s="37">
        <f>IF($A34="","",'13_EarlyWarning'!$AH37)</f>
        <v/>
      </c>
      <c r="BA34" s="37">
        <f>IF($A34="","",IF(OR($U34="LC_SIGHT",$U34="LC_USANCE",$U34="TT_ADV"),"대상 아님","대상"))</f>
        <v/>
      </c>
      <c r="BB34" s="40">
        <f>IF($A34="","",IF(OR($BA34="대상 아님",$AZ34&lt;&gt;"",$AH34=1),0,MIN($AV34,$AW34,$AX34+$AY34)))</f>
        <v/>
      </c>
      <c r="BC34" s="40">
        <f>IF($A34="","",IF($AG34=1,MIN(StratMin*$AB34,$BB34),0))</f>
        <v/>
      </c>
      <c r="BD34" s="41">
        <f>IF($A34="","",IF(OR($V34&lt;=0,$BB34&lt;=0),0,Util*(GM*365/$V34-$AT34)))</f>
        <v/>
      </c>
      <c r="BE34" s="42">
        <f>IF($A34="","",Util*$AL34*$AN34*(1-$AO34))</f>
        <v/>
      </c>
      <c r="BF34" s="37">
        <f>IF($A34="","",IF($AC34="","0-2",IF($AC34&lt;=2,"0-2",IF($AC34=3,"3",IF($AC34&lt;=5,"4-5","6-7")))))</f>
        <v/>
      </c>
      <c r="BG34" s="40">
        <f>IF($A34="","",$Z34*$AM34*$AN34*(1-$AO34))</f>
        <v/>
      </c>
      <c r="BH34" s="40">
        <f>IF($A34="","",$Z34*(TSOFR3M+$AP34)*$V34/DayBasis)</f>
        <v/>
      </c>
      <c r="BI34" s="43">
        <f>IF($A34="","",$C34+$Z34*1E-13)</f>
        <v/>
      </c>
    </row>
    <row r="35">
      <c r="B35" s="32" t="n"/>
      <c r="C35" s="33" t="n"/>
      <c r="E35" s="33" t="n"/>
      <c r="H35" s="34" t="n"/>
      <c r="X35" s="35" t="n"/>
      <c r="Y35" s="35" t="n"/>
      <c r="Z35" s="35" t="n"/>
      <c r="AA35" s="35" t="n"/>
      <c r="AB35" s="35" t="n"/>
      <c r="AD35" s="36" t="n"/>
      <c r="AE35" s="36" t="n"/>
      <c r="AF35" s="36" t="n"/>
      <c r="AK35" s="37">
        <f>IF($A35="","",IF(GradeRule="quantile",$I35,$F35))</f>
        <v/>
      </c>
      <c r="AL35" s="38">
        <f>IF($A35="","",CHOOSE(MATCH($AK35,{"S","A","B","C"},0),PD_S,PD_A,PD_B,PD_C))</f>
        <v/>
      </c>
      <c r="AM35" s="38">
        <f>IF($A35="","",IF($AH35=1,1,$AL35))</f>
        <v/>
      </c>
      <c r="AN35" s="38">
        <f>IF($A35="","",IF(OR($U35="LC_SIGHT",$U35="LC_USANCE"),LGD_LC,LGD))</f>
        <v/>
      </c>
      <c r="AO35" s="38">
        <f>IF($A35="","",IF($W35="Y",Cov,0))</f>
        <v/>
      </c>
      <c r="AP35" s="38">
        <f>IF($A35="","",CHOOSE(MATCH($AK35,{"S","A","B","C"},0),Spread_S,Spread_A,Spread_B,Spread_C))</f>
        <v/>
      </c>
      <c r="AQ35" s="38">
        <f>IF($A35="","",CHOOSE(MATCH($AK35,{"S","A","B","C"},0),Prem_S,Prem_A,Prem_B,Prem_C))</f>
        <v/>
      </c>
      <c r="AR35" s="39">
        <f>IF(OR($A35="",$V35&lt;=0),"",TSOFR3M+$AP35+$AL35*$AN35)</f>
        <v/>
      </c>
      <c r="AS35" s="39">
        <f>IF(OR($A35="",$V35&lt;=0),"",TSOFR3M+$AP35+$AQ35*365/$V35+$AL35*$AN35*(1-Cov))</f>
        <v/>
      </c>
      <c r="AT35" s="39">
        <f>IF(OR($A35="",$V35&lt;=0),"",IF($W35="Y",$AS35,$AR35))</f>
        <v/>
      </c>
      <c r="AU35" s="37">
        <f>IF(OR($A35="",$V35&lt;=0),"",IF($AS35&lt;$AR35,"부보 유리","무보험 유리"))</f>
        <v/>
      </c>
      <c r="AV35" s="40">
        <f>IF($A35="","",$Y35*($V35+Grace)/30)</f>
        <v/>
      </c>
      <c r="AW35" s="40">
        <f>IF($A35="","",CHOOSE(MATCH($AK35,{"S","A","B","C"},0),$AV35,Cap_A,Cap_B,Cap_C_OA))</f>
        <v/>
      </c>
      <c r="AX35" s="40">
        <f>IF($A35="","",IF($W35="Y",$X35,0))</f>
        <v/>
      </c>
      <c r="AY35" s="40">
        <f>IF($A35="","",Equity_USD*CHOOSE(MATCH($AK35,{"S","A","B","C"},0),s_S,s_A,s_B,s_C))</f>
        <v/>
      </c>
      <c r="AZ35" s="37">
        <f>IF($A35="","",'13_EarlyWarning'!$AH38)</f>
        <v/>
      </c>
      <c r="BA35" s="37">
        <f>IF($A35="","",IF(OR($U35="LC_SIGHT",$U35="LC_USANCE",$U35="TT_ADV"),"대상 아님","대상"))</f>
        <v/>
      </c>
      <c r="BB35" s="40">
        <f>IF($A35="","",IF(OR($BA35="대상 아님",$AZ35&lt;&gt;"",$AH35=1),0,MIN($AV35,$AW35,$AX35+$AY35)))</f>
        <v/>
      </c>
      <c r="BC35" s="40">
        <f>IF($A35="","",IF($AG35=1,MIN(StratMin*$AB35,$BB35),0))</f>
        <v/>
      </c>
      <c r="BD35" s="41">
        <f>IF($A35="","",IF(OR($V35&lt;=0,$BB35&lt;=0),0,Util*(GM*365/$V35-$AT35)))</f>
        <v/>
      </c>
      <c r="BE35" s="42">
        <f>IF($A35="","",Util*$AL35*$AN35*(1-$AO35))</f>
        <v/>
      </c>
      <c r="BF35" s="37">
        <f>IF($A35="","",IF($AC35="","0-2",IF($AC35&lt;=2,"0-2",IF($AC35=3,"3",IF($AC35&lt;=5,"4-5","6-7")))))</f>
        <v/>
      </c>
      <c r="BG35" s="40">
        <f>IF($A35="","",$Z35*$AM35*$AN35*(1-$AO35))</f>
        <v/>
      </c>
      <c r="BH35" s="40">
        <f>IF($A35="","",$Z35*(TSOFR3M+$AP35)*$V35/DayBasis)</f>
        <v/>
      </c>
      <c r="BI35" s="43">
        <f>IF($A35="","",$C35+$Z35*1E-13)</f>
        <v/>
      </c>
    </row>
    <row r="36">
      <c r="B36" s="32" t="n"/>
      <c r="C36" s="33" t="n"/>
      <c r="E36" s="33" t="n"/>
      <c r="H36" s="34" t="n"/>
      <c r="X36" s="35" t="n"/>
      <c r="Y36" s="35" t="n"/>
      <c r="Z36" s="35" t="n"/>
      <c r="AA36" s="35" t="n"/>
      <c r="AB36" s="35" t="n"/>
      <c r="AD36" s="36" t="n"/>
      <c r="AE36" s="36" t="n"/>
      <c r="AF36" s="36" t="n"/>
      <c r="AK36" s="37">
        <f>IF($A36="","",IF(GradeRule="quantile",$I36,$F36))</f>
        <v/>
      </c>
      <c r="AL36" s="38">
        <f>IF($A36="","",CHOOSE(MATCH($AK36,{"S","A","B","C"},0),PD_S,PD_A,PD_B,PD_C))</f>
        <v/>
      </c>
      <c r="AM36" s="38">
        <f>IF($A36="","",IF($AH36=1,1,$AL36))</f>
        <v/>
      </c>
      <c r="AN36" s="38">
        <f>IF($A36="","",IF(OR($U36="LC_SIGHT",$U36="LC_USANCE"),LGD_LC,LGD))</f>
        <v/>
      </c>
      <c r="AO36" s="38">
        <f>IF($A36="","",IF($W36="Y",Cov,0))</f>
        <v/>
      </c>
      <c r="AP36" s="38">
        <f>IF($A36="","",CHOOSE(MATCH($AK36,{"S","A","B","C"},0),Spread_S,Spread_A,Spread_B,Spread_C))</f>
        <v/>
      </c>
      <c r="AQ36" s="38">
        <f>IF($A36="","",CHOOSE(MATCH($AK36,{"S","A","B","C"},0),Prem_S,Prem_A,Prem_B,Prem_C))</f>
        <v/>
      </c>
      <c r="AR36" s="39">
        <f>IF(OR($A36="",$V36&lt;=0),"",TSOFR3M+$AP36+$AL36*$AN36)</f>
        <v/>
      </c>
      <c r="AS36" s="39">
        <f>IF(OR($A36="",$V36&lt;=0),"",TSOFR3M+$AP36+$AQ36*365/$V36+$AL36*$AN36*(1-Cov))</f>
        <v/>
      </c>
      <c r="AT36" s="39">
        <f>IF(OR($A36="",$V36&lt;=0),"",IF($W36="Y",$AS36,$AR36))</f>
        <v/>
      </c>
      <c r="AU36" s="37">
        <f>IF(OR($A36="",$V36&lt;=0),"",IF($AS36&lt;$AR36,"부보 유리","무보험 유리"))</f>
        <v/>
      </c>
      <c r="AV36" s="40">
        <f>IF($A36="","",$Y36*($V36+Grace)/30)</f>
        <v/>
      </c>
      <c r="AW36" s="40">
        <f>IF($A36="","",CHOOSE(MATCH($AK36,{"S","A","B","C"},0),$AV36,Cap_A,Cap_B,Cap_C_OA))</f>
        <v/>
      </c>
      <c r="AX36" s="40">
        <f>IF($A36="","",IF($W36="Y",$X36,0))</f>
        <v/>
      </c>
      <c r="AY36" s="40">
        <f>IF($A36="","",Equity_USD*CHOOSE(MATCH($AK36,{"S","A","B","C"},0),s_S,s_A,s_B,s_C))</f>
        <v/>
      </c>
      <c r="AZ36" s="37">
        <f>IF($A36="","",'13_EarlyWarning'!$AH39)</f>
        <v/>
      </c>
      <c r="BA36" s="37">
        <f>IF($A36="","",IF(OR($U36="LC_SIGHT",$U36="LC_USANCE",$U36="TT_ADV"),"대상 아님","대상"))</f>
        <v/>
      </c>
      <c r="BB36" s="40">
        <f>IF($A36="","",IF(OR($BA36="대상 아님",$AZ36&lt;&gt;"",$AH36=1),0,MIN($AV36,$AW36,$AX36+$AY36)))</f>
        <v/>
      </c>
      <c r="BC36" s="40">
        <f>IF($A36="","",IF($AG36=1,MIN(StratMin*$AB36,$BB36),0))</f>
        <v/>
      </c>
      <c r="BD36" s="41">
        <f>IF($A36="","",IF(OR($V36&lt;=0,$BB36&lt;=0),0,Util*(GM*365/$V36-$AT36)))</f>
        <v/>
      </c>
      <c r="BE36" s="42">
        <f>IF($A36="","",Util*$AL36*$AN36*(1-$AO36))</f>
        <v/>
      </c>
      <c r="BF36" s="37">
        <f>IF($A36="","",IF($AC36="","0-2",IF($AC36&lt;=2,"0-2",IF($AC36=3,"3",IF($AC36&lt;=5,"4-5","6-7")))))</f>
        <v/>
      </c>
      <c r="BG36" s="40">
        <f>IF($A36="","",$Z36*$AM36*$AN36*(1-$AO36))</f>
        <v/>
      </c>
      <c r="BH36" s="40">
        <f>IF($A36="","",$Z36*(TSOFR3M+$AP36)*$V36/DayBasis)</f>
        <v/>
      </c>
      <c r="BI36" s="43">
        <f>IF($A36="","",$C36+$Z36*1E-13)</f>
        <v/>
      </c>
    </row>
    <row r="37">
      <c r="B37" s="32" t="n"/>
      <c r="C37" s="33" t="n"/>
      <c r="E37" s="33" t="n"/>
      <c r="H37" s="34" t="n"/>
      <c r="X37" s="35" t="n"/>
      <c r="Y37" s="35" t="n"/>
      <c r="Z37" s="35" t="n"/>
      <c r="AA37" s="35" t="n"/>
      <c r="AB37" s="35" t="n"/>
      <c r="AD37" s="36" t="n"/>
      <c r="AE37" s="36" t="n"/>
      <c r="AF37" s="36" t="n"/>
      <c r="AK37" s="37">
        <f>IF($A37="","",IF(GradeRule="quantile",$I37,$F37))</f>
        <v/>
      </c>
      <c r="AL37" s="38">
        <f>IF($A37="","",CHOOSE(MATCH($AK37,{"S","A","B","C"},0),PD_S,PD_A,PD_B,PD_C))</f>
        <v/>
      </c>
      <c r="AM37" s="38">
        <f>IF($A37="","",IF($AH37=1,1,$AL37))</f>
        <v/>
      </c>
      <c r="AN37" s="38">
        <f>IF($A37="","",IF(OR($U37="LC_SIGHT",$U37="LC_USANCE"),LGD_LC,LGD))</f>
        <v/>
      </c>
      <c r="AO37" s="38">
        <f>IF($A37="","",IF($W37="Y",Cov,0))</f>
        <v/>
      </c>
      <c r="AP37" s="38">
        <f>IF($A37="","",CHOOSE(MATCH($AK37,{"S","A","B","C"},0),Spread_S,Spread_A,Spread_B,Spread_C))</f>
        <v/>
      </c>
      <c r="AQ37" s="38">
        <f>IF($A37="","",CHOOSE(MATCH($AK37,{"S","A","B","C"},0),Prem_S,Prem_A,Prem_B,Prem_C))</f>
        <v/>
      </c>
      <c r="AR37" s="39">
        <f>IF(OR($A37="",$V37&lt;=0),"",TSOFR3M+$AP37+$AL37*$AN37)</f>
        <v/>
      </c>
      <c r="AS37" s="39">
        <f>IF(OR($A37="",$V37&lt;=0),"",TSOFR3M+$AP37+$AQ37*365/$V37+$AL37*$AN37*(1-Cov))</f>
        <v/>
      </c>
      <c r="AT37" s="39">
        <f>IF(OR($A37="",$V37&lt;=0),"",IF($W37="Y",$AS37,$AR37))</f>
        <v/>
      </c>
      <c r="AU37" s="37">
        <f>IF(OR($A37="",$V37&lt;=0),"",IF($AS37&lt;$AR37,"부보 유리","무보험 유리"))</f>
        <v/>
      </c>
      <c r="AV37" s="40">
        <f>IF($A37="","",$Y37*($V37+Grace)/30)</f>
        <v/>
      </c>
      <c r="AW37" s="40">
        <f>IF($A37="","",CHOOSE(MATCH($AK37,{"S","A","B","C"},0),$AV37,Cap_A,Cap_B,Cap_C_OA))</f>
        <v/>
      </c>
      <c r="AX37" s="40">
        <f>IF($A37="","",IF($W37="Y",$X37,0))</f>
        <v/>
      </c>
      <c r="AY37" s="40">
        <f>IF($A37="","",Equity_USD*CHOOSE(MATCH($AK37,{"S","A","B","C"},0),s_S,s_A,s_B,s_C))</f>
        <v/>
      </c>
      <c r="AZ37" s="37">
        <f>IF($A37="","",'13_EarlyWarning'!$AH40)</f>
        <v/>
      </c>
      <c r="BA37" s="37">
        <f>IF($A37="","",IF(OR($U37="LC_SIGHT",$U37="LC_USANCE",$U37="TT_ADV"),"대상 아님","대상"))</f>
        <v/>
      </c>
      <c r="BB37" s="40">
        <f>IF($A37="","",IF(OR($BA37="대상 아님",$AZ37&lt;&gt;"",$AH37=1),0,MIN($AV37,$AW37,$AX37+$AY37)))</f>
        <v/>
      </c>
      <c r="BC37" s="40">
        <f>IF($A37="","",IF($AG37=1,MIN(StratMin*$AB37,$BB37),0))</f>
        <v/>
      </c>
      <c r="BD37" s="41">
        <f>IF($A37="","",IF(OR($V37&lt;=0,$BB37&lt;=0),0,Util*(GM*365/$V37-$AT37)))</f>
        <v/>
      </c>
      <c r="BE37" s="42">
        <f>IF($A37="","",Util*$AL37*$AN37*(1-$AO37))</f>
        <v/>
      </c>
      <c r="BF37" s="37">
        <f>IF($A37="","",IF($AC37="","0-2",IF($AC37&lt;=2,"0-2",IF($AC37=3,"3",IF($AC37&lt;=5,"4-5","6-7")))))</f>
        <v/>
      </c>
      <c r="BG37" s="40">
        <f>IF($A37="","",$Z37*$AM37*$AN37*(1-$AO37))</f>
        <v/>
      </c>
      <c r="BH37" s="40">
        <f>IF($A37="","",$Z37*(TSOFR3M+$AP37)*$V37/DayBasis)</f>
        <v/>
      </c>
      <c r="BI37" s="43">
        <f>IF($A37="","",$C37+$Z37*1E-13)</f>
        <v/>
      </c>
    </row>
    <row r="38">
      <c r="B38" s="32" t="n"/>
      <c r="C38" s="33" t="n"/>
      <c r="E38" s="33" t="n"/>
      <c r="H38" s="34" t="n"/>
      <c r="X38" s="35" t="n"/>
      <c r="Y38" s="35" t="n"/>
      <c r="Z38" s="35" t="n"/>
      <c r="AA38" s="35" t="n"/>
      <c r="AB38" s="35" t="n"/>
      <c r="AD38" s="36" t="n"/>
      <c r="AE38" s="36" t="n"/>
      <c r="AF38" s="36" t="n"/>
      <c r="AK38" s="37">
        <f>IF($A38="","",IF(GradeRule="quantile",$I38,$F38))</f>
        <v/>
      </c>
      <c r="AL38" s="38">
        <f>IF($A38="","",CHOOSE(MATCH($AK38,{"S","A","B","C"},0),PD_S,PD_A,PD_B,PD_C))</f>
        <v/>
      </c>
      <c r="AM38" s="38">
        <f>IF($A38="","",IF($AH38=1,1,$AL38))</f>
        <v/>
      </c>
      <c r="AN38" s="38">
        <f>IF($A38="","",IF(OR($U38="LC_SIGHT",$U38="LC_USANCE"),LGD_LC,LGD))</f>
        <v/>
      </c>
      <c r="AO38" s="38">
        <f>IF($A38="","",IF($W38="Y",Cov,0))</f>
        <v/>
      </c>
      <c r="AP38" s="38">
        <f>IF($A38="","",CHOOSE(MATCH($AK38,{"S","A","B","C"},0),Spread_S,Spread_A,Spread_B,Spread_C))</f>
        <v/>
      </c>
      <c r="AQ38" s="38">
        <f>IF($A38="","",CHOOSE(MATCH($AK38,{"S","A","B","C"},0),Prem_S,Prem_A,Prem_B,Prem_C))</f>
        <v/>
      </c>
      <c r="AR38" s="39">
        <f>IF(OR($A38="",$V38&lt;=0),"",TSOFR3M+$AP38+$AL38*$AN38)</f>
        <v/>
      </c>
      <c r="AS38" s="39">
        <f>IF(OR($A38="",$V38&lt;=0),"",TSOFR3M+$AP38+$AQ38*365/$V38+$AL38*$AN38*(1-Cov))</f>
        <v/>
      </c>
      <c r="AT38" s="39">
        <f>IF(OR($A38="",$V38&lt;=0),"",IF($W38="Y",$AS38,$AR38))</f>
        <v/>
      </c>
      <c r="AU38" s="37">
        <f>IF(OR($A38="",$V38&lt;=0),"",IF($AS38&lt;$AR38,"부보 유리","무보험 유리"))</f>
        <v/>
      </c>
      <c r="AV38" s="40">
        <f>IF($A38="","",$Y38*($V38+Grace)/30)</f>
        <v/>
      </c>
      <c r="AW38" s="40">
        <f>IF($A38="","",CHOOSE(MATCH($AK38,{"S","A","B","C"},0),$AV38,Cap_A,Cap_B,Cap_C_OA))</f>
        <v/>
      </c>
      <c r="AX38" s="40">
        <f>IF($A38="","",IF($W38="Y",$X38,0))</f>
        <v/>
      </c>
      <c r="AY38" s="40">
        <f>IF($A38="","",Equity_USD*CHOOSE(MATCH($AK38,{"S","A","B","C"},0),s_S,s_A,s_B,s_C))</f>
        <v/>
      </c>
      <c r="AZ38" s="37">
        <f>IF($A38="","",'13_EarlyWarning'!$AH41)</f>
        <v/>
      </c>
      <c r="BA38" s="37">
        <f>IF($A38="","",IF(OR($U38="LC_SIGHT",$U38="LC_USANCE",$U38="TT_ADV"),"대상 아님","대상"))</f>
        <v/>
      </c>
      <c r="BB38" s="40">
        <f>IF($A38="","",IF(OR($BA38="대상 아님",$AZ38&lt;&gt;"",$AH38=1),0,MIN($AV38,$AW38,$AX38+$AY38)))</f>
        <v/>
      </c>
      <c r="BC38" s="40">
        <f>IF($A38="","",IF($AG38=1,MIN(StratMin*$AB38,$BB38),0))</f>
        <v/>
      </c>
      <c r="BD38" s="41">
        <f>IF($A38="","",IF(OR($V38&lt;=0,$BB38&lt;=0),0,Util*(GM*365/$V38-$AT38)))</f>
        <v/>
      </c>
      <c r="BE38" s="42">
        <f>IF($A38="","",Util*$AL38*$AN38*(1-$AO38))</f>
        <v/>
      </c>
      <c r="BF38" s="37">
        <f>IF($A38="","",IF($AC38="","0-2",IF($AC38&lt;=2,"0-2",IF($AC38=3,"3",IF($AC38&lt;=5,"4-5","6-7")))))</f>
        <v/>
      </c>
      <c r="BG38" s="40">
        <f>IF($A38="","",$Z38*$AM38*$AN38*(1-$AO38))</f>
        <v/>
      </c>
      <c r="BH38" s="40">
        <f>IF($A38="","",$Z38*(TSOFR3M+$AP38)*$V38/DayBasis)</f>
        <v/>
      </c>
      <c r="BI38" s="43">
        <f>IF($A38="","",$C38+$Z38*1E-13)</f>
        <v/>
      </c>
    </row>
    <row r="39">
      <c r="B39" s="32" t="n"/>
      <c r="C39" s="33" t="n"/>
      <c r="E39" s="33" t="n"/>
      <c r="H39" s="34" t="n"/>
      <c r="X39" s="35" t="n"/>
      <c r="Y39" s="35" t="n"/>
      <c r="Z39" s="35" t="n"/>
      <c r="AA39" s="35" t="n"/>
      <c r="AB39" s="35" t="n"/>
      <c r="AD39" s="36" t="n"/>
      <c r="AE39" s="36" t="n"/>
      <c r="AF39" s="36" t="n"/>
      <c r="AK39" s="37">
        <f>IF($A39="","",IF(GradeRule="quantile",$I39,$F39))</f>
        <v/>
      </c>
      <c r="AL39" s="38">
        <f>IF($A39="","",CHOOSE(MATCH($AK39,{"S","A","B","C"},0),PD_S,PD_A,PD_B,PD_C))</f>
        <v/>
      </c>
      <c r="AM39" s="38">
        <f>IF($A39="","",IF($AH39=1,1,$AL39))</f>
        <v/>
      </c>
      <c r="AN39" s="38">
        <f>IF($A39="","",IF(OR($U39="LC_SIGHT",$U39="LC_USANCE"),LGD_LC,LGD))</f>
        <v/>
      </c>
      <c r="AO39" s="38">
        <f>IF($A39="","",IF($W39="Y",Cov,0))</f>
        <v/>
      </c>
      <c r="AP39" s="38">
        <f>IF($A39="","",CHOOSE(MATCH($AK39,{"S","A","B","C"},0),Spread_S,Spread_A,Spread_B,Spread_C))</f>
        <v/>
      </c>
      <c r="AQ39" s="38">
        <f>IF($A39="","",CHOOSE(MATCH($AK39,{"S","A","B","C"},0),Prem_S,Prem_A,Prem_B,Prem_C))</f>
        <v/>
      </c>
      <c r="AR39" s="39">
        <f>IF(OR($A39="",$V39&lt;=0),"",TSOFR3M+$AP39+$AL39*$AN39)</f>
        <v/>
      </c>
      <c r="AS39" s="39">
        <f>IF(OR($A39="",$V39&lt;=0),"",TSOFR3M+$AP39+$AQ39*365/$V39+$AL39*$AN39*(1-Cov))</f>
        <v/>
      </c>
      <c r="AT39" s="39">
        <f>IF(OR($A39="",$V39&lt;=0),"",IF($W39="Y",$AS39,$AR39))</f>
        <v/>
      </c>
      <c r="AU39" s="37">
        <f>IF(OR($A39="",$V39&lt;=0),"",IF($AS39&lt;$AR39,"부보 유리","무보험 유리"))</f>
        <v/>
      </c>
      <c r="AV39" s="40">
        <f>IF($A39="","",$Y39*($V39+Grace)/30)</f>
        <v/>
      </c>
      <c r="AW39" s="40">
        <f>IF($A39="","",CHOOSE(MATCH($AK39,{"S","A","B","C"},0),$AV39,Cap_A,Cap_B,Cap_C_OA))</f>
        <v/>
      </c>
      <c r="AX39" s="40">
        <f>IF($A39="","",IF($W39="Y",$X39,0))</f>
        <v/>
      </c>
      <c r="AY39" s="40">
        <f>IF($A39="","",Equity_USD*CHOOSE(MATCH($AK39,{"S","A","B","C"},0),s_S,s_A,s_B,s_C))</f>
        <v/>
      </c>
      <c r="AZ39" s="37">
        <f>IF($A39="","",'13_EarlyWarning'!$AH42)</f>
        <v/>
      </c>
      <c r="BA39" s="37">
        <f>IF($A39="","",IF(OR($U39="LC_SIGHT",$U39="LC_USANCE",$U39="TT_ADV"),"대상 아님","대상"))</f>
        <v/>
      </c>
      <c r="BB39" s="40">
        <f>IF($A39="","",IF(OR($BA39="대상 아님",$AZ39&lt;&gt;"",$AH39=1),0,MIN($AV39,$AW39,$AX39+$AY39)))</f>
        <v/>
      </c>
      <c r="BC39" s="40">
        <f>IF($A39="","",IF($AG39=1,MIN(StratMin*$AB39,$BB39),0))</f>
        <v/>
      </c>
      <c r="BD39" s="41">
        <f>IF($A39="","",IF(OR($V39&lt;=0,$BB39&lt;=0),0,Util*(GM*365/$V39-$AT39)))</f>
        <v/>
      </c>
      <c r="BE39" s="42">
        <f>IF($A39="","",Util*$AL39*$AN39*(1-$AO39))</f>
        <v/>
      </c>
      <c r="BF39" s="37">
        <f>IF($A39="","",IF($AC39="","0-2",IF($AC39&lt;=2,"0-2",IF($AC39=3,"3",IF($AC39&lt;=5,"4-5","6-7")))))</f>
        <v/>
      </c>
      <c r="BG39" s="40">
        <f>IF($A39="","",$Z39*$AM39*$AN39*(1-$AO39))</f>
        <v/>
      </c>
      <c r="BH39" s="40">
        <f>IF($A39="","",$Z39*(TSOFR3M+$AP39)*$V39/DayBasis)</f>
        <v/>
      </c>
      <c r="BI39" s="43">
        <f>IF($A39="","",$C39+$Z39*1E-13)</f>
        <v/>
      </c>
    </row>
    <row r="40">
      <c r="B40" s="32" t="n"/>
      <c r="C40" s="33" t="n"/>
      <c r="E40" s="33" t="n"/>
      <c r="H40" s="34" t="n"/>
      <c r="X40" s="35" t="n"/>
      <c r="Y40" s="35" t="n"/>
      <c r="Z40" s="35" t="n"/>
      <c r="AA40" s="35" t="n"/>
      <c r="AB40" s="35" t="n"/>
      <c r="AD40" s="36" t="n"/>
      <c r="AE40" s="36" t="n"/>
      <c r="AF40" s="36" t="n"/>
      <c r="AK40" s="37">
        <f>IF($A40="","",IF(GradeRule="quantile",$I40,$F40))</f>
        <v/>
      </c>
      <c r="AL40" s="38">
        <f>IF($A40="","",CHOOSE(MATCH($AK40,{"S","A","B","C"},0),PD_S,PD_A,PD_B,PD_C))</f>
        <v/>
      </c>
      <c r="AM40" s="38">
        <f>IF($A40="","",IF($AH40=1,1,$AL40))</f>
        <v/>
      </c>
      <c r="AN40" s="38">
        <f>IF($A40="","",IF(OR($U40="LC_SIGHT",$U40="LC_USANCE"),LGD_LC,LGD))</f>
        <v/>
      </c>
      <c r="AO40" s="38">
        <f>IF($A40="","",IF($W40="Y",Cov,0))</f>
        <v/>
      </c>
      <c r="AP40" s="38">
        <f>IF($A40="","",CHOOSE(MATCH($AK40,{"S","A","B","C"},0),Spread_S,Spread_A,Spread_B,Spread_C))</f>
        <v/>
      </c>
      <c r="AQ40" s="38">
        <f>IF($A40="","",CHOOSE(MATCH($AK40,{"S","A","B","C"},0),Prem_S,Prem_A,Prem_B,Prem_C))</f>
        <v/>
      </c>
      <c r="AR40" s="39">
        <f>IF(OR($A40="",$V40&lt;=0),"",TSOFR3M+$AP40+$AL40*$AN40)</f>
        <v/>
      </c>
      <c r="AS40" s="39">
        <f>IF(OR($A40="",$V40&lt;=0),"",TSOFR3M+$AP40+$AQ40*365/$V40+$AL40*$AN40*(1-Cov))</f>
        <v/>
      </c>
      <c r="AT40" s="39">
        <f>IF(OR($A40="",$V40&lt;=0),"",IF($W40="Y",$AS40,$AR40))</f>
        <v/>
      </c>
      <c r="AU40" s="37">
        <f>IF(OR($A40="",$V40&lt;=0),"",IF($AS40&lt;$AR40,"부보 유리","무보험 유리"))</f>
        <v/>
      </c>
      <c r="AV40" s="40">
        <f>IF($A40="","",$Y40*($V40+Grace)/30)</f>
        <v/>
      </c>
      <c r="AW40" s="40">
        <f>IF($A40="","",CHOOSE(MATCH($AK40,{"S","A","B","C"},0),$AV40,Cap_A,Cap_B,Cap_C_OA))</f>
        <v/>
      </c>
      <c r="AX40" s="40">
        <f>IF($A40="","",IF($W40="Y",$X40,0))</f>
        <v/>
      </c>
      <c r="AY40" s="40">
        <f>IF($A40="","",Equity_USD*CHOOSE(MATCH($AK40,{"S","A","B","C"},0),s_S,s_A,s_B,s_C))</f>
        <v/>
      </c>
      <c r="AZ40" s="37">
        <f>IF($A40="","",'13_EarlyWarning'!$AH43)</f>
        <v/>
      </c>
      <c r="BA40" s="37">
        <f>IF($A40="","",IF(OR($U40="LC_SIGHT",$U40="LC_USANCE",$U40="TT_ADV"),"대상 아님","대상"))</f>
        <v/>
      </c>
      <c r="BB40" s="40">
        <f>IF($A40="","",IF(OR($BA40="대상 아님",$AZ40&lt;&gt;"",$AH40=1),0,MIN($AV40,$AW40,$AX40+$AY40)))</f>
        <v/>
      </c>
      <c r="BC40" s="40">
        <f>IF($A40="","",IF($AG40=1,MIN(StratMin*$AB40,$BB40),0))</f>
        <v/>
      </c>
      <c r="BD40" s="41">
        <f>IF($A40="","",IF(OR($V40&lt;=0,$BB40&lt;=0),0,Util*(GM*365/$V40-$AT40)))</f>
        <v/>
      </c>
      <c r="BE40" s="42">
        <f>IF($A40="","",Util*$AL40*$AN40*(1-$AO40))</f>
        <v/>
      </c>
      <c r="BF40" s="37">
        <f>IF($A40="","",IF($AC40="","0-2",IF($AC40&lt;=2,"0-2",IF($AC40=3,"3",IF($AC40&lt;=5,"4-5","6-7")))))</f>
        <v/>
      </c>
      <c r="BG40" s="40">
        <f>IF($A40="","",$Z40*$AM40*$AN40*(1-$AO40))</f>
        <v/>
      </c>
      <c r="BH40" s="40">
        <f>IF($A40="","",$Z40*(TSOFR3M+$AP40)*$V40/DayBasis)</f>
        <v/>
      </c>
      <c r="BI40" s="43">
        <f>IF($A40="","",$C40+$Z40*1E-13)</f>
        <v/>
      </c>
    </row>
    <row r="41">
      <c r="B41" s="32" t="n"/>
      <c r="C41" s="33" t="n"/>
      <c r="E41" s="33" t="n"/>
      <c r="H41" s="34" t="n"/>
      <c r="X41" s="35" t="n"/>
      <c r="Y41" s="35" t="n"/>
      <c r="Z41" s="35" t="n"/>
      <c r="AA41" s="35" t="n"/>
      <c r="AB41" s="35" t="n"/>
      <c r="AD41" s="36" t="n"/>
      <c r="AE41" s="36" t="n"/>
      <c r="AF41" s="36" t="n"/>
      <c r="AK41" s="37">
        <f>IF($A41="","",IF(GradeRule="quantile",$I41,$F41))</f>
        <v/>
      </c>
      <c r="AL41" s="38">
        <f>IF($A41="","",CHOOSE(MATCH($AK41,{"S","A","B","C"},0),PD_S,PD_A,PD_B,PD_C))</f>
        <v/>
      </c>
      <c r="AM41" s="38">
        <f>IF($A41="","",IF($AH41=1,1,$AL41))</f>
        <v/>
      </c>
      <c r="AN41" s="38">
        <f>IF($A41="","",IF(OR($U41="LC_SIGHT",$U41="LC_USANCE"),LGD_LC,LGD))</f>
        <v/>
      </c>
      <c r="AO41" s="38">
        <f>IF($A41="","",IF($W41="Y",Cov,0))</f>
        <v/>
      </c>
      <c r="AP41" s="38">
        <f>IF($A41="","",CHOOSE(MATCH($AK41,{"S","A","B","C"},0),Spread_S,Spread_A,Spread_B,Spread_C))</f>
        <v/>
      </c>
      <c r="AQ41" s="38">
        <f>IF($A41="","",CHOOSE(MATCH($AK41,{"S","A","B","C"},0),Prem_S,Prem_A,Prem_B,Prem_C))</f>
        <v/>
      </c>
      <c r="AR41" s="39">
        <f>IF(OR($A41="",$V41&lt;=0),"",TSOFR3M+$AP41+$AL41*$AN41)</f>
        <v/>
      </c>
      <c r="AS41" s="39">
        <f>IF(OR($A41="",$V41&lt;=0),"",TSOFR3M+$AP41+$AQ41*365/$V41+$AL41*$AN41*(1-Cov))</f>
        <v/>
      </c>
      <c r="AT41" s="39">
        <f>IF(OR($A41="",$V41&lt;=0),"",IF($W41="Y",$AS41,$AR41))</f>
        <v/>
      </c>
      <c r="AU41" s="37">
        <f>IF(OR($A41="",$V41&lt;=0),"",IF($AS41&lt;$AR41,"부보 유리","무보험 유리"))</f>
        <v/>
      </c>
      <c r="AV41" s="40">
        <f>IF($A41="","",$Y41*($V41+Grace)/30)</f>
        <v/>
      </c>
      <c r="AW41" s="40">
        <f>IF($A41="","",CHOOSE(MATCH($AK41,{"S","A","B","C"},0),$AV41,Cap_A,Cap_B,Cap_C_OA))</f>
        <v/>
      </c>
      <c r="AX41" s="40">
        <f>IF($A41="","",IF($W41="Y",$X41,0))</f>
        <v/>
      </c>
      <c r="AY41" s="40">
        <f>IF($A41="","",Equity_USD*CHOOSE(MATCH($AK41,{"S","A","B","C"},0),s_S,s_A,s_B,s_C))</f>
        <v/>
      </c>
      <c r="AZ41" s="37">
        <f>IF($A41="","",'13_EarlyWarning'!$AH44)</f>
        <v/>
      </c>
      <c r="BA41" s="37">
        <f>IF($A41="","",IF(OR($U41="LC_SIGHT",$U41="LC_USANCE",$U41="TT_ADV"),"대상 아님","대상"))</f>
        <v/>
      </c>
      <c r="BB41" s="40">
        <f>IF($A41="","",IF(OR($BA41="대상 아님",$AZ41&lt;&gt;"",$AH41=1),0,MIN($AV41,$AW41,$AX41+$AY41)))</f>
        <v/>
      </c>
      <c r="BC41" s="40">
        <f>IF($A41="","",IF($AG41=1,MIN(StratMin*$AB41,$BB41),0))</f>
        <v/>
      </c>
      <c r="BD41" s="41">
        <f>IF($A41="","",IF(OR($V41&lt;=0,$BB41&lt;=0),0,Util*(GM*365/$V41-$AT41)))</f>
        <v/>
      </c>
      <c r="BE41" s="42">
        <f>IF($A41="","",Util*$AL41*$AN41*(1-$AO41))</f>
        <v/>
      </c>
      <c r="BF41" s="37">
        <f>IF($A41="","",IF($AC41="","0-2",IF($AC41&lt;=2,"0-2",IF($AC41=3,"3",IF($AC41&lt;=5,"4-5","6-7")))))</f>
        <v/>
      </c>
      <c r="BG41" s="40">
        <f>IF($A41="","",$Z41*$AM41*$AN41*(1-$AO41))</f>
        <v/>
      </c>
      <c r="BH41" s="40">
        <f>IF($A41="","",$Z41*(TSOFR3M+$AP41)*$V41/DayBasis)</f>
        <v/>
      </c>
      <c r="BI41" s="43">
        <f>IF($A41="","",$C41+$Z41*1E-13)</f>
        <v/>
      </c>
    </row>
    <row r="42">
      <c r="B42" s="32" t="n"/>
      <c r="C42" s="33" t="n"/>
      <c r="E42" s="33" t="n"/>
      <c r="H42" s="34" t="n"/>
      <c r="X42" s="35" t="n"/>
      <c r="Y42" s="35" t="n"/>
      <c r="Z42" s="35" t="n"/>
      <c r="AA42" s="35" t="n"/>
      <c r="AB42" s="35" t="n"/>
      <c r="AD42" s="36" t="n"/>
      <c r="AE42" s="36" t="n"/>
      <c r="AF42" s="36" t="n"/>
      <c r="AK42" s="37">
        <f>IF($A42="","",IF(GradeRule="quantile",$I42,$F42))</f>
        <v/>
      </c>
      <c r="AL42" s="38">
        <f>IF($A42="","",CHOOSE(MATCH($AK42,{"S","A","B","C"},0),PD_S,PD_A,PD_B,PD_C))</f>
        <v/>
      </c>
      <c r="AM42" s="38">
        <f>IF($A42="","",IF($AH42=1,1,$AL42))</f>
        <v/>
      </c>
      <c r="AN42" s="38">
        <f>IF($A42="","",IF(OR($U42="LC_SIGHT",$U42="LC_USANCE"),LGD_LC,LGD))</f>
        <v/>
      </c>
      <c r="AO42" s="38">
        <f>IF($A42="","",IF($W42="Y",Cov,0))</f>
        <v/>
      </c>
      <c r="AP42" s="38">
        <f>IF($A42="","",CHOOSE(MATCH($AK42,{"S","A","B","C"},0),Spread_S,Spread_A,Spread_B,Spread_C))</f>
        <v/>
      </c>
      <c r="AQ42" s="38">
        <f>IF($A42="","",CHOOSE(MATCH($AK42,{"S","A","B","C"},0),Prem_S,Prem_A,Prem_B,Prem_C))</f>
        <v/>
      </c>
      <c r="AR42" s="39">
        <f>IF(OR($A42="",$V42&lt;=0),"",TSOFR3M+$AP42+$AL42*$AN42)</f>
        <v/>
      </c>
      <c r="AS42" s="39">
        <f>IF(OR($A42="",$V42&lt;=0),"",TSOFR3M+$AP42+$AQ42*365/$V42+$AL42*$AN42*(1-Cov))</f>
        <v/>
      </c>
      <c r="AT42" s="39">
        <f>IF(OR($A42="",$V42&lt;=0),"",IF($W42="Y",$AS42,$AR42))</f>
        <v/>
      </c>
      <c r="AU42" s="37">
        <f>IF(OR($A42="",$V42&lt;=0),"",IF($AS42&lt;$AR42,"부보 유리","무보험 유리"))</f>
        <v/>
      </c>
      <c r="AV42" s="40">
        <f>IF($A42="","",$Y42*($V42+Grace)/30)</f>
        <v/>
      </c>
      <c r="AW42" s="40">
        <f>IF($A42="","",CHOOSE(MATCH($AK42,{"S","A","B","C"},0),$AV42,Cap_A,Cap_B,Cap_C_OA))</f>
        <v/>
      </c>
      <c r="AX42" s="40">
        <f>IF($A42="","",IF($W42="Y",$X42,0))</f>
        <v/>
      </c>
      <c r="AY42" s="40">
        <f>IF($A42="","",Equity_USD*CHOOSE(MATCH($AK42,{"S","A","B","C"},0),s_S,s_A,s_B,s_C))</f>
        <v/>
      </c>
      <c r="AZ42" s="37">
        <f>IF($A42="","",'13_EarlyWarning'!$AH45)</f>
        <v/>
      </c>
      <c r="BA42" s="37">
        <f>IF($A42="","",IF(OR($U42="LC_SIGHT",$U42="LC_USANCE",$U42="TT_ADV"),"대상 아님","대상"))</f>
        <v/>
      </c>
      <c r="BB42" s="40">
        <f>IF($A42="","",IF(OR($BA42="대상 아님",$AZ42&lt;&gt;"",$AH42=1),0,MIN($AV42,$AW42,$AX42+$AY42)))</f>
        <v/>
      </c>
      <c r="BC42" s="40">
        <f>IF($A42="","",IF($AG42=1,MIN(StratMin*$AB42,$BB42),0))</f>
        <v/>
      </c>
      <c r="BD42" s="41">
        <f>IF($A42="","",IF(OR($V42&lt;=0,$BB42&lt;=0),0,Util*(GM*365/$V42-$AT42)))</f>
        <v/>
      </c>
      <c r="BE42" s="42">
        <f>IF($A42="","",Util*$AL42*$AN42*(1-$AO42))</f>
        <v/>
      </c>
      <c r="BF42" s="37">
        <f>IF($A42="","",IF($AC42="","0-2",IF($AC42&lt;=2,"0-2",IF($AC42=3,"3",IF($AC42&lt;=5,"4-5","6-7")))))</f>
        <v/>
      </c>
      <c r="BG42" s="40">
        <f>IF($A42="","",$Z42*$AM42*$AN42*(1-$AO42))</f>
        <v/>
      </c>
      <c r="BH42" s="40">
        <f>IF($A42="","",$Z42*(TSOFR3M+$AP42)*$V42/DayBasis)</f>
        <v/>
      </c>
      <c r="BI42" s="43">
        <f>IF($A42="","",$C42+$Z42*1E-13)</f>
        <v/>
      </c>
    </row>
    <row r="43">
      <c r="B43" s="32" t="n"/>
      <c r="C43" s="33" t="n"/>
      <c r="E43" s="33" t="n"/>
      <c r="H43" s="34" t="n"/>
      <c r="X43" s="35" t="n"/>
      <c r="Y43" s="35" t="n"/>
      <c r="Z43" s="35" t="n"/>
      <c r="AA43" s="35" t="n"/>
      <c r="AB43" s="35" t="n"/>
      <c r="AD43" s="36" t="n"/>
      <c r="AE43" s="36" t="n"/>
      <c r="AF43" s="36" t="n"/>
      <c r="AK43" s="37">
        <f>IF($A43="","",IF(GradeRule="quantile",$I43,$F43))</f>
        <v/>
      </c>
      <c r="AL43" s="38">
        <f>IF($A43="","",CHOOSE(MATCH($AK43,{"S","A","B","C"},0),PD_S,PD_A,PD_B,PD_C))</f>
        <v/>
      </c>
      <c r="AM43" s="38">
        <f>IF($A43="","",IF($AH43=1,1,$AL43))</f>
        <v/>
      </c>
      <c r="AN43" s="38">
        <f>IF($A43="","",IF(OR($U43="LC_SIGHT",$U43="LC_USANCE"),LGD_LC,LGD))</f>
        <v/>
      </c>
      <c r="AO43" s="38">
        <f>IF($A43="","",IF($W43="Y",Cov,0))</f>
        <v/>
      </c>
      <c r="AP43" s="38">
        <f>IF($A43="","",CHOOSE(MATCH($AK43,{"S","A","B","C"},0),Spread_S,Spread_A,Spread_B,Spread_C))</f>
        <v/>
      </c>
      <c r="AQ43" s="38">
        <f>IF($A43="","",CHOOSE(MATCH($AK43,{"S","A","B","C"},0),Prem_S,Prem_A,Prem_B,Prem_C))</f>
        <v/>
      </c>
      <c r="AR43" s="39">
        <f>IF(OR($A43="",$V43&lt;=0),"",TSOFR3M+$AP43+$AL43*$AN43)</f>
        <v/>
      </c>
      <c r="AS43" s="39">
        <f>IF(OR($A43="",$V43&lt;=0),"",TSOFR3M+$AP43+$AQ43*365/$V43+$AL43*$AN43*(1-Cov))</f>
        <v/>
      </c>
      <c r="AT43" s="39">
        <f>IF(OR($A43="",$V43&lt;=0),"",IF($W43="Y",$AS43,$AR43))</f>
        <v/>
      </c>
      <c r="AU43" s="37">
        <f>IF(OR($A43="",$V43&lt;=0),"",IF($AS43&lt;$AR43,"부보 유리","무보험 유리"))</f>
        <v/>
      </c>
      <c r="AV43" s="40">
        <f>IF($A43="","",$Y43*($V43+Grace)/30)</f>
        <v/>
      </c>
      <c r="AW43" s="40">
        <f>IF($A43="","",CHOOSE(MATCH($AK43,{"S","A","B","C"},0),$AV43,Cap_A,Cap_B,Cap_C_OA))</f>
        <v/>
      </c>
      <c r="AX43" s="40">
        <f>IF($A43="","",IF($W43="Y",$X43,0))</f>
        <v/>
      </c>
      <c r="AY43" s="40">
        <f>IF($A43="","",Equity_USD*CHOOSE(MATCH($AK43,{"S","A","B","C"},0),s_S,s_A,s_B,s_C))</f>
        <v/>
      </c>
      <c r="AZ43" s="37">
        <f>IF($A43="","",'13_EarlyWarning'!$AH46)</f>
        <v/>
      </c>
      <c r="BA43" s="37">
        <f>IF($A43="","",IF(OR($U43="LC_SIGHT",$U43="LC_USANCE",$U43="TT_ADV"),"대상 아님","대상"))</f>
        <v/>
      </c>
      <c r="BB43" s="40">
        <f>IF($A43="","",IF(OR($BA43="대상 아님",$AZ43&lt;&gt;"",$AH43=1),0,MIN($AV43,$AW43,$AX43+$AY43)))</f>
        <v/>
      </c>
      <c r="BC43" s="40">
        <f>IF($A43="","",IF($AG43=1,MIN(StratMin*$AB43,$BB43),0))</f>
        <v/>
      </c>
      <c r="BD43" s="41">
        <f>IF($A43="","",IF(OR($V43&lt;=0,$BB43&lt;=0),0,Util*(GM*365/$V43-$AT43)))</f>
        <v/>
      </c>
      <c r="BE43" s="42">
        <f>IF($A43="","",Util*$AL43*$AN43*(1-$AO43))</f>
        <v/>
      </c>
      <c r="BF43" s="37">
        <f>IF($A43="","",IF($AC43="","0-2",IF($AC43&lt;=2,"0-2",IF($AC43=3,"3",IF($AC43&lt;=5,"4-5","6-7")))))</f>
        <v/>
      </c>
      <c r="BG43" s="40">
        <f>IF($A43="","",$Z43*$AM43*$AN43*(1-$AO43))</f>
        <v/>
      </c>
      <c r="BH43" s="40">
        <f>IF($A43="","",$Z43*(TSOFR3M+$AP43)*$V43/DayBasis)</f>
        <v/>
      </c>
      <c r="BI43" s="43">
        <f>IF($A43="","",$C43+$Z43*1E-13)</f>
        <v/>
      </c>
    </row>
    <row r="44">
      <c r="B44" s="32" t="n"/>
      <c r="C44" s="33" t="n"/>
      <c r="E44" s="33" t="n"/>
      <c r="H44" s="34" t="n"/>
      <c r="X44" s="35" t="n"/>
      <c r="Y44" s="35" t="n"/>
      <c r="Z44" s="35" t="n"/>
      <c r="AA44" s="35" t="n"/>
      <c r="AB44" s="35" t="n"/>
      <c r="AD44" s="36" t="n"/>
      <c r="AE44" s="36" t="n"/>
      <c r="AF44" s="36" t="n"/>
      <c r="AK44" s="37">
        <f>IF($A44="","",IF(GradeRule="quantile",$I44,$F44))</f>
        <v/>
      </c>
      <c r="AL44" s="38">
        <f>IF($A44="","",CHOOSE(MATCH($AK44,{"S","A","B","C"},0),PD_S,PD_A,PD_B,PD_C))</f>
        <v/>
      </c>
      <c r="AM44" s="38">
        <f>IF($A44="","",IF($AH44=1,1,$AL44))</f>
        <v/>
      </c>
      <c r="AN44" s="38">
        <f>IF($A44="","",IF(OR($U44="LC_SIGHT",$U44="LC_USANCE"),LGD_LC,LGD))</f>
        <v/>
      </c>
      <c r="AO44" s="38">
        <f>IF($A44="","",IF($W44="Y",Cov,0))</f>
        <v/>
      </c>
      <c r="AP44" s="38">
        <f>IF($A44="","",CHOOSE(MATCH($AK44,{"S","A","B","C"},0),Spread_S,Spread_A,Spread_B,Spread_C))</f>
        <v/>
      </c>
      <c r="AQ44" s="38">
        <f>IF($A44="","",CHOOSE(MATCH($AK44,{"S","A","B","C"},0),Prem_S,Prem_A,Prem_B,Prem_C))</f>
        <v/>
      </c>
      <c r="AR44" s="39">
        <f>IF(OR($A44="",$V44&lt;=0),"",TSOFR3M+$AP44+$AL44*$AN44)</f>
        <v/>
      </c>
      <c r="AS44" s="39">
        <f>IF(OR($A44="",$V44&lt;=0),"",TSOFR3M+$AP44+$AQ44*365/$V44+$AL44*$AN44*(1-Cov))</f>
        <v/>
      </c>
      <c r="AT44" s="39">
        <f>IF(OR($A44="",$V44&lt;=0),"",IF($W44="Y",$AS44,$AR44))</f>
        <v/>
      </c>
      <c r="AU44" s="37">
        <f>IF(OR($A44="",$V44&lt;=0),"",IF($AS44&lt;$AR44,"부보 유리","무보험 유리"))</f>
        <v/>
      </c>
      <c r="AV44" s="40">
        <f>IF($A44="","",$Y44*($V44+Grace)/30)</f>
        <v/>
      </c>
      <c r="AW44" s="40">
        <f>IF($A44="","",CHOOSE(MATCH($AK44,{"S","A","B","C"},0),$AV44,Cap_A,Cap_B,Cap_C_OA))</f>
        <v/>
      </c>
      <c r="AX44" s="40">
        <f>IF($A44="","",IF($W44="Y",$X44,0))</f>
        <v/>
      </c>
      <c r="AY44" s="40">
        <f>IF($A44="","",Equity_USD*CHOOSE(MATCH($AK44,{"S","A","B","C"},0),s_S,s_A,s_B,s_C))</f>
        <v/>
      </c>
      <c r="AZ44" s="37">
        <f>IF($A44="","",'13_EarlyWarning'!$AH47)</f>
        <v/>
      </c>
      <c r="BA44" s="37">
        <f>IF($A44="","",IF(OR($U44="LC_SIGHT",$U44="LC_USANCE",$U44="TT_ADV"),"대상 아님","대상"))</f>
        <v/>
      </c>
      <c r="BB44" s="40">
        <f>IF($A44="","",IF(OR($BA44="대상 아님",$AZ44&lt;&gt;"",$AH44=1),0,MIN($AV44,$AW44,$AX44+$AY44)))</f>
        <v/>
      </c>
      <c r="BC44" s="40">
        <f>IF($A44="","",IF($AG44=1,MIN(StratMin*$AB44,$BB44),0))</f>
        <v/>
      </c>
      <c r="BD44" s="41">
        <f>IF($A44="","",IF(OR($V44&lt;=0,$BB44&lt;=0),0,Util*(GM*365/$V44-$AT44)))</f>
        <v/>
      </c>
      <c r="BE44" s="42">
        <f>IF($A44="","",Util*$AL44*$AN44*(1-$AO44))</f>
        <v/>
      </c>
      <c r="BF44" s="37">
        <f>IF($A44="","",IF($AC44="","0-2",IF($AC44&lt;=2,"0-2",IF($AC44=3,"3",IF($AC44&lt;=5,"4-5","6-7")))))</f>
        <v/>
      </c>
      <c r="BG44" s="40">
        <f>IF($A44="","",$Z44*$AM44*$AN44*(1-$AO44))</f>
        <v/>
      </c>
      <c r="BH44" s="40">
        <f>IF($A44="","",$Z44*(TSOFR3M+$AP44)*$V44/DayBasis)</f>
        <v/>
      </c>
      <c r="BI44" s="43">
        <f>IF($A44="","",$C44+$Z44*1E-13)</f>
        <v/>
      </c>
    </row>
    <row r="45">
      <c r="B45" s="32" t="n"/>
      <c r="C45" s="33" t="n"/>
      <c r="E45" s="33" t="n"/>
      <c r="H45" s="34" t="n"/>
      <c r="X45" s="35" t="n"/>
      <c r="Y45" s="35" t="n"/>
      <c r="Z45" s="35" t="n"/>
      <c r="AA45" s="35" t="n"/>
      <c r="AB45" s="35" t="n"/>
      <c r="AD45" s="36" t="n"/>
      <c r="AE45" s="36" t="n"/>
      <c r="AF45" s="36" t="n"/>
      <c r="AK45" s="37">
        <f>IF($A45="","",IF(GradeRule="quantile",$I45,$F45))</f>
        <v/>
      </c>
      <c r="AL45" s="38">
        <f>IF($A45="","",CHOOSE(MATCH($AK45,{"S","A","B","C"},0),PD_S,PD_A,PD_B,PD_C))</f>
        <v/>
      </c>
      <c r="AM45" s="38">
        <f>IF($A45="","",IF($AH45=1,1,$AL45))</f>
        <v/>
      </c>
      <c r="AN45" s="38">
        <f>IF($A45="","",IF(OR($U45="LC_SIGHT",$U45="LC_USANCE"),LGD_LC,LGD))</f>
        <v/>
      </c>
      <c r="AO45" s="38">
        <f>IF($A45="","",IF($W45="Y",Cov,0))</f>
        <v/>
      </c>
      <c r="AP45" s="38">
        <f>IF($A45="","",CHOOSE(MATCH($AK45,{"S","A","B","C"},0),Spread_S,Spread_A,Spread_B,Spread_C))</f>
        <v/>
      </c>
      <c r="AQ45" s="38">
        <f>IF($A45="","",CHOOSE(MATCH($AK45,{"S","A","B","C"},0),Prem_S,Prem_A,Prem_B,Prem_C))</f>
        <v/>
      </c>
      <c r="AR45" s="39">
        <f>IF(OR($A45="",$V45&lt;=0),"",TSOFR3M+$AP45+$AL45*$AN45)</f>
        <v/>
      </c>
      <c r="AS45" s="39">
        <f>IF(OR($A45="",$V45&lt;=0),"",TSOFR3M+$AP45+$AQ45*365/$V45+$AL45*$AN45*(1-Cov))</f>
        <v/>
      </c>
      <c r="AT45" s="39">
        <f>IF(OR($A45="",$V45&lt;=0),"",IF($W45="Y",$AS45,$AR45))</f>
        <v/>
      </c>
      <c r="AU45" s="37">
        <f>IF(OR($A45="",$V45&lt;=0),"",IF($AS45&lt;$AR45,"부보 유리","무보험 유리"))</f>
        <v/>
      </c>
      <c r="AV45" s="40">
        <f>IF($A45="","",$Y45*($V45+Grace)/30)</f>
        <v/>
      </c>
      <c r="AW45" s="40">
        <f>IF($A45="","",CHOOSE(MATCH($AK45,{"S","A","B","C"},0),$AV45,Cap_A,Cap_B,Cap_C_OA))</f>
        <v/>
      </c>
      <c r="AX45" s="40">
        <f>IF($A45="","",IF($W45="Y",$X45,0))</f>
        <v/>
      </c>
      <c r="AY45" s="40">
        <f>IF($A45="","",Equity_USD*CHOOSE(MATCH($AK45,{"S","A","B","C"},0),s_S,s_A,s_B,s_C))</f>
        <v/>
      </c>
      <c r="AZ45" s="37">
        <f>IF($A45="","",'13_EarlyWarning'!$AH48)</f>
        <v/>
      </c>
      <c r="BA45" s="37">
        <f>IF($A45="","",IF(OR($U45="LC_SIGHT",$U45="LC_USANCE",$U45="TT_ADV"),"대상 아님","대상"))</f>
        <v/>
      </c>
      <c r="BB45" s="40">
        <f>IF($A45="","",IF(OR($BA45="대상 아님",$AZ45&lt;&gt;"",$AH45=1),0,MIN($AV45,$AW45,$AX45+$AY45)))</f>
        <v/>
      </c>
      <c r="BC45" s="40">
        <f>IF($A45="","",IF($AG45=1,MIN(StratMin*$AB45,$BB45),0))</f>
        <v/>
      </c>
      <c r="BD45" s="41">
        <f>IF($A45="","",IF(OR($V45&lt;=0,$BB45&lt;=0),0,Util*(GM*365/$V45-$AT45)))</f>
        <v/>
      </c>
      <c r="BE45" s="42">
        <f>IF($A45="","",Util*$AL45*$AN45*(1-$AO45))</f>
        <v/>
      </c>
      <c r="BF45" s="37">
        <f>IF($A45="","",IF($AC45="","0-2",IF($AC45&lt;=2,"0-2",IF($AC45=3,"3",IF($AC45&lt;=5,"4-5","6-7")))))</f>
        <v/>
      </c>
      <c r="BG45" s="40">
        <f>IF($A45="","",$Z45*$AM45*$AN45*(1-$AO45))</f>
        <v/>
      </c>
      <c r="BH45" s="40">
        <f>IF($A45="","",$Z45*(TSOFR3M+$AP45)*$V45/DayBasis)</f>
        <v/>
      </c>
      <c r="BI45" s="43">
        <f>IF($A45="","",$C45+$Z45*1E-13)</f>
        <v/>
      </c>
    </row>
    <row r="46">
      <c r="B46" s="32" t="n"/>
      <c r="C46" s="33" t="n"/>
      <c r="E46" s="33" t="n"/>
      <c r="H46" s="34" t="n"/>
      <c r="X46" s="35" t="n"/>
      <c r="Y46" s="35" t="n"/>
      <c r="Z46" s="35" t="n"/>
      <c r="AA46" s="35" t="n"/>
      <c r="AB46" s="35" t="n"/>
      <c r="AD46" s="36" t="n"/>
      <c r="AE46" s="36" t="n"/>
      <c r="AF46" s="36" t="n"/>
      <c r="AK46" s="37">
        <f>IF($A46="","",IF(GradeRule="quantile",$I46,$F46))</f>
        <v/>
      </c>
      <c r="AL46" s="38">
        <f>IF($A46="","",CHOOSE(MATCH($AK46,{"S","A","B","C"},0),PD_S,PD_A,PD_B,PD_C))</f>
        <v/>
      </c>
      <c r="AM46" s="38">
        <f>IF($A46="","",IF($AH46=1,1,$AL46))</f>
        <v/>
      </c>
      <c r="AN46" s="38">
        <f>IF($A46="","",IF(OR($U46="LC_SIGHT",$U46="LC_USANCE"),LGD_LC,LGD))</f>
        <v/>
      </c>
      <c r="AO46" s="38">
        <f>IF($A46="","",IF($W46="Y",Cov,0))</f>
        <v/>
      </c>
      <c r="AP46" s="38">
        <f>IF($A46="","",CHOOSE(MATCH($AK46,{"S","A","B","C"},0),Spread_S,Spread_A,Spread_B,Spread_C))</f>
        <v/>
      </c>
      <c r="AQ46" s="38">
        <f>IF($A46="","",CHOOSE(MATCH($AK46,{"S","A","B","C"},0),Prem_S,Prem_A,Prem_B,Prem_C))</f>
        <v/>
      </c>
      <c r="AR46" s="39">
        <f>IF(OR($A46="",$V46&lt;=0),"",TSOFR3M+$AP46+$AL46*$AN46)</f>
        <v/>
      </c>
      <c r="AS46" s="39">
        <f>IF(OR($A46="",$V46&lt;=0),"",TSOFR3M+$AP46+$AQ46*365/$V46+$AL46*$AN46*(1-Cov))</f>
        <v/>
      </c>
      <c r="AT46" s="39">
        <f>IF(OR($A46="",$V46&lt;=0),"",IF($W46="Y",$AS46,$AR46))</f>
        <v/>
      </c>
      <c r="AU46" s="37">
        <f>IF(OR($A46="",$V46&lt;=0),"",IF($AS46&lt;$AR46,"부보 유리","무보험 유리"))</f>
        <v/>
      </c>
      <c r="AV46" s="40">
        <f>IF($A46="","",$Y46*($V46+Grace)/30)</f>
        <v/>
      </c>
      <c r="AW46" s="40">
        <f>IF($A46="","",CHOOSE(MATCH($AK46,{"S","A","B","C"},0),$AV46,Cap_A,Cap_B,Cap_C_OA))</f>
        <v/>
      </c>
      <c r="AX46" s="40">
        <f>IF($A46="","",IF($W46="Y",$X46,0))</f>
        <v/>
      </c>
      <c r="AY46" s="40">
        <f>IF($A46="","",Equity_USD*CHOOSE(MATCH($AK46,{"S","A","B","C"},0),s_S,s_A,s_B,s_C))</f>
        <v/>
      </c>
      <c r="AZ46" s="37">
        <f>IF($A46="","",'13_EarlyWarning'!$AH49)</f>
        <v/>
      </c>
      <c r="BA46" s="37">
        <f>IF($A46="","",IF(OR($U46="LC_SIGHT",$U46="LC_USANCE",$U46="TT_ADV"),"대상 아님","대상"))</f>
        <v/>
      </c>
      <c r="BB46" s="40">
        <f>IF($A46="","",IF(OR($BA46="대상 아님",$AZ46&lt;&gt;"",$AH46=1),0,MIN($AV46,$AW46,$AX46+$AY46)))</f>
        <v/>
      </c>
      <c r="BC46" s="40">
        <f>IF($A46="","",IF($AG46=1,MIN(StratMin*$AB46,$BB46),0))</f>
        <v/>
      </c>
      <c r="BD46" s="41">
        <f>IF($A46="","",IF(OR($V46&lt;=0,$BB46&lt;=0),0,Util*(GM*365/$V46-$AT46)))</f>
        <v/>
      </c>
      <c r="BE46" s="42">
        <f>IF($A46="","",Util*$AL46*$AN46*(1-$AO46))</f>
        <v/>
      </c>
      <c r="BF46" s="37">
        <f>IF($A46="","",IF($AC46="","0-2",IF($AC46&lt;=2,"0-2",IF($AC46=3,"3",IF($AC46&lt;=5,"4-5","6-7")))))</f>
        <v/>
      </c>
      <c r="BG46" s="40">
        <f>IF($A46="","",$Z46*$AM46*$AN46*(1-$AO46))</f>
        <v/>
      </c>
      <c r="BH46" s="40">
        <f>IF($A46="","",$Z46*(TSOFR3M+$AP46)*$V46/DayBasis)</f>
        <v/>
      </c>
      <c r="BI46" s="43">
        <f>IF($A46="","",$C46+$Z46*1E-13)</f>
        <v/>
      </c>
    </row>
    <row r="47">
      <c r="B47" s="32" t="n"/>
      <c r="C47" s="33" t="n"/>
      <c r="E47" s="33" t="n"/>
      <c r="H47" s="34" t="n"/>
      <c r="X47" s="35" t="n"/>
      <c r="Y47" s="35" t="n"/>
      <c r="Z47" s="35" t="n"/>
      <c r="AA47" s="35" t="n"/>
      <c r="AB47" s="35" t="n"/>
      <c r="AD47" s="36" t="n"/>
      <c r="AE47" s="36" t="n"/>
      <c r="AF47" s="36" t="n"/>
      <c r="AK47" s="37">
        <f>IF($A47="","",IF(GradeRule="quantile",$I47,$F47))</f>
        <v/>
      </c>
      <c r="AL47" s="38">
        <f>IF($A47="","",CHOOSE(MATCH($AK47,{"S","A","B","C"},0),PD_S,PD_A,PD_B,PD_C))</f>
        <v/>
      </c>
      <c r="AM47" s="38">
        <f>IF($A47="","",IF($AH47=1,1,$AL47))</f>
        <v/>
      </c>
      <c r="AN47" s="38">
        <f>IF($A47="","",IF(OR($U47="LC_SIGHT",$U47="LC_USANCE"),LGD_LC,LGD))</f>
        <v/>
      </c>
      <c r="AO47" s="38">
        <f>IF($A47="","",IF($W47="Y",Cov,0))</f>
        <v/>
      </c>
      <c r="AP47" s="38">
        <f>IF($A47="","",CHOOSE(MATCH($AK47,{"S","A","B","C"},0),Spread_S,Spread_A,Spread_B,Spread_C))</f>
        <v/>
      </c>
      <c r="AQ47" s="38">
        <f>IF($A47="","",CHOOSE(MATCH($AK47,{"S","A","B","C"},0),Prem_S,Prem_A,Prem_B,Prem_C))</f>
        <v/>
      </c>
      <c r="AR47" s="39">
        <f>IF(OR($A47="",$V47&lt;=0),"",TSOFR3M+$AP47+$AL47*$AN47)</f>
        <v/>
      </c>
      <c r="AS47" s="39">
        <f>IF(OR($A47="",$V47&lt;=0),"",TSOFR3M+$AP47+$AQ47*365/$V47+$AL47*$AN47*(1-Cov))</f>
        <v/>
      </c>
      <c r="AT47" s="39">
        <f>IF(OR($A47="",$V47&lt;=0),"",IF($W47="Y",$AS47,$AR47))</f>
        <v/>
      </c>
      <c r="AU47" s="37">
        <f>IF(OR($A47="",$V47&lt;=0),"",IF($AS47&lt;$AR47,"부보 유리","무보험 유리"))</f>
        <v/>
      </c>
      <c r="AV47" s="40">
        <f>IF($A47="","",$Y47*($V47+Grace)/30)</f>
        <v/>
      </c>
      <c r="AW47" s="40">
        <f>IF($A47="","",CHOOSE(MATCH($AK47,{"S","A","B","C"},0),$AV47,Cap_A,Cap_B,Cap_C_OA))</f>
        <v/>
      </c>
      <c r="AX47" s="40">
        <f>IF($A47="","",IF($W47="Y",$X47,0))</f>
        <v/>
      </c>
      <c r="AY47" s="40">
        <f>IF($A47="","",Equity_USD*CHOOSE(MATCH($AK47,{"S","A","B","C"},0),s_S,s_A,s_B,s_C))</f>
        <v/>
      </c>
      <c r="AZ47" s="37">
        <f>IF($A47="","",'13_EarlyWarning'!$AH50)</f>
        <v/>
      </c>
      <c r="BA47" s="37">
        <f>IF($A47="","",IF(OR($U47="LC_SIGHT",$U47="LC_USANCE",$U47="TT_ADV"),"대상 아님","대상"))</f>
        <v/>
      </c>
      <c r="BB47" s="40">
        <f>IF($A47="","",IF(OR($BA47="대상 아님",$AZ47&lt;&gt;"",$AH47=1),0,MIN($AV47,$AW47,$AX47+$AY47)))</f>
        <v/>
      </c>
      <c r="BC47" s="40">
        <f>IF($A47="","",IF($AG47=1,MIN(StratMin*$AB47,$BB47),0))</f>
        <v/>
      </c>
      <c r="BD47" s="41">
        <f>IF($A47="","",IF(OR($V47&lt;=0,$BB47&lt;=0),0,Util*(GM*365/$V47-$AT47)))</f>
        <v/>
      </c>
      <c r="BE47" s="42">
        <f>IF($A47="","",Util*$AL47*$AN47*(1-$AO47))</f>
        <v/>
      </c>
      <c r="BF47" s="37">
        <f>IF($A47="","",IF($AC47="","0-2",IF($AC47&lt;=2,"0-2",IF($AC47=3,"3",IF($AC47&lt;=5,"4-5","6-7")))))</f>
        <v/>
      </c>
      <c r="BG47" s="40">
        <f>IF($A47="","",$Z47*$AM47*$AN47*(1-$AO47))</f>
        <v/>
      </c>
      <c r="BH47" s="40">
        <f>IF($A47="","",$Z47*(TSOFR3M+$AP47)*$V47/DayBasis)</f>
        <v/>
      </c>
      <c r="BI47" s="43">
        <f>IF($A47="","",$C47+$Z47*1E-13)</f>
        <v/>
      </c>
    </row>
    <row r="48">
      <c r="B48" s="32" t="n"/>
      <c r="C48" s="33" t="n"/>
      <c r="E48" s="33" t="n"/>
      <c r="H48" s="34" t="n"/>
      <c r="X48" s="35" t="n"/>
      <c r="Y48" s="35" t="n"/>
      <c r="Z48" s="35" t="n"/>
      <c r="AA48" s="35" t="n"/>
      <c r="AB48" s="35" t="n"/>
      <c r="AD48" s="36" t="n"/>
      <c r="AE48" s="36" t="n"/>
      <c r="AF48" s="36" t="n"/>
      <c r="AK48" s="37">
        <f>IF($A48="","",IF(GradeRule="quantile",$I48,$F48))</f>
        <v/>
      </c>
      <c r="AL48" s="38">
        <f>IF($A48="","",CHOOSE(MATCH($AK48,{"S","A","B","C"},0),PD_S,PD_A,PD_B,PD_C))</f>
        <v/>
      </c>
      <c r="AM48" s="38">
        <f>IF($A48="","",IF($AH48=1,1,$AL48))</f>
        <v/>
      </c>
      <c r="AN48" s="38">
        <f>IF($A48="","",IF(OR($U48="LC_SIGHT",$U48="LC_USANCE"),LGD_LC,LGD))</f>
        <v/>
      </c>
      <c r="AO48" s="38">
        <f>IF($A48="","",IF($W48="Y",Cov,0))</f>
        <v/>
      </c>
      <c r="AP48" s="38">
        <f>IF($A48="","",CHOOSE(MATCH($AK48,{"S","A","B","C"},0),Spread_S,Spread_A,Spread_B,Spread_C))</f>
        <v/>
      </c>
      <c r="AQ48" s="38">
        <f>IF($A48="","",CHOOSE(MATCH($AK48,{"S","A","B","C"},0),Prem_S,Prem_A,Prem_B,Prem_C))</f>
        <v/>
      </c>
      <c r="AR48" s="39">
        <f>IF(OR($A48="",$V48&lt;=0),"",TSOFR3M+$AP48+$AL48*$AN48)</f>
        <v/>
      </c>
      <c r="AS48" s="39">
        <f>IF(OR($A48="",$V48&lt;=0),"",TSOFR3M+$AP48+$AQ48*365/$V48+$AL48*$AN48*(1-Cov))</f>
        <v/>
      </c>
      <c r="AT48" s="39">
        <f>IF(OR($A48="",$V48&lt;=0),"",IF($W48="Y",$AS48,$AR48))</f>
        <v/>
      </c>
      <c r="AU48" s="37">
        <f>IF(OR($A48="",$V48&lt;=0),"",IF($AS48&lt;$AR48,"부보 유리","무보험 유리"))</f>
        <v/>
      </c>
      <c r="AV48" s="40">
        <f>IF($A48="","",$Y48*($V48+Grace)/30)</f>
        <v/>
      </c>
      <c r="AW48" s="40">
        <f>IF($A48="","",CHOOSE(MATCH($AK48,{"S","A","B","C"},0),$AV48,Cap_A,Cap_B,Cap_C_OA))</f>
        <v/>
      </c>
      <c r="AX48" s="40">
        <f>IF($A48="","",IF($W48="Y",$X48,0))</f>
        <v/>
      </c>
      <c r="AY48" s="40">
        <f>IF($A48="","",Equity_USD*CHOOSE(MATCH($AK48,{"S","A","B","C"},0),s_S,s_A,s_B,s_C))</f>
        <v/>
      </c>
      <c r="AZ48" s="37">
        <f>IF($A48="","",'13_EarlyWarning'!$AH51)</f>
        <v/>
      </c>
      <c r="BA48" s="37">
        <f>IF($A48="","",IF(OR($U48="LC_SIGHT",$U48="LC_USANCE",$U48="TT_ADV"),"대상 아님","대상"))</f>
        <v/>
      </c>
      <c r="BB48" s="40">
        <f>IF($A48="","",IF(OR($BA48="대상 아님",$AZ48&lt;&gt;"",$AH48=1),0,MIN($AV48,$AW48,$AX48+$AY48)))</f>
        <v/>
      </c>
      <c r="BC48" s="40">
        <f>IF($A48="","",IF($AG48=1,MIN(StratMin*$AB48,$BB48),0))</f>
        <v/>
      </c>
      <c r="BD48" s="41">
        <f>IF($A48="","",IF(OR($V48&lt;=0,$BB48&lt;=0),0,Util*(GM*365/$V48-$AT48)))</f>
        <v/>
      </c>
      <c r="BE48" s="42">
        <f>IF($A48="","",Util*$AL48*$AN48*(1-$AO48))</f>
        <v/>
      </c>
      <c r="BF48" s="37">
        <f>IF($A48="","",IF($AC48="","0-2",IF($AC48&lt;=2,"0-2",IF($AC48=3,"3",IF($AC48&lt;=5,"4-5","6-7")))))</f>
        <v/>
      </c>
      <c r="BG48" s="40">
        <f>IF($A48="","",$Z48*$AM48*$AN48*(1-$AO48))</f>
        <v/>
      </c>
      <c r="BH48" s="40">
        <f>IF($A48="","",$Z48*(TSOFR3M+$AP48)*$V48/DayBasis)</f>
        <v/>
      </c>
      <c r="BI48" s="43">
        <f>IF($A48="","",$C48+$Z48*1E-13)</f>
        <v/>
      </c>
    </row>
    <row r="49">
      <c r="B49" s="32" t="n"/>
      <c r="C49" s="33" t="n"/>
      <c r="E49" s="33" t="n"/>
      <c r="H49" s="34" t="n"/>
      <c r="X49" s="35" t="n"/>
      <c r="Y49" s="35" t="n"/>
      <c r="Z49" s="35" t="n"/>
      <c r="AA49" s="35" t="n"/>
      <c r="AB49" s="35" t="n"/>
      <c r="AD49" s="36" t="n"/>
      <c r="AE49" s="36" t="n"/>
      <c r="AF49" s="36" t="n"/>
      <c r="AK49" s="37">
        <f>IF($A49="","",IF(GradeRule="quantile",$I49,$F49))</f>
        <v/>
      </c>
      <c r="AL49" s="38">
        <f>IF($A49="","",CHOOSE(MATCH($AK49,{"S","A","B","C"},0),PD_S,PD_A,PD_B,PD_C))</f>
        <v/>
      </c>
      <c r="AM49" s="38">
        <f>IF($A49="","",IF($AH49=1,1,$AL49))</f>
        <v/>
      </c>
      <c r="AN49" s="38">
        <f>IF($A49="","",IF(OR($U49="LC_SIGHT",$U49="LC_USANCE"),LGD_LC,LGD))</f>
        <v/>
      </c>
      <c r="AO49" s="38">
        <f>IF($A49="","",IF($W49="Y",Cov,0))</f>
        <v/>
      </c>
      <c r="AP49" s="38">
        <f>IF($A49="","",CHOOSE(MATCH($AK49,{"S","A","B","C"},0),Spread_S,Spread_A,Spread_B,Spread_C))</f>
        <v/>
      </c>
      <c r="AQ49" s="38">
        <f>IF($A49="","",CHOOSE(MATCH($AK49,{"S","A","B","C"},0),Prem_S,Prem_A,Prem_B,Prem_C))</f>
        <v/>
      </c>
      <c r="AR49" s="39">
        <f>IF(OR($A49="",$V49&lt;=0),"",TSOFR3M+$AP49+$AL49*$AN49)</f>
        <v/>
      </c>
      <c r="AS49" s="39">
        <f>IF(OR($A49="",$V49&lt;=0),"",TSOFR3M+$AP49+$AQ49*365/$V49+$AL49*$AN49*(1-Cov))</f>
        <v/>
      </c>
      <c r="AT49" s="39">
        <f>IF(OR($A49="",$V49&lt;=0),"",IF($W49="Y",$AS49,$AR49))</f>
        <v/>
      </c>
      <c r="AU49" s="37">
        <f>IF(OR($A49="",$V49&lt;=0),"",IF($AS49&lt;$AR49,"부보 유리","무보험 유리"))</f>
        <v/>
      </c>
      <c r="AV49" s="40">
        <f>IF($A49="","",$Y49*($V49+Grace)/30)</f>
        <v/>
      </c>
      <c r="AW49" s="40">
        <f>IF($A49="","",CHOOSE(MATCH($AK49,{"S","A","B","C"},0),$AV49,Cap_A,Cap_B,Cap_C_OA))</f>
        <v/>
      </c>
      <c r="AX49" s="40">
        <f>IF($A49="","",IF($W49="Y",$X49,0))</f>
        <v/>
      </c>
      <c r="AY49" s="40">
        <f>IF($A49="","",Equity_USD*CHOOSE(MATCH($AK49,{"S","A","B","C"},0),s_S,s_A,s_B,s_C))</f>
        <v/>
      </c>
      <c r="AZ49" s="37">
        <f>IF($A49="","",'13_EarlyWarning'!$AH52)</f>
        <v/>
      </c>
      <c r="BA49" s="37">
        <f>IF($A49="","",IF(OR($U49="LC_SIGHT",$U49="LC_USANCE",$U49="TT_ADV"),"대상 아님","대상"))</f>
        <v/>
      </c>
      <c r="BB49" s="40">
        <f>IF($A49="","",IF(OR($BA49="대상 아님",$AZ49&lt;&gt;"",$AH49=1),0,MIN($AV49,$AW49,$AX49+$AY49)))</f>
        <v/>
      </c>
      <c r="BC49" s="40">
        <f>IF($A49="","",IF($AG49=1,MIN(StratMin*$AB49,$BB49),0))</f>
        <v/>
      </c>
      <c r="BD49" s="41">
        <f>IF($A49="","",IF(OR($V49&lt;=0,$BB49&lt;=0),0,Util*(GM*365/$V49-$AT49)))</f>
        <v/>
      </c>
      <c r="BE49" s="42">
        <f>IF($A49="","",Util*$AL49*$AN49*(1-$AO49))</f>
        <v/>
      </c>
      <c r="BF49" s="37">
        <f>IF($A49="","",IF($AC49="","0-2",IF($AC49&lt;=2,"0-2",IF($AC49=3,"3",IF($AC49&lt;=5,"4-5","6-7")))))</f>
        <v/>
      </c>
      <c r="BG49" s="40">
        <f>IF($A49="","",$Z49*$AM49*$AN49*(1-$AO49))</f>
        <v/>
      </c>
      <c r="BH49" s="40">
        <f>IF($A49="","",$Z49*(TSOFR3M+$AP49)*$V49/DayBasis)</f>
        <v/>
      </c>
      <c r="BI49" s="43">
        <f>IF($A49="","",$C49+$Z49*1E-13)</f>
        <v/>
      </c>
    </row>
    <row r="50">
      <c r="B50" s="32" t="n"/>
      <c r="C50" s="33" t="n"/>
      <c r="E50" s="33" t="n"/>
      <c r="H50" s="34" t="n"/>
      <c r="X50" s="35" t="n"/>
      <c r="Y50" s="35" t="n"/>
      <c r="Z50" s="35" t="n"/>
      <c r="AA50" s="35" t="n"/>
      <c r="AB50" s="35" t="n"/>
      <c r="AD50" s="36" t="n"/>
      <c r="AE50" s="36" t="n"/>
      <c r="AF50" s="36" t="n"/>
      <c r="AK50" s="37">
        <f>IF($A50="","",IF(GradeRule="quantile",$I50,$F50))</f>
        <v/>
      </c>
      <c r="AL50" s="38">
        <f>IF($A50="","",CHOOSE(MATCH($AK50,{"S","A","B","C"},0),PD_S,PD_A,PD_B,PD_C))</f>
        <v/>
      </c>
      <c r="AM50" s="38">
        <f>IF($A50="","",IF($AH50=1,1,$AL50))</f>
        <v/>
      </c>
      <c r="AN50" s="38">
        <f>IF($A50="","",IF(OR($U50="LC_SIGHT",$U50="LC_USANCE"),LGD_LC,LGD))</f>
        <v/>
      </c>
      <c r="AO50" s="38">
        <f>IF($A50="","",IF($W50="Y",Cov,0))</f>
        <v/>
      </c>
      <c r="AP50" s="38">
        <f>IF($A50="","",CHOOSE(MATCH($AK50,{"S","A","B","C"},0),Spread_S,Spread_A,Spread_B,Spread_C))</f>
        <v/>
      </c>
      <c r="AQ50" s="38">
        <f>IF($A50="","",CHOOSE(MATCH($AK50,{"S","A","B","C"},0),Prem_S,Prem_A,Prem_B,Prem_C))</f>
        <v/>
      </c>
      <c r="AR50" s="39">
        <f>IF(OR($A50="",$V50&lt;=0),"",TSOFR3M+$AP50+$AL50*$AN50)</f>
        <v/>
      </c>
      <c r="AS50" s="39">
        <f>IF(OR($A50="",$V50&lt;=0),"",TSOFR3M+$AP50+$AQ50*365/$V50+$AL50*$AN50*(1-Cov))</f>
        <v/>
      </c>
      <c r="AT50" s="39">
        <f>IF(OR($A50="",$V50&lt;=0),"",IF($W50="Y",$AS50,$AR50))</f>
        <v/>
      </c>
      <c r="AU50" s="37">
        <f>IF(OR($A50="",$V50&lt;=0),"",IF($AS50&lt;$AR50,"부보 유리","무보험 유리"))</f>
        <v/>
      </c>
      <c r="AV50" s="40">
        <f>IF($A50="","",$Y50*($V50+Grace)/30)</f>
        <v/>
      </c>
      <c r="AW50" s="40">
        <f>IF($A50="","",CHOOSE(MATCH($AK50,{"S","A","B","C"},0),$AV50,Cap_A,Cap_B,Cap_C_OA))</f>
        <v/>
      </c>
      <c r="AX50" s="40">
        <f>IF($A50="","",IF($W50="Y",$X50,0))</f>
        <v/>
      </c>
      <c r="AY50" s="40">
        <f>IF($A50="","",Equity_USD*CHOOSE(MATCH($AK50,{"S","A","B","C"},0),s_S,s_A,s_B,s_C))</f>
        <v/>
      </c>
      <c r="AZ50" s="37">
        <f>IF($A50="","",'13_EarlyWarning'!$AH53)</f>
        <v/>
      </c>
      <c r="BA50" s="37">
        <f>IF($A50="","",IF(OR($U50="LC_SIGHT",$U50="LC_USANCE",$U50="TT_ADV"),"대상 아님","대상"))</f>
        <v/>
      </c>
      <c r="BB50" s="40">
        <f>IF($A50="","",IF(OR($BA50="대상 아님",$AZ50&lt;&gt;"",$AH50=1),0,MIN($AV50,$AW50,$AX50+$AY50)))</f>
        <v/>
      </c>
      <c r="BC50" s="40">
        <f>IF($A50="","",IF($AG50=1,MIN(StratMin*$AB50,$BB50),0))</f>
        <v/>
      </c>
      <c r="BD50" s="41">
        <f>IF($A50="","",IF(OR($V50&lt;=0,$BB50&lt;=0),0,Util*(GM*365/$V50-$AT50)))</f>
        <v/>
      </c>
      <c r="BE50" s="42">
        <f>IF($A50="","",Util*$AL50*$AN50*(1-$AO50))</f>
        <v/>
      </c>
      <c r="BF50" s="37">
        <f>IF($A50="","",IF($AC50="","0-2",IF($AC50&lt;=2,"0-2",IF($AC50=3,"3",IF($AC50&lt;=5,"4-5","6-7")))))</f>
        <v/>
      </c>
      <c r="BG50" s="40">
        <f>IF($A50="","",$Z50*$AM50*$AN50*(1-$AO50))</f>
        <v/>
      </c>
      <c r="BH50" s="40">
        <f>IF($A50="","",$Z50*(TSOFR3M+$AP50)*$V50/DayBasis)</f>
        <v/>
      </c>
      <c r="BI50" s="43">
        <f>IF($A50="","",$C50+$Z50*1E-13)</f>
        <v/>
      </c>
    </row>
    <row r="51">
      <c r="B51" s="32" t="n"/>
      <c r="C51" s="33" t="n"/>
      <c r="E51" s="33" t="n"/>
      <c r="H51" s="34" t="n"/>
      <c r="X51" s="35" t="n"/>
      <c r="Y51" s="35" t="n"/>
      <c r="Z51" s="35" t="n"/>
      <c r="AA51" s="35" t="n"/>
      <c r="AB51" s="35" t="n"/>
      <c r="AD51" s="36" t="n"/>
      <c r="AE51" s="36" t="n"/>
      <c r="AF51" s="36" t="n"/>
      <c r="AK51" s="37">
        <f>IF($A51="","",IF(GradeRule="quantile",$I51,$F51))</f>
        <v/>
      </c>
      <c r="AL51" s="38">
        <f>IF($A51="","",CHOOSE(MATCH($AK51,{"S","A","B","C"},0),PD_S,PD_A,PD_B,PD_C))</f>
        <v/>
      </c>
      <c r="AM51" s="38">
        <f>IF($A51="","",IF($AH51=1,1,$AL51))</f>
        <v/>
      </c>
      <c r="AN51" s="38">
        <f>IF($A51="","",IF(OR($U51="LC_SIGHT",$U51="LC_USANCE"),LGD_LC,LGD))</f>
        <v/>
      </c>
      <c r="AO51" s="38">
        <f>IF($A51="","",IF($W51="Y",Cov,0))</f>
        <v/>
      </c>
      <c r="AP51" s="38">
        <f>IF($A51="","",CHOOSE(MATCH($AK51,{"S","A","B","C"},0),Spread_S,Spread_A,Spread_B,Spread_C))</f>
        <v/>
      </c>
      <c r="AQ51" s="38">
        <f>IF($A51="","",CHOOSE(MATCH($AK51,{"S","A","B","C"},0),Prem_S,Prem_A,Prem_B,Prem_C))</f>
        <v/>
      </c>
      <c r="AR51" s="39">
        <f>IF(OR($A51="",$V51&lt;=0),"",TSOFR3M+$AP51+$AL51*$AN51)</f>
        <v/>
      </c>
      <c r="AS51" s="39">
        <f>IF(OR($A51="",$V51&lt;=0),"",TSOFR3M+$AP51+$AQ51*365/$V51+$AL51*$AN51*(1-Cov))</f>
        <v/>
      </c>
      <c r="AT51" s="39">
        <f>IF(OR($A51="",$V51&lt;=0),"",IF($W51="Y",$AS51,$AR51))</f>
        <v/>
      </c>
      <c r="AU51" s="37">
        <f>IF(OR($A51="",$V51&lt;=0),"",IF($AS51&lt;$AR51,"부보 유리","무보험 유리"))</f>
        <v/>
      </c>
      <c r="AV51" s="40">
        <f>IF($A51="","",$Y51*($V51+Grace)/30)</f>
        <v/>
      </c>
      <c r="AW51" s="40">
        <f>IF($A51="","",CHOOSE(MATCH($AK51,{"S","A","B","C"},0),$AV51,Cap_A,Cap_B,Cap_C_OA))</f>
        <v/>
      </c>
      <c r="AX51" s="40">
        <f>IF($A51="","",IF($W51="Y",$X51,0))</f>
        <v/>
      </c>
      <c r="AY51" s="40">
        <f>IF($A51="","",Equity_USD*CHOOSE(MATCH($AK51,{"S","A","B","C"},0),s_S,s_A,s_B,s_C))</f>
        <v/>
      </c>
      <c r="AZ51" s="37">
        <f>IF($A51="","",'13_EarlyWarning'!$AH54)</f>
        <v/>
      </c>
      <c r="BA51" s="37">
        <f>IF($A51="","",IF(OR($U51="LC_SIGHT",$U51="LC_USANCE",$U51="TT_ADV"),"대상 아님","대상"))</f>
        <v/>
      </c>
      <c r="BB51" s="40">
        <f>IF($A51="","",IF(OR($BA51="대상 아님",$AZ51&lt;&gt;"",$AH51=1),0,MIN($AV51,$AW51,$AX51+$AY51)))</f>
        <v/>
      </c>
      <c r="BC51" s="40">
        <f>IF($A51="","",IF($AG51=1,MIN(StratMin*$AB51,$BB51),0))</f>
        <v/>
      </c>
      <c r="BD51" s="41">
        <f>IF($A51="","",IF(OR($V51&lt;=0,$BB51&lt;=0),0,Util*(GM*365/$V51-$AT51)))</f>
        <v/>
      </c>
      <c r="BE51" s="42">
        <f>IF($A51="","",Util*$AL51*$AN51*(1-$AO51))</f>
        <v/>
      </c>
      <c r="BF51" s="37">
        <f>IF($A51="","",IF($AC51="","0-2",IF($AC51&lt;=2,"0-2",IF($AC51=3,"3",IF($AC51&lt;=5,"4-5","6-7")))))</f>
        <v/>
      </c>
      <c r="BG51" s="40">
        <f>IF($A51="","",$Z51*$AM51*$AN51*(1-$AO51))</f>
        <v/>
      </c>
      <c r="BH51" s="40">
        <f>IF($A51="","",$Z51*(TSOFR3M+$AP51)*$V51/DayBasis)</f>
        <v/>
      </c>
      <c r="BI51" s="43">
        <f>IF($A51="","",$C51+$Z51*1E-13)</f>
        <v/>
      </c>
    </row>
    <row r="52">
      <c r="B52" s="32" t="n"/>
      <c r="C52" s="33" t="n"/>
      <c r="E52" s="33" t="n"/>
      <c r="H52" s="34" t="n"/>
      <c r="X52" s="35" t="n"/>
      <c r="Y52" s="35" t="n"/>
      <c r="Z52" s="35" t="n"/>
      <c r="AA52" s="35" t="n"/>
      <c r="AB52" s="35" t="n"/>
      <c r="AD52" s="36" t="n"/>
      <c r="AE52" s="36" t="n"/>
      <c r="AF52" s="36" t="n"/>
      <c r="AK52" s="37">
        <f>IF($A52="","",IF(GradeRule="quantile",$I52,$F52))</f>
        <v/>
      </c>
      <c r="AL52" s="38">
        <f>IF($A52="","",CHOOSE(MATCH($AK52,{"S","A","B","C"},0),PD_S,PD_A,PD_B,PD_C))</f>
        <v/>
      </c>
      <c r="AM52" s="38">
        <f>IF($A52="","",IF($AH52=1,1,$AL52))</f>
        <v/>
      </c>
      <c r="AN52" s="38">
        <f>IF($A52="","",IF(OR($U52="LC_SIGHT",$U52="LC_USANCE"),LGD_LC,LGD))</f>
        <v/>
      </c>
      <c r="AO52" s="38">
        <f>IF($A52="","",IF($W52="Y",Cov,0))</f>
        <v/>
      </c>
      <c r="AP52" s="38">
        <f>IF($A52="","",CHOOSE(MATCH($AK52,{"S","A","B","C"},0),Spread_S,Spread_A,Spread_B,Spread_C))</f>
        <v/>
      </c>
      <c r="AQ52" s="38">
        <f>IF($A52="","",CHOOSE(MATCH($AK52,{"S","A","B","C"},0),Prem_S,Prem_A,Prem_B,Prem_C))</f>
        <v/>
      </c>
      <c r="AR52" s="39">
        <f>IF(OR($A52="",$V52&lt;=0),"",TSOFR3M+$AP52+$AL52*$AN52)</f>
        <v/>
      </c>
      <c r="AS52" s="39">
        <f>IF(OR($A52="",$V52&lt;=0),"",TSOFR3M+$AP52+$AQ52*365/$V52+$AL52*$AN52*(1-Cov))</f>
        <v/>
      </c>
      <c r="AT52" s="39">
        <f>IF(OR($A52="",$V52&lt;=0),"",IF($W52="Y",$AS52,$AR52))</f>
        <v/>
      </c>
      <c r="AU52" s="37">
        <f>IF(OR($A52="",$V52&lt;=0),"",IF($AS52&lt;$AR52,"부보 유리","무보험 유리"))</f>
        <v/>
      </c>
      <c r="AV52" s="40">
        <f>IF($A52="","",$Y52*($V52+Grace)/30)</f>
        <v/>
      </c>
      <c r="AW52" s="40">
        <f>IF($A52="","",CHOOSE(MATCH($AK52,{"S","A","B","C"},0),$AV52,Cap_A,Cap_B,Cap_C_OA))</f>
        <v/>
      </c>
      <c r="AX52" s="40">
        <f>IF($A52="","",IF($W52="Y",$X52,0))</f>
        <v/>
      </c>
      <c r="AY52" s="40">
        <f>IF($A52="","",Equity_USD*CHOOSE(MATCH($AK52,{"S","A","B","C"},0),s_S,s_A,s_B,s_C))</f>
        <v/>
      </c>
      <c r="AZ52" s="37">
        <f>IF($A52="","",'13_EarlyWarning'!$AH55)</f>
        <v/>
      </c>
      <c r="BA52" s="37">
        <f>IF($A52="","",IF(OR($U52="LC_SIGHT",$U52="LC_USANCE",$U52="TT_ADV"),"대상 아님","대상"))</f>
        <v/>
      </c>
      <c r="BB52" s="40">
        <f>IF($A52="","",IF(OR($BA52="대상 아님",$AZ52&lt;&gt;"",$AH52=1),0,MIN($AV52,$AW52,$AX52+$AY52)))</f>
        <v/>
      </c>
      <c r="BC52" s="40">
        <f>IF($A52="","",IF($AG52=1,MIN(StratMin*$AB52,$BB52),0))</f>
        <v/>
      </c>
      <c r="BD52" s="41">
        <f>IF($A52="","",IF(OR($V52&lt;=0,$BB52&lt;=0),0,Util*(GM*365/$V52-$AT52)))</f>
        <v/>
      </c>
      <c r="BE52" s="42">
        <f>IF($A52="","",Util*$AL52*$AN52*(1-$AO52))</f>
        <v/>
      </c>
      <c r="BF52" s="37">
        <f>IF($A52="","",IF($AC52="","0-2",IF($AC52&lt;=2,"0-2",IF($AC52=3,"3",IF($AC52&lt;=5,"4-5","6-7")))))</f>
        <v/>
      </c>
      <c r="BG52" s="40">
        <f>IF($A52="","",$Z52*$AM52*$AN52*(1-$AO52))</f>
        <v/>
      </c>
      <c r="BH52" s="40">
        <f>IF($A52="","",$Z52*(TSOFR3M+$AP52)*$V52/DayBasis)</f>
        <v/>
      </c>
      <c r="BI52" s="43">
        <f>IF($A52="","",$C52+$Z52*1E-13)</f>
        <v/>
      </c>
    </row>
    <row r="53">
      <c r="B53" s="32" t="n"/>
      <c r="C53" s="33" t="n"/>
      <c r="E53" s="33" t="n"/>
      <c r="H53" s="34" t="n"/>
      <c r="X53" s="35" t="n"/>
      <c r="Y53" s="35" t="n"/>
      <c r="Z53" s="35" t="n"/>
      <c r="AA53" s="35" t="n"/>
      <c r="AB53" s="35" t="n"/>
      <c r="AD53" s="36" t="n"/>
      <c r="AE53" s="36" t="n"/>
      <c r="AF53" s="36" t="n"/>
      <c r="AK53" s="37">
        <f>IF($A53="","",IF(GradeRule="quantile",$I53,$F53))</f>
        <v/>
      </c>
      <c r="AL53" s="38">
        <f>IF($A53="","",CHOOSE(MATCH($AK53,{"S","A","B","C"},0),PD_S,PD_A,PD_B,PD_C))</f>
        <v/>
      </c>
      <c r="AM53" s="38">
        <f>IF($A53="","",IF($AH53=1,1,$AL53))</f>
        <v/>
      </c>
      <c r="AN53" s="38">
        <f>IF($A53="","",IF(OR($U53="LC_SIGHT",$U53="LC_USANCE"),LGD_LC,LGD))</f>
        <v/>
      </c>
      <c r="AO53" s="38">
        <f>IF($A53="","",IF($W53="Y",Cov,0))</f>
        <v/>
      </c>
      <c r="AP53" s="38">
        <f>IF($A53="","",CHOOSE(MATCH($AK53,{"S","A","B","C"},0),Spread_S,Spread_A,Spread_B,Spread_C))</f>
        <v/>
      </c>
      <c r="AQ53" s="38">
        <f>IF($A53="","",CHOOSE(MATCH($AK53,{"S","A","B","C"},0),Prem_S,Prem_A,Prem_B,Prem_C))</f>
        <v/>
      </c>
      <c r="AR53" s="39">
        <f>IF(OR($A53="",$V53&lt;=0),"",TSOFR3M+$AP53+$AL53*$AN53)</f>
        <v/>
      </c>
      <c r="AS53" s="39">
        <f>IF(OR($A53="",$V53&lt;=0),"",TSOFR3M+$AP53+$AQ53*365/$V53+$AL53*$AN53*(1-Cov))</f>
        <v/>
      </c>
      <c r="AT53" s="39">
        <f>IF(OR($A53="",$V53&lt;=0),"",IF($W53="Y",$AS53,$AR53))</f>
        <v/>
      </c>
      <c r="AU53" s="37">
        <f>IF(OR($A53="",$V53&lt;=0),"",IF($AS53&lt;$AR53,"부보 유리","무보험 유리"))</f>
        <v/>
      </c>
      <c r="AV53" s="40">
        <f>IF($A53="","",$Y53*($V53+Grace)/30)</f>
        <v/>
      </c>
      <c r="AW53" s="40">
        <f>IF($A53="","",CHOOSE(MATCH($AK53,{"S","A","B","C"},0),$AV53,Cap_A,Cap_B,Cap_C_OA))</f>
        <v/>
      </c>
      <c r="AX53" s="40">
        <f>IF($A53="","",IF($W53="Y",$X53,0))</f>
        <v/>
      </c>
      <c r="AY53" s="40">
        <f>IF($A53="","",Equity_USD*CHOOSE(MATCH($AK53,{"S","A","B","C"},0),s_S,s_A,s_B,s_C))</f>
        <v/>
      </c>
      <c r="AZ53" s="37">
        <f>IF($A53="","",'13_EarlyWarning'!$AH56)</f>
        <v/>
      </c>
      <c r="BA53" s="37">
        <f>IF($A53="","",IF(OR($U53="LC_SIGHT",$U53="LC_USANCE",$U53="TT_ADV"),"대상 아님","대상"))</f>
        <v/>
      </c>
      <c r="BB53" s="40">
        <f>IF($A53="","",IF(OR($BA53="대상 아님",$AZ53&lt;&gt;"",$AH53=1),0,MIN($AV53,$AW53,$AX53+$AY53)))</f>
        <v/>
      </c>
      <c r="BC53" s="40">
        <f>IF($A53="","",IF($AG53=1,MIN(StratMin*$AB53,$BB53),0))</f>
        <v/>
      </c>
      <c r="BD53" s="41">
        <f>IF($A53="","",IF(OR($V53&lt;=0,$BB53&lt;=0),0,Util*(GM*365/$V53-$AT53)))</f>
        <v/>
      </c>
      <c r="BE53" s="42">
        <f>IF($A53="","",Util*$AL53*$AN53*(1-$AO53))</f>
        <v/>
      </c>
      <c r="BF53" s="37">
        <f>IF($A53="","",IF($AC53="","0-2",IF($AC53&lt;=2,"0-2",IF($AC53=3,"3",IF($AC53&lt;=5,"4-5","6-7")))))</f>
        <v/>
      </c>
      <c r="BG53" s="40">
        <f>IF($A53="","",$Z53*$AM53*$AN53*(1-$AO53))</f>
        <v/>
      </c>
      <c r="BH53" s="40">
        <f>IF($A53="","",$Z53*(TSOFR3M+$AP53)*$V53/DayBasis)</f>
        <v/>
      </c>
      <c r="BI53" s="43">
        <f>IF($A53="","",$C53+$Z53*1E-13)</f>
        <v/>
      </c>
    </row>
    <row r="54">
      <c r="B54" s="32" t="n"/>
      <c r="C54" s="33" t="n"/>
      <c r="E54" s="33" t="n"/>
      <c r="H54" s="34" t="n"/>
      <c r="X54" s="35" t="n"/>
      <c r="Y54" s="35" t="n"/>
      <c r="Z54" s="35" t="n"/>
      <c r="AA54" s="35" t="n"/>
      <c r="AB54" s="35" t="n"/>
      <c r="AD54" s="36" t="n"/>
      <c r="AE54" s="36" t="n"/>
      <c r="AF54" s="36" t="n"/>
      <c r="AK54" s="37">
        <f>IF($A54="","",IF(GradeRule="quantile",$I54,$F54))</f>
        <v/>
      </c>
      <c r="AL54" s="38">
        <f>IF($A54="","",CHOOSE(MATCH($AK54,{"S","A","B","C"},0),PD_S,PD_A,PD_B,PD_C))</f>
        <v/>
      </c>
      <c r="AM54" s="38">
        <f>IF($A54="","",IF($AH54=1,1,$AL54))</f>
        <v/>
      </c>
      <c r="AN54" s="38">
        <f>IF($A54="","",IF(OR($U54="LC_SIGHT",$U54="LC_USANCE"),LGD_LC,LGD))</f>
        <v/>
      </c>
      <c r="AO54" s="38">
        <f>IF($A54="","",IF($W54="Y",Cov,0))</f>
        <v/>
      </c>
      <c r="AP54" s="38">
        <f>IF($A54="","",CHOOSE(MATCH($AK54,{"S","A","B","C"},0),Spread_S,Spread_A,Spread_B,Spread_C))</f>
        <v/>
      </c>
      <c r="AQ54" s="38">
        <f>IF($A54="","",CHOOSE(MATCH($AK54,{"S","A","B","C"},0),Prem_S,Prem_A,Prem_B,Prem_C))</f>
        <v/>
      </c>
      <c r="AR54" s="39">
        <f>IF(OR($A54="",$V54&lt;=0),"",TSOFR3M+$AP54+$AL54*$AN54)</f>
        <v/>
      </c>
      <c r="AS54" s="39">
        <f>IF(OR($A54="",$V54&lt;=0),"",TSOFR3M+$AP54+$AQ54*365/$V54+$AL54*$AN54*(1-Cov))</f>
        <v/>
      </c>
      <c r="AT54" s="39">
        <f>IF(OR($A54="",$V54&lt;=0),"",IF($W54="Y",$AS54,$AR54))</f>
        <v/>
      </c>
      <c r="AU54" s="37">
        <f>IF(OR($A54="",$V54&lt;=0),"",IF($AS54&lt;$AR54,"부보 유리","무보험 유리"))</f>
        <v/>
      </c>
      <c r="AV54" s="40">
        <f>IF($A54="","",$Y54*($V54+Grace)/30)</f>
        <v/>
      </c>
      <c r="AW54" s="40">
        <f>IF($A54="","",CHOOSE(MATCH($AK54,{"S","A","B","C"},0),$AV54,Cap_A,Cap_B,Cap_C_OA))</f>
        <v/>
      </c>
      <c r="AX54" s="40">
        <f>IF($A54="","",IF($W54="Y",$X54,0))</f>
        <v/>
      </c>
      <c r="AY54" s="40">
        <f>IF($A54="","",Equity_USD*CHOOSE(MATCH($AK54,{"S","A","B","C"},0),s_S,s_A,s_B,s_C))</f>
        <v/>
      </c>
      <c r="AZ54" s="37">
        <f>IF($A54="","",'13_EarlyWarning'!$AH57)</f>
        <v/>
      </c>
      <c r="BA54" s="37">
        <f>IF($A54="","",IF(OR($U54="LC_SIGHT",$U54="LC_USANCE",$U54="TT_ADV"),"대상 아님","대상"))</f>
        <v/>
      </c>
      <c r="BB54" s="40">
        <f>IF($A54="","",IF(OR($BA54="대상 아님",$AZ54&lt;&gt;"",$AH54=1),0,MIN($AV54,$AW54,$AX54+$AY54)))</f>
        <v/>
      </c>
      <c r="BC54" s="40">
        <f>IF($A54="","",IF($AG54=1,MIN(StratMin*$AB54,$BB54),0))</f>
        <v/>
      </c>
      <c r="BD54" s="41">
        <f>IF($A54="","",IF(OR($V54&lt;=0,$BB54&lt;=0),0,Util*(GM*365/$V54-$AT54)))</f>
        <v/>
      </c>
      <c r="BE54" s="42">
        <f>IF($A54="","",Util*$AL54*$AN54*(1-$AO54))</f>
        <v/>
      </c>
      <c r="BF54" s="37">
        <f>IF($A54="","",IF($AC54="","0-2",IF($AC54&lt;=2,"0-2",IF($AC54=3,"3",IF($AC54&lt;=5,"4-5","6-7")))))</f>
        <v/>
      </c>
      <c r="BG54" s="40">
        <f>IF($A54="","",$Z54*$AM54*$AN54*(1-$AO54))</f>
        <v/>
      </c>
      <c r="BH54" s="40">
        <f>IF($A54="","",$Z54*(TSOFR3M+$AP54)*$V54/DayBasis)</f>
        <v/>
      </c>
      <c r="BI54" s="43">
        <f>IF($A54="","",$C54+$Z54*1E-13)</f>
        <v/>
      </c>
    </row>
    <row r="55">
      <c r="B55" s="32" t="n"/>
      <c r="C55" s="33" t="n"/>
      <c r="E55" s="33" t="n"/>
      <c r="H55" s="34" t="n"/>
      <c r="X55" s="35" t="n"/>
      <c r="Y55" s="35" t="n"/>
      <c r="Z55" s="35" t="n"/>
      <c r="AA55" s="35" t="n"/>
      <c r="AB55" s="35" t="n"/>
      <c r="AD55" s="36" t="n"/>
      <c r="AE55" s="36" t="n"/>
      <c r="AF55" s="36" t="n"/>
      <c r="AK55" s="37">
        <f>IF($A55="","",IF(GradeRule="quantile",$I55,$F55))</f>
        <v/>
      </c>
      <c r="AL55" s="38">
        <f>IF($A55="","",CHOOSE(MATCH($AK55,{"S","A","B","C"},0),PD_S,PD_A,PD_B,PD_C))</f>
        <v/>
      </c>
      <c r="AM55" s="38">
        <f>IF($A55="","",IF($AH55=1,1,$AL55))</f>
        <v/>
      </c>
      <c r="AN55" s="38">
        <f>IF($A55="","",IF(OR($U55="LC_SIGHT",$U55="LC_USANCE"),LGD_LC,LGD))</f>
        <v/>
      </c>
      <c r="AO55" s="38">
        <f>IF($A55="","",IF($W55="Y",Cov,0))</f>
        <v/>
      </c>
      <c r="AP55" s="38">
        <f>IF($A55="","",CHOOSE(MATCH($AK55,{"S","A","B","C"},0),Spread_S,Spread_A,Spread_B,Spread_C))</f>
        <v/>
      </c>
      <c r="AQ55" s="38">
        <f>IF($A55="","",CHOOSE(MATCH($AK55,{"S","A","B","C"},0),Prem_S,Prem_A,Prem_B,Prem_C))</f>
        <v/>
      </c>
      <c r="AR55" s="39">
        <f>IF(OR($A55="",$V55&lt;=0),"",TSOFR3M+$AP55+$AL55*$AN55)</f>
        <v/>
      </c>
      <c r="AS55" s="39">
        <f>IF(OR($A55="",$V55&lt;=0),"",TSOFR3M+$AP55+$AQ55*365/$V55+$AL55*$AN55*(1-Cov))</f>
        <v/>
      </c>
      <c r="AT55" s="39">
        <f>IF(OR($A55="",$V55&lt;=0),"",IF($W55="Y",$AS55,$AR55))</f>
        <v/>
      </c>
      <c r="AU55" s="37">
        <f>IF(OR($A55="",$V55&lt;=0),"",IF($AS55&lt;$AR55,"부보 유리","무보험 유리"))</f>
        <v/>
      </c>
      <c r="AV55" s="40">
        <f>IF($A55="","",$Y55*($V55+Grace)/30)</f>
        <v/>
      </c>
      <c r="AW55" s="40">
        <f>IF($A55="","",CHOOSE(MATCH($AK55,{"S","A","B","C"},0),$AV55,Cap_A,Cap_B,Cap_C_OA))</f>
        <v/>
      </c>
      <c r="AX55" s="40">
        <f>IF($A55="","",IF($W55="Y",$X55,0))</f>
        <v/>
      </c>
      <c r="AY55" s="40">
        <f>IF($A55="","",Equity_USD*CHOOSE(MATCH($AK55,{"S","A","B","C"},0),s_S,s_A,s_B,s_C))</f>
        <v/>
      </c>
      <c r="AZ55" s="37">
        <f>IF($A55="","",'13_EarlyWarning'!$AH58)</f>
        <v/>
      </c>
      <c r="BA55" s="37">
        <f>IF($A55="","",IF(OR($U55="LC_SIGHT",$U55="LC_USANCE",$U55="TT_ADV"),"대상 아님","대상"))</f>
        <v/>
      </c>
      <c r="BB55" s="40">
        <f>IF($A55="","",IF(OR($BA55="대상 아님",$AZ55&lt;&gt;"",$AH55=1),0,MIN($AV55,$AW55,$AX55+$AY55)))</f>
        <v/>
      </c>
      <c r="BC55" s="40">
        <f>IF($A55="","",IF($AG55=1,MIN(StratMin*$AB55,$BB55),0))</f>
        <v/>
      </c>
      <c r="BD55" s="41">
        <f>IF($A55="","",IF(OR($V55&lt;=0,$BB55&lt;=0),0,Util*(GM*365/$V55-$AT55)))</f>
        <v/>
      </c>
      <c r="BE55" s="42">
        <f>IF($A55="","",Util*$AL55*$AN55*(1-$AO55))</f>
        <v/>
      </c>
      <c r="BF55" s="37">
        <f>IF($A55="","",IF($AC55="","0-2",IF($AC55&lt;=2,"0-2",IF($AC55=3,"3",IF($AC55&lt;=5,"4-5","6-7")))))</f>
        <v/>
      </c>
      <c r="BG55" s="40">
        <f>IF($A55="","",$Z55*$AM55*$AN55*(1-$AO55))</f>
        <v/>
      </c>
      <c r="BH55" s="40">
        <f>IF($A55="","",$Z55*(TSOFR3M+$AP55)*$V55/DayBasis)</f>
        <v/>
      </c>
      <c r="BI55" s="43">
        <f>IF($A55="","",$C55+$Z55*1E-13)</f>
        <v/>
      </c>
    </row>
    <row r="56">
      <c r="B56" s="32" t="n"/>
      <c r="C56" s="33" t="n"/>
      <c r="E56" s="33" t="n"/>
      <c r="H56" s="34" t="n"/>
      <c r="X56" s="35" t="n"/>
      <c r="Y56" s="35" t="n"/>
      <c r="Z56" s="35" t="n"/>
      <c r="AA56" s="35" t="n"/>
      <c r="AB56" s="35" t="n"/>
      <c r="AD56" s="36" t="n"/>
      <c r="AE56" s="36" t="n"/>
      <c r="AF56" s="36" t="n"/>
      <c r="AK56" s="37">
        <f>IF($A56="","",IF(GradeRule="quantile",$I56,$F56))</f>
        <v/>
      </c>
      <c r="AL56" s="38">
        <f>IF($A56="","",CHOOSE(MATCH($AK56,{"S","A","B","C"},0),PD_S,PD_A,PD_B,PD_C))</f>
        <v/>
      </c>
      <c r="AM56" s="38">
        <f>IF($A56="","",IF($AH56=1,1,$AL56))</f>
        <v/>
      </c>
      <c r="AN56" s="38">
        <f>IF($A56="","",IF(OR($U56="LC_SIGHT",$U56="LC_USANCE"),LGD_LC,LGD))</f>
        <v/>
      </c>
      <c r="AO56" s="38">
        <f>IF($A56="","",IF($W56="Y",Cov,0))</f>
        <v/>
      </c>
      <c r="AP56" s="38">
        <f>IF($A56="","",CHOOSE(MATCH($AK56,{"S","A","B","C"},0),Spread_S,Spread_A,Spread_B,Spread_C))</f>
        <v/>
      </c>
      <c r="AQ56" s="38">
        <f>IF($A56="","",CHOOSE(MATCH($AK56,{"S","A","B","C"},0),Prem_S,Prem_A,Prem_B,Prem_C))</f>
        <v/>
      </c>
      <c r="AR56" s="39">
        <f>IF(OR($A56="",$V56&lt;=0),"",TSOFR3M+$AP56+$AL56*$AN56)</f>
        <v/>
      </c>
      <c r="AS56" s="39">
        <f>IF(OR($A56="",$V56&lt;=0),"",TSOFR3M+$AP56+$AQ56*365/$V56+$AL56*$AN56*(1-Cov))</f>
        <v/>
      </c>
      <c r="AT56" s="39">
        <f>IF(OR($A56="",$V56&lt;=0),"",IF($W56="Y",$AS56,$AR56))</f>
        <v/>
      </c>
      <c r="AU56" s="37">
        <f>IF(OR($A56="",$V56&lt;=0),"",IF($AS56&lt;$AR56,"부보 유리","무보험 유리"))</f>
        <v/>
      </c>
      <c r="AV56" s="40">
        <f>IF($A56="","",$Y56*($V56+Grace)/30)</f>
        <v/>
      </c>
      <c r="AW56" s="40">
        <f>IF($A56="","",CHOOSE(MATCH($AK56,{"S","A","B","C"},0),$AV56,Cap_A,Cap_B,Cap_C_OA))</f>
        <v/>
      </c>
      <c r="AX56" s="40">
        <f>IF($A56="","",IF($W56="Y",$X56,0))</f>
        <v/>
      </c>
      <c r="AY56" s="40">
        <f>IF($A56="","",Equity_USD*CHOOSE(MATCH($AK56,{"S","A","B","C"},0),s_S,s_A,s_B,s_C))</f>
        <v/>
      </c>
      <c r="AZ56" s="37">
        <f>IF($A56="","",'13_EarlyWarning'!$AH59)</f>
        <v/>
      </c>
      <c r="BA56" s="37">
        <f>IF($A56="","",IF(OR($U56="LC_SIGHT",$U56="LC_USANCE",$U56="TT_ADV"),"대상 아님","대상"))</f>
        <v/>
      </c>
      <c r="BB56" s="40">
        <f>IF($A56="","",IF(OR($BA56="대상 아님",$AZ56&lt;&gt;"",$AH56=1),0,MIN($AV56,$AW56,$AX56+$AY56)))</f>
        <v/>
      </c>
      <c r="BC56" s="40">
        <f>IF($A56="","",IF($AG56=1,MIN(StratMin*$AB56,$BB56),0))</f>
        <v/>
      </c>
      <c r="BD56" s="41">
        <f>IF($A56="","",IF(OR($V56&lt;=0,$BB56&lt;=0),0,Util*(GM*365/$V56-$AT56)))</f>
        <v/>
      </c>
      <c r="BE56" s="42">
        <f>IF($A56="","",Util*$AL56*$AN56*(1-$AO56))</f>
        <v/>
      </c>
      <c r="BF56" s="37">
        <f>IF($A56="","",IF($AC56="","0-2",IF($AC56&lt;=2,"0-2",IF($AC56=3,"3",IF($AC56&lt;=5,"4-5","6-7")))))</f>
        <v/>
      </c>
      <c r="BG56" s="40">
        <f>IF($A56="","",$Z56*$AM56*$AN56*(1-$AO56))</f>
        <v/>
      </c>
      <c r="BH56" s="40">
        <f>IF($A56="","",$Z56*(TSOFR3M+$AP56)*$V56/DayBasis)</f>
        <v/>
      </c>
      <c r="BI56" s="43">
        <f>IF($A56="","",$C56+$Z56*1E-13)</f>
        <v/>
      </c>
    </row>
    <row r="57">
      <c r="B57" s="32" t="n"/>
      <c r="C57" s="33" t="n"/>
      <c r="E57" s="33" t="n"/>
      <c r="H57" s="34" t="n"/>
      <c r="X57" s="35" t="n"/>
      <c r="Y57" s="35" t="n"/>
      <c r="Z57" s="35" t="n"/>
      <c r="AA57" s="35" t="n"/>
      <c r="AB57" s="35" t="n"/>
      <c r="AD57" s="36" t="n"/>
      <c r="AE57" s="36" t="n"/>
      <c r="AF57" s="36" t="n"/>
      <c r="AK57" s="37">
        <f>IF($A57="","",IF(GradeRule="quantile",$I57,$F57))</f>
        <v/>
      </c>
      <c r="AL57" s="38">
        <f>IF($A57="","",CHOOSE(MATCH($AK57,{"S","A","B","C"},0),PD_S,PD_A,PD_B,PD_C))</f>
        <v/>
      </c>
      <c r="AM57" s="38">
        <f>IF($A57="","",IF($AH57=1,1,$AL57))</f>
        <v/>
      </c>
      <c r="AN57" s="38">
        <f>IF($A57="","",IF(OR($U57="LC_SIGHT",$U57="LC_USANCE"),LGD_LC,LGD))</f>
        <v/>
      </c>
      <c r="AO57" s="38">
        <f>IF($A57="","",IF($W57="Y",Cov,0))</f>
        <v/>
      </c>
      <c r="AP57" s="38">
        <f>IF($A57="","",CHOOSE(MATCH($AK57,{"S","A","B","C"},0),Spread_S,Spread_A,Spread_B,Spread_C))</f>
        <v/>
      </c>
      <c r="AQ57" s="38">
        <f>IF($A57="","",CHOOSE(MATCH($AK57,{"S","A","B","C"},0),Prem_S,Prem_A,Prem_B,Prem_C))</f>
        <v/>
      </c>
      <c r="AR57" s="39">
        <f>IF(OR($A57="",$V57&lt;=0),"",TSOFR3M+$AP57+$AL57*$AN57)</f>
        <v/>
      </c>
      <c r="AS57" s="39">
        <f>IF(OR($A57="",$V57&lt;=0),"",TSOFR3M+$AP57+$AQ57*365/$V57+$AL57*$AN57*(1-Cov))</f>
        <v/>
      </c>
      <c r="AT57" s="39">
        <f>IF(OR($A57="",$V57&lt;=0),"",IF($W57="Y",$AS57,$AR57))</f>
        <v/>
      </c>
      <c r="AU57" s="37">
        <f>IF(OR($A57="",$V57&lt;=0),"",IF($AS57&lt;$AR57,"부보 유리","무보험 유리"))</f>
        <v/>
      </c>
      <c r="AV57" s="40">
        <f>IF($A57="","",$Y57*($V57+Grace)/30)</f>
        <v/>
      </c>
      <c r="AW57" s="40">
        <f>IF($A57="","",CHOOSE(MATCH($AK57,{"S","A","B","C"},0),$AV57,Cap_A,Cap_B,Cap_C_OA))</f>
        <v/>
      </c>
      <c r="AX57" s="40">
        <f>IF($A57="","",IF($W57="Y",$X57,0))</f>
        <v/>
      </c>
      <c r="AY57" s="40">
        <f>IF($A57="","",Equity_USD*CHOOSE(MATCH($AK57,{"S","A","B","C"},0),s_S,s_A,s_B,s_C))</f>
        <v/>
      </c>
      <c r="AZ57" s="37">
        <f>IF($A57="","",'13_EarlyWarning'!$AH60)</f>
        <v/>
      </c>
      <c r="BA57" s="37">
        <f>IF($A57="","",IF(OR($U57="LC_SIGHT",$U57="LC_USANCE",$U57="TT_ADV"),"대상 아님","대상"))</f>
        <v/>
      </c>
      <c r="BB57" s="40">
        <f>IF($A57="","",IF(OR($BA57="대상 아님",$AZ57&lt;&gt;"",$AH57=1),0,MIN($AV57,$AW57,$AX57+$AY57)))</f>
        <v/>
      </c>
      <c r="BC57" s="40">
        <f>IF($A57="","",IF($AG57=1,MIN(StratMin*$AB57,$BB57),0))</f>
        <v/>
      </c>
      <c r="BD57" s="41">
        <f>IF($A57="","",IF(OR($V57&lt;=0,$BB57&lt;=0),0,Util*(GM*365/$V57-$AT57)))</f>
        <v/>
      </c>
      <c r="BE57" s="42">
        <f>IF($A57="","",Util*$AL57*$AN57*(1-$AO57))</f>
        <v/>
      </c>
      <c r="BF57" s="37">
        <f>IF($A57="","",IF($AC57="","0-2",IF($AC57&lt;=2,"0-2",IF($AC57=3,"3",IF($AC57&lt;=5,"4-5","6-7")))))</f>
        <v/>
      </c>
      <c r="BG57" s="40">
        <f>IF($A57="","",$Z57*$AM57*$AN57*(1-$AO57))</f>
        <v/>
      </c>
      <c r="BH57" s="40">
        <f>IF($A57="","",$Z57*(TSOFR3M+$AP57)*$V57/DayBasis)</f>
        <v/>
      </c>
      <c r="BI57" s="43">
        <f>IF($A57="","",$C57+$Z57*1E-13)</f>
        <v/>
      </c>
    </row>
    <row r="58">
      <c r="B58" s="32" t="n"/>
      <c r="C58" s="33" t="n"/>
      <c r="E58" s="33" t="n"/>
      <c r="H58" s="34" t="n"/>
      <c r="X58" s="35" t="n"/>
      <c r="Y58" s="35" t="n"/>
      <c r="Z58" s="35" t="n"/>
      <c r="AA58" s="35" t="n"/>
      <c r="AB58" s="35" t="n"/>
      <c r="AD58" s="36" t="n"/>
      <c r="AE58" s="36" t="n"/>
      <c r="AF58" s="36" t="n"/>
      <c r="AK58" s="37">
        <f>IF($A58="","",IF(GradeRule="quantile",$I58,$F58))</f>
        <v/>
      </c>
      <c r="AL58" s="38">
        <f>IF($A58="","",CHOOSE(MATCH($AK58,{"S","A","B","C"},0),PD_S,PD_A,PD_B,PD_C))</f>
        <v/>
      </c>
      <c r="AM58" s="38">
        <f>IF($A58="","",IF($AH58=1,1,$AL58))</f>
        <v/>
      </c>
      <c r="AN58" s="38">
        <f>IF($A58="","",IF(OR($U58="LC_SIGHT",$U58="LC_USANCE"),LGD_LC,LGD))</f>
        <v/>
      </c>
      <c r="AO58" s="38">
        <f>IF($A58="","",IF($W58="Y",Cov,0))</f>
        <v/>
      </c>
      <c r="AP58" s="38">
        <f>IF($A58="","",CHOOSE(MATCH($AK58,{"S","A","B","C"},0),Spread_S,Spread_A,Spread_B,Spread_C))</f>
        <v/>
      </c>
      <c r="AQ58" s="38">
        <f>IF($A58="","",CHOOSE(MATCH($AK58,{"S","A","B","C"},0),Prem_S,Prem_A,Prem_B,Prem_C))</f>
        <v/>
      </c>
      <c r="AR58" s="39">
        <f>IF(OR($A58="",$V58&lt;=0),"",TSOFR3M+$AP58+$AL58*$AN58)</f>
        <v/>
      </c>
      <c r="AS58" s="39">
        <f>IF(OR($A58="",$V58&lt;=0),"",TSOFR3M+$AP58+$AQ58*365/$V58+$AL58*$AN58*(1-Cov))</f>
        <v/>
      </c>
      <c r="AT58" s="39">
        <f>IF(OR($A58="",$V58&lt;=0),"",IF($W58="Y",$AS58,$AR58))</f>
        <v/>
      </c>
      <c r="AU58" s="37">
        <f>IF(OR($A58="",$V58&lt;=0),"",IF($AS58&lt;$AR58,"부보 유리","무보험 유리"))</f>
        <v/>
      </c>
      <c r="AV58" s="40">
        <f>IF($A58="","",$Y58*($V58+Grace)/30)</f>
        <v/>
      </c>
      <c r="AW58" s="40">
        <f>IF($A58="","",CHOOSE(MATCH($AK58,{"S","A","B","C"},0),$AV58,Cap_A,Cap_B,Cap_C_OA))</f>
        <v/>
      </c>
      <c r="AX58" s="40">
        <f>IF($A58="","",IF($W58="Y",$X58,0))</f>
        <v/>
      </c>
      <c r="AY58" s="40">
        <f>IF($A58="","",Equity_USD*CHOOSE(MATCH($AK58,{"S","A","B","C"},0),s_S,s_A,s_B,s_C))</f>
        <v/>
      </c>
      <c r="AZ58" s="37">
        <f>IF($A58="","",'13_EarlyWarning'!$AH61)</f>
        <v/>
      </c>
      <c r="BA58" s="37">
        <f>IF($A58="","",IF(OR($U58="LC_SIGHT",$U58="LC_USANCE",$U58="TT_ADV"),"대상 아님","대상"))</f>
        <v/>
      </c>
      <c r="BB58" s="40">
        <f>IF($A58="","",IF(OR($BA58="대상 아님",$AZ58&lt;&gt;"",$AH58=1),0,MIN($AV58,$AW58,$AX58+$AY58)))</f>
        <v/>
      </c>
      <c r="BC58" s="40">
        <f>IF($A58="","",IF($AG58=1,MIN(StratMin*$AB58,$BB58),0))</f>
        <v/>
      </c>
      <c r="BD58" s="41">
        <f>IF($A58="","",IF(OR($V58&lt;=0,$BB58&lt;=0),0,Util*(GM*365/$V58-$AT58)))</f>
        <v/>
      </c>
      <c r="BE58" s="42">
        <f>IF($A58="","",Util*$AL58*$AN58*(1-$AO58))</f>
        <v/>
      </c>
      <c r="BF58" s="37">
        <f>IF($A58="","",IF($AC58="","0-2",IF($AC58&lt;=2,"0-2",IF($AC58=3,"3",IF($AC58&lt;=5,"4-5","6-7")))))</f>
        <v/>
      </c>
      <c r="BG58" s="40">
        <f>IF($A58="","",$Z58*$AM58*$AN58*(1-$AO58))</f>
        <v/>
      </c>
      <c r="BH58" s="40">
        <f>IF($A58="","",$Z58*(TSOFR3M+$AP58)*$V58/DayBasis)</f>
        <v/>
      </c>
      <c r="BI58" s="43">
        <f>IF($A58="","",$C58+$Z58*1E-13)</f>
        <v/>
      </c>
    </row>
    <row r="59">
      <c r="B59" s="32" t="n"/>
      <c r="C59" s="33" t="n"/>
      <c r="E59" s="33" t="n"/>
      <c r="H59" s="34" t="n"/>
      <c r="X59" s="35" t="n"/>
      <c r="Y59" s="35" t="n"/>
      <c r="Z59" s="35" t="n"/>
      <c r="AA59" s="35" t="n"/>
      <c r="AB59" s="35" t="n"/>
      <c r="AD59" s="36" t="n"/>
      <c r="AE59" s="36" t="n"/>
      <c r="AF59" s="36" t="n"/>
      <c r="AK59" s="37">
        <f>IF($A59="","",IF(GradeRule="quantile",$I59,$F59))</f>
        <v/>
      </c>
      <c r="AL59" s="38">
        <f>IF($A59="","",CHOOSE(MATCH($AK59,{"S","A","B","C"},0),PD_S,PD_A,PD_B,PD_C))</f>
        <v/>
      </c>
      <c r="AM59" s="38">
        <f>IF($A59="","",IF($AH59=1,1,$AL59))</f>
        <v/>
      </c>
      <c r="AN59" s="38">
        <f>IF($A59="","",IF(OR($U59="LC_SIGHT",$U59="LC_USANCE"),LGD_LC,LGD))</f>
        <v/>
      </c>
      <c r="AO59" s="38">
        <f>IF($A59="","",IF($W59="Y",Cov,0))</f>
        <v/>
      </c>
      <c r="AP59" s="38">
        <f>IF($A59="","",CHOOSE(MATCH($AK59,{"S","A","B","C"},0),Spread_S,Spread_A,Spread_B,Spread_C))</f>
        <v/>
      </c>
      <c r="AQ59" s="38">
        <f>IF($A59="","",CHOOSE(MATCH($AK59,{"S","A","B","C"},0),Prem_S,Prem_A,Prem_B,Prem_C))</f>
        <v/>
      </c>
      <c r="AR59" s="39">
        <f>IF(OR($A59="",$V59&lt;=0),"",TSOFR3M+$AP59+$AL59*$AN59)</f>
        <v/>
      </c>
      <c r="AS59" s="39">
        <f>IF(OR($A59="",$V59&lt;=0),"",TSOFR3M+$AP59+$AQ59*365/$V59+$AL59*$AN59*(1-Cov))</f>
        <v/>
      </c>
      <c r="AT59" s="39">
        <f>IF(OR($A59="",$V59&lt;=0),"",IF($W59="Y",$AS59,$AR59))</f>
        <v/>
      </c>
      <c r="AU59" s="37">
        <f>IF(OR($A59="",$V59&lt;=0),"",IF($AS59&lt;$AR59,"부보 유리","무보험 유리"))</f>
        <v/>
      </c>
      <c r="AV59" s="40">
        <f>IF($A59="","",$Y59*($V59+Grace)/30)</f>
        <v/>
      </c>
      <c r="AW59" s="40">
        <f>IF($A59="","",CHOOSE(MATCH($AK59,{"S","A","B","C"},0),$AV59,Cap_A,Cap_B,Cap_C_OA))</f>
        <v/>
      </c>
      <c r="AX59" s="40">
        <f>IF($A59="","",IF($W59="Y",$X59,0))</f>
        <v/>
      </c>
      <c r="AY59" s="40">
        <f>IF($A59="","",Equity_USD*CHOOSE(MATCH($AK59,{"S","A","B","C"},0),s_S,s_A,s_B,s_C))</f>
        <v/>
      </c>
      <c r="AZ59" s="37">
        <f>IF($A59="","",'13_EarlyWarning'!$AH62)</f>
        <v/>
      </c>
      <c r="BA59" s="37">
        <f>IF($A59="","",IF(OR($U59="LC_SIGHT",$U59="LC_USANCE",$U59="TT_ADV"),"대상 아님","대상"))</f>
        <v/>
      </c>
      <c r="BB59" s="40">
        <f>IF($A59="","",IF(OR($BA59="대상 아님",$AZ59&lt;&gt;"",$AH59=1),0,MIN($AV59,$AW59,$AX59+$AY59)))</f>
        <v/>
      </c>
      <c r="BC59" s="40">
        <f>IF($A59="","",IF($AG59=1,MIN(StratMin*$AB59,$BB59),0))</f>
        <v/>
      </c>
      <c r="BD59" s="41">
        <f>IF($A59="","",IF(OR($V59&lt;=0,$BB59&lt;=0),0,Util*(GM*365/$V59-$AT59)))</f>
        <v/>
      </c>
      <c r="BE59" s="42">
        <f>IF($A59="","",Util*$AL59*$AN59*(1-$AO59))</f>
        <v/>
      </c>
      <c r="BF59" s="37">
        <f>IF($A59="","",IF($AC59="","0-2",IF($AC59&lt;=2,"0-2",IF($AC59=3,"3",IF($AC59&lt;=5,"4-5","6-7")))))</f>
        <v/>
      </c>
      <c r="BG59" s="40">
        <f>IF($A59="","",$Z59*$AM59*$AN59*(1-$AO59))</f>
        <v/>
      </c>
      <c r="BH59" s="40">
        <f>IF($A59="","",$Z59*(TSOFR3M+$AP59)*$V59/DayBasis)</f>
        <v/>
      </c>
      <c r="BI59" s="43">
        <f>IF($A59="","",$C59+$Z59*1E-13)</f>
        <v/>
      </c>
    </row>
    <row r="60">
      <c r="B60" s="32" t="n"/>
      <c r="C60" s="33" t="n"/>
      <c r="E60" s="33" t="n"/>
      <c r="H60" s="34" t="n"/>
      <c r="X60" s="35" t="n"/>
      <c r="Y60" s="35" t="n"/>
      <c r="Z60" s="35" t="n"/>
      <c r="AA60" s="35" t="n"/>
      <c r="AB60" s="35" t="n"/>
      <c r="AD60" s="36" t="n"/>
      <c r="AE60" s="36" t="n"/>
      <c r="AF60" s="36" t="n"/>
      <c r="AK60" s="37">
        <f>IF($A60="","",IF(GradeRule="quantile",$I60,$F60))</f>
        <v/>
      </c>
      <c r="AL60" s="38">
        <f>IF($A60="","",CHOOSE(MATCH($AK60,{"S","A","B","C"},0),PD_S,PD_A,PD_B,PD_C))</f>
        <v/>
      </c>
      <c r="AM60" s="38">
        <f>IF($A60="","",IF($AH60=1,1,$AL60))</f>
        <v/>
      </c>
      <c r="AN60" s="38">
        <f>IF($A60="","",IF(OR($U60="LC_SIGHT",$U60="LC_USANCE"),LGD_LC,LGD))</f>
        <v/>
      </c>
      <c r="AO60" s="38">
        <f>IF($A60="","",IF($W60="Y",Cov,0))</f>
        <v/>
      </c>
      <c r="AP60" s="38">
        <f>IF($A60="","",CHOOSE(MATCH($AK60,{"S","A","B","C"},0),Spread_S,Spread_A,Spread_B,Spread_C))</f>
        <v/>
      </c>
      <c r="AQ60" s="38">
        <f>IF($A60="","",CHOOSE(MATCH($AK60,{"S","A","B","C"},0),Prem_S,Prem_A,Prem_B,Prem_C))</f>
        <v/>
      </c>
      <c r="AR60" s="39">
        <f>IF(OR($A60="",$V60&lt;=0),"",TSOFR3M+$AP60+$AL60*$AN60)</f>
        <v/>
      </c>
      <c r="AS60" s="39">
        <f>IF(OR($A60="",$V60&lt;=0),"",TSOFR3M+$AP60+$AQ60*365/$V60+$AL60*$AN60*(1-Cov))</f>
        <v/>
      </c>
      <c r="AT60" s="39">
        <f>IF(OR($A60="",$V60&lt;=0),"",IF($W60="Y",$AS60,$AR60))</f>
        <v/>
      </c>
      <c r="AU60" s="37">
        <f>IF(OR($A60="",$V60&lt;=0),"",IF($AS60&lt;$AR60,"부보 유리","무보험 유리"))</f>
        <v/>
      </c>
      <c r="AV60" s="40">
        <f>IF($A60="","",$Y60*($V60+Grace)/30)</f>
        <v/>
      </c>
      <c r="AW60" s="40">
        <f>IF($A60="","",CHOOSE(MATCH($AK60,{"S","A","B","C"},0),$AV60,Cap_A,Cap_B,Cap_C_OA))</f>
        <v/>
      </c>
      <c r="AX60" s="40">
        <f>IF($A60="","",IF($W60="Y",$X60,0))</f>
        <v/>
      </c>
      <c r="AY60" s="40">
        <f>IF($A60="","",Equity_USD*CHOOSE(MATCH($AK60,{"S","A","B","C"},0),s_S,s_A,s_B,s_C))</f>
        <v/>
      </c>
      <c r="AZ60" s="37">
        <f>IF($A60="","",'13_EarlyWarning'!$AH63)</f>
        <v/>
      </c>
      <c r="BA60" s="37">
        <f>IF($A60="","",IF(OR($U60="LC_SIGHT",$U60="LC_USANCE",$U60="TT_ADV"),"대상 아님","대상"))</f>
        <v/>
      </c>
      <c r="BB60" s="40">
        <f>IF($A60="","",IF(OR($BA60="대상 아님",$AZ60&lt;&gt;"",$AH60=1),0,MIN($AV60,$AW60,$AX60+$AY60)))</f>
        <v/>
      </c>
      <c r="BC60" s="40">
        <f>IF($A60="","",IF($AG60=1,MIN(StratMin*$AB60,$BB60),0))</f>
        <v/>
      </c>
      <c r="BD60" s="41">
        <f>IF($A60="","",IF(OR($V60&lt;=0,$BB60&lt;=0),0,Util*(GM*365/$V60-$AT60)))</f>
        <v/>
      </c>
      <c r="BE60" s="42">
        <f>IF($A60="","",Util*$AL60*$AN60*(1-$AO60))</f>
        <v/>
      </c>
      <c r="BF60" s="37">
        <f>IF($A60="","",IF($AC60="","0-2",IF($AC60&lt;=2,"0-2",IF($AC60=3,"3",IF($AC60&lt;=5,"4-5","6-7")))))</f>
        <v/>
      </c>
      <c r="BG60" s="40">
        <f>IF($A60="","",$Z60*$AM60*$AN60*(1-$AO60))</f>
        <v/>
      </c>
      <c r="BH60" s="40">
        <f>IF($A60="","",$Z60*(TSOFR3M+$AP60)*$V60/DayBasis)</f>
        <v/>
      </c>
      <c r="BI60" s="43">
        <f>IF($A60="","",$C60+$Z60*1E-13)</f>
        <v/>
      </c>
    </row>
    <row r="61">
      <c r="B61" s="32" t="n"/>
      <c r="C61" s="33" t="n"/>
      <c r="E61" s="33" t="n"/>
      <c r="H61" s="34" t="n"/>
      <c r="X61" s="35" t="n"/>
      <c r="Y61" s="35" t="n"/>
      <c r="Z61" s="35" t="n"/>
      <c r="AA61" s="35" t="n"/>
      <c r="AB61" s="35" t="n"/>
      <c r="AD61" s="36" t="n"/>
      <c r="AE61" s="36" t="n"/>
      <c r="AF61" s="36" t="n"/>
      <c r="AK61" s="37">
        <f>IF($A61="","",IF(GradeRule="quantile",$I61,$F61))</f>
        <v/>
      </c>
      <c r="AL61" s="38">
        <f>IF($A61="","",CHOOSE(MATCH($AK61,{"S","A","B","C"},0),PD_S,PD_A,PD_B,PD_C))</f>
        <v/>
      </c>
      <c r="AM61" s="38">
        <f>IF($A61="","",IF($AH61=1,1,$AL61))</f>
        <v/>
      </c>
      <c r="AN61" s="38">
        <f>IF($A61="","",IF(OR($U61="LC_SIGHT",$U61="LC_USANCE"),LGD_LC,LGD))</f>
        <v/>
      </c>
      <c r="AO61" s="38">
        <f>IF($A61="","",IF($W61="Y",Cov,0))</f>
        <v/>
      </c>
      <c r="AP61" s="38">
        <f>IF($A61="","",CHOOSE(MATCH($AK61,{"S","A","B","C"},0),Spread_S,Spread_A,Spread_B,Spread_C))</f>
        <v/>
      </c>
      <c r="AQ61" s="38">
        <f>IF($A61="","",CHOOSE(MATCH($AK61,{"S","A","B","C"},0),Prem_S,Prem_A,Prem_B,Prem_C))</f>
        <v/>
      </c>
      <c r="AR61" s="39">
        <f>IF(OR($A61="",$V61&lt;=0),"",TSOFR3M+$AP61+$AL61*$AN61)</f>
        <v/>
      </c>
      <c r="AS61" s="39">
        <f>IF(OR($A61="",$V61&lt;=0),"",TSOFR3M+$AP61+$AQ61*365/$V61+$AL61*$AN61*(1-Cov))</f>
        <v/>
      </c>
      <c r="AT61" s="39">
        <f>IF(OR($A61="",$V61&lt;=0),"",IF($W61="Y",$AS61,$AR61))</f>
        <v/>
      </c>
      <c r="AU61" s="37">
        <f>IF(OR($A61="",$V61&lt;=0),"",IF($AS61&lt;$AR61,"부보 유리","무보험 유리"))</f>
        <v/>
      </c>
      <c r="AV61" s="40">
        <f>IF($A61="","",$Y61*($V61+Grace)/30)</f>
        <v/>
      </c>
      <c r="AW61" s="40">
        <f>IF($A61="","",CHOOSE(MATCH($AK61,{"S","A","B","C"},0),$AV61,Cap_A,Cap_B,Cap_C_OA))</f>
        <v/>
      </c>
      <c r="AX61" s="40">
        <f>IF($A61="","",IF($W61="Y",$X61,0))</f>
        <v/>
      </c>
      <c r="AY61" s="40">
        <f>IF($A61="","",Equity_USD*CHOOSE(MATCH($AK61,{"S","A","B","C"},0),s_S,s_A,s_B,s_C))</f>
        <v/>
      </c>
      <c r="AZ61" s="37">
        <f>IF($A61="","",'13_EarlyWarning'!$AH64)</f>
        <v/>
      </c>
      <c r="BA61" s="37">
        <f>IF($A61="","",IF(OR($U61="LC_SIGHT",$U61="LC_USANCE",$U61="TT_ADV"),"대상 아님","대상"))</f>
        <v/>
      </c>
      <c r="BB61" s="40">
        <f>IF($A61="","",IF(OR($BA61="대상 아님",$AZ61&lt;&gt;"",$AH61=1),0,MIN($AV61,$AW61,$AX61+$AY61)))</f>
        <v/>
      </c>
      <c r="BC61" s="40">
        <f>IF($A61="","",IF($AG61=1,MIN(StratMin*$AB61,$BB61),0))</f>
        <v/>
      </c>
      <c r="BD61" s="41">
        <f>IF($A61="","",IF(OR($V61&lt;=0,$BB61&lt;=0),0,Util*(GM*365/$V61-$AT61)))</f>
        <v/>
      </c>
      <c r="BE61" s="42">
        <f>IF($A61="","",Util*$AL61*$AN61*(1-$AO61))</f>
        <v/>
      </c>
      <c r="BF61" s="37">
        <f>IF($A61="","",IF($AC61="","0-2",IF($AC61&lt;=2,"0-2",IF($AC61=3,"3",IF($AC61&lt;=5,"4-5","6-7")))))</f>
        <v/>
      </c>
      <c r="BG61" s="40">
        <f>IF($A61="","",$Z61*$AM61*$AN61*(1-$AO61))</f>
        <v/>
      </c>
      <c r="BH61" s="40">
        <f>IF($A61="","",$Z61*(TSOFR3M+$AP61)*$V61/DayBasis)</f>
        <v/>
      </c>
      <c r="BI61" s="43">
        <f>IF($A61="","",$C61+$Z61*1E-13)</f>
        <v/>
      </c>
    </row>
    <row r="62">
      <c r="B62" s="32" t="n"/>
      <c r="C62" s="33" t="n"/>
      <c r="E62" s="33" t="n"/>
      <c r="H62" s="34" t="n"/>
      <c r="X62" s="35" t="n"/>
      <c r="Y62" s="35" t="n"/>
      <c r="Z62" s="35" t="n"/>
      <c r="AA62" s="35" t="n"/>
      <c r="AB62" s="35" t="n"/>
      <c r="AD62" s="36" t="n"/>
      <c r="AE62" s="36" t="n"/>
      <c r="AF62" s="36" t="n"/>
      <c r="AK62" s="37">
        <f>IF($A62="","",IF(GradeRule="quantile",$I62,$F62))</f>
        <v/>
      </c>
      <c r="AL62" s="38">
        <f>IF($A62="","",CHOOSE(MATCH($AK62,{"S","A","B","C"},0),PD_S,PD_A,PD_B,PD_C))</f>
        <v/>
      </c>
      <c r="AM62" s="38">
        <f>IF($A62="","",IF($AH62=1,1,$AL62))</f>
        <v/>
      </c>
      <c r="AN62" s="38">
        <f>IF($A62="","",IF(OR($U62="LC_SIGHT",$U62="LC_USANCE"),LGD_LC,LGD))</f>
        <v/>
      </c>
      <c r="AO62" s="38">
        <f>IF($A62="","",IF($W62="Y",Cov,0))</f>
        <v/>
      </c>
      <c r="AP62" s="38">
        <f>IF($A62="","",CHOOSE(MATCH($AK62,{"S","A","B","C"},0),Spread_S,Spread_A,Spread_B,Spread_C))</f>
        <v/>
      </c>
      <c r="AQ62" s="38">
        <f>IF($A62="","",CHOOSE(MATCH($AK62,{"S","A","B","C"},0),Prem_S,Prem_A,Prem_B,Prem_C))</f>
        <v/>
      </c>
      <c r="AR62" s="39">
        <f>IF(OR($A62="",$V62&lt;=0),"",TSOFR3M+$AP62+$AL62*$AN62)</f>
        <v/>
      </c>
      <c r="AS62" s="39">
        <f>IF(OR($A62="",$V62&lt;=0),"",TSOFR3M+$AP62+$AQ62*365/$V62+$AL62*$AN62*(1-Cov))</f>
        <v/>
      </c>
      <c r="AT62" s="39">
        <f>IF(OR($A62="",$V62&lt;=0),"",IF($W62="Y",$AS62,$AR62))</f>
        <v/>
      </c>
      <c r="AU62" s="37">
        <f>IF(OR($A62="",$V62&lt;=0),"",IF($AS62&lt;$AR62,"부보 유리","무보험 유리"))</f>
        <v/>
      </c>
      <c r="AV62" s="40">
        <f>IF($A62="","",$Y62*($V62+Grace)/30)</f>
        <v/>
      </c>
      <c r="AW62" s="40">
        <f>IF($A62="","",CHOOSE(MATCH($AK62,{"S","A","B","C"},0),$AV62,Cap_A,Cap_B,Cap_C_OA))</f>
        <v/>
      </c>
      <c r="AX62" s="40">
        <f>IF($A62="","",IF($W62="Y",$X62,0))</f>
        <v/>
      </c>
      <c r="AY62" s="40">
        <f>IF($A62="","",Equity_USD*CHOOSE(MATCH($AK62,{"S","A","B","C"},0),s_S,s_A,s_B,s_C))</f>
        <v/>
      </c>
      <c r="AZ62" s="37">
        <f>IF($A62="","",'13_EarlyWarning'!$AH65)</f>
        <v/>
      </c>
      <c r="BA62" s="37">
        <f>IF($A62="","",IF(OR($U62="LC_SIGHT",$U62="LC_USANCE",$U62="TT_ADV"),"대상 아님","대상"))</f>
        <v/>
      </c>
      <c r="BB62" s="40">
        <f>IF($A62="","",IF(OR($BA62="대상 아님",$AZ62&lt;&gt;"",$AH62=1),0,MIN($AV62,$AW62,$AX62+$AY62)))</f>
        <v/>
      </c>
      <c r="BC62" s="40">
        <f>IF($A62="","",IF($AG62=1,MIN(StratMin*$AB62,$BB62),0))</f>
        <v/>
      </c>
      <c r="BD62" s="41">
        <f>IF($A62="","",IF(OR($V62&lt;=0,$BB62&lt;=0),0,Util*(GM*365/$V62-$AT62)))</f>
        <v/>
      </c>
      <c r="BE62" s="42">
        <f>IF($A62="","",Util*$AL62*$AN62*(1-$AO62))</f>
        <v/>
      </c>
      <c r="BF62" s="37">
        <f>IF($A62="","",IF($AC62="","0-2",IF($AC62&lt;=2,"0-2",IF($AC62=3,"3",IF($AC62&lt;=5,"4-5","6-7")))))</f>
        <v/>
      </c>
      <c r="BG62" s="40">
        <f>IF($A62="","",$Z62*$AM62*$AN62*(1-$AO62))</f>
        <v/>
      </c>
      <c r="BH62" s="40">
        <f>IF($A62="","",$Z62*(TSOFR3M+$AP62)*$V62/DayBasis)</f>
        <v/>
      </c>
      <c r="BI62" s="43">
        <f>IF($A62="","",$C62+$Z62*1E-13)</f>
        <v/>
      </c>
    </row>
    <row r="63">
      <c r="B63" s="32" t="n"/>
      <c r="C63" s="33" t="n"/>
      <c r="E63" s="33" t="n"/>
      <c r="H63" s="34" t="n"/>
      <c r="X63" s="35" t="n"/>
      <c r="Y63" s="35" t="n"/>
      <c r="Z63" s="35" t="n"/>
      <c r="AA63" s="35" t="n"/>
      <c r="AB63" s="35" t="n"/>
      <c r="AD63" s="36" t="n"/>
      <c r="AE63" s="36" t="n"/>
      <c r="AF63" s="36" t="n"/>
      <c r="AK63" s="37">
        <f>IF($A63="","",IF(GradeRule="quantile",$I63,$F63))</f>
        <v/>
      </c>
      <c r="AL63" s="38">
        <f>IF($A63="","",CHOOSE(MATCH($AK63,{"S","A","B","C"},0),PD_S,PD_A,PD_B,PD_C))</f>
        <v/>
      </c>
      <c r="AM63" s="38">
        <f>IF($A63="","",IF($AH63=1,1,$AL63))</f>
        <v/>
      </c>
      <c r="AN63" s="38">
        <f>IF($A63="","",IF(OR($U63="LC_SIGHT",$U63="LC_USANCE"),LGD_LC,LGD))</f>
        <v/>
      </c>
      <c r="AO63" s="38">
        <f>IF($A63="","",IF($W63="Y",Cov,0))</f>
        <v/>
      </c>
      <c r="AP63" s="38">
        <f>IF($A63="","",CHOOSE(MATCH($AK63,{"S","A","B","C"},0),Spread_S,Spread_A,Spread_B,Spread_C))</f>
        <v/>
      </c>
      <c r="AQ63" s="38">
        <f>IF($A63="","",CHOOSE(MATCH($AK63,{"S","A","B","C"},0),Prem_S,Prem_A,Prem_B,Prem_C))</f>
        <v/>
      </c>
      <c r="AR63" s="39">
        <f>IF(OR($A63="",$V63&lt;=0),"",TSOFR3M+$AP63+$AL63*$AN63)</f>
        <v/>
      </c>
      <c r="AS63" s="39">
        <f>IF(OR($A63="",$V63&lt;=0),"",TSOFR3M+$AP63+$AQ63*365/$V63+$AL63*$AN63*(1-Cov))</f>
        <v/>
      </c>
      <c r="AT63" s="39">
        <f>IF(OR($A63="",$V63&lt;=0),"",IF($W63="Y",$AS63,$AR63))</f>
        <v/>
      </c>
      <c r="AU63" s="37">
        <f>IF(OR($A63="",$V63&lt;=0),"",IF($AS63&lt;$AR63,"부보 유리","무보험 유리"))</f>
        <v/>
      </c>
      <c r="AV63" s="40">
        <f>IF($A63="","",$Y63*($V63+Grace)/30)</f>
        <v/>
      </c>
      <c r="AW63" s="40">
        <f>IF($A63="","",CHOOSE(MATCH($AK63,{"S","A","B","C"},0),$AV63,Cap_A,Cap_B,Cap_C_OA))</f>
        <v/>
      </c>
      <c r="AX63" s="40">
        <f>IF($A63="","",IF($W63="Y",$X63,0))</f>
        <v/>
      </c>
      <c r="AY63" s="40">
        <f>IF($A63="","",Equity_USD*CHOOSE(MATCH($AK63,{"S","A","B","C"},0),s_S,s_A,s_B,s_C))</f>
        <v/>
      </c>
      <c r="AZ63" s="37">
        <f>IF($A63="","",'13_EarlyWarning'!$AH66)</f>
        <v/>
      </c>
      <c r="BA63" s="37">
        <f>IF($A63="","",IF(OR($U63="LC_SIGHT",$U63="LC_USANCE",$U63="TT_ADV"),"대상 아님","대상"))</f>
        <v/>
      </c>
      <c r="BB63" s="40">
        <f>IF($A63="","",IF(OR($BA63="대상 아님",$AZ63&lt;&gt;"",$AH63=1),0,MIN($AV63,$AW63,$AX63+$AY63)))</f>
        <v/>
      </c>
      <c r="BC63" s="40">
        <f>IF($A63="","",IF($AG63=1,MIN(StratMin*$AB63,$BB63),0))</f>
        <v/>
      </c>
      <c r="BD63" s="41">
        <f>IF($A63="","",IF(OR($V63&lt;=0,$BB63&lt;=0),0,Util*(GM*365/$V63-$AT63)))</f>
        <v/>
      </c>
      <c r="BE63" s="42">
        <f>IF($A63="","",Util*$AL63*$AN63*(1-$AO63))</f>
        <v/>
      </c>
      <c r="BF63" s="37">
        <f>IF($A63="","",IF($AC63="","0-2",IF($AC63&lt;=2,"0-2",IF($AC63=3,"3",IF($AC63&lt;=5,"4-5","6-7")))))</f>
        <v/>
      </c>
      <c r="BG63" s="40">
        <f>IF($A63="","",$Z63*$AM63*$AN63*(1-$AO63))</f>
        <v/>
      </c>
      <c r="BH63" s="40">
        <f>IF($A63="","",$Z63*(TSOFR3M+$AP63)*$V63/DayBasis)</f>
        <v/>
      </c>
      <c r="BI63" s="43">
        <f>IF($A63="","",$C63+$Z63*1E-13)</f>
        <v/>
      </c>
    </row>
    <row r="64">
      <c r="B64" s="32" t="n"/>
      <c r="C64" s="33" t="n"/>
      <c r="E64" s="33" t="n"/>
      <c r="H64" s="34" t="n"/>
      <c r="X64" s="35" t="n"/>
      <c r="Y64" s="35" t="n"/>
      <c r="Z64" s="35" t="n"/>
      <c r="AA64" s="35" t="n"/>
      <c r="AB64" s="35" t="n"/>
      <c r="AD64" s="36" t="n"/>
      <c r="AE64" s="36" t="n"/>
      <c r="AF64" s="36" t="n"/>
      <c r="AK64" s="37">
        <f>IF($A64="","",IF(GradeRule="quantile",$I64,$F64))</f>
        <v/>
      </c>
      <c r="AL64" s="38">
        <f>IF($A64="","",CHOOSE(MATCH($AK64,{"S","A","B","C"},0),PD_S,PD_A,PD_B,PD_C))</f>
        <v/>
      </c>
      <c r="AM64" s="38">
        <f>IF($A64="","",IF($AH64=1,1,$AL64))</f>
        <v/>
      </c>
      <c r="AN64" s="38">
        <f>IF($A64="","",IF(OR($U64="LC_SIGHT",$U64="LC_USANCE"),LGD_LC,LGD))</f>
        <v/>
      </c>
      <c r="AO64" s="38">
        <f>IF($A64="","",IF($W64="Y",Cov,0))</f>
        <v/>
      </c>
      <c r="AP64" s="38">
        <f>IF($A64="","",CHOOSE(MATCH($AK64,{"S","A","B","C"},0),Spread_S,Spread_A,Spread_B,Spread_C))</f>
        <v/>
      </c>
      <c r="AQ64" s="38">
        <f>IF($A64="","",CHOOSE(MATCH($AK64,{"S","A","B","C"},0),Prem_S,Prem_A,Prem_B,Prem_C))</f>
        <v/>
      </c>
      <c r="AR64" s="39">
        <f>IF(OR($A64="",$V64&lt;=0),"",TSOFR3M+$AP64+$AL64*$AN64)</f>
        <v/>
      </c>
      <c r="AS64" s="39">
        <f>IF(OR($A64="",$V64&lt;=0),"",TSOFR3M+$AP64+$AQ64*365/$V64+$AL64*$AN64*(1-Cov))</f>
        <v/>
      </c>
      <c r="AT64" s="39">
        <f>IF(OR($A64="",$V64&lt;=0),"",IF($W64="Y",$AS64,$AR64))</f>
        <v/>
      </c>
      <c r="AU64" s="37">
        <f>IF(OR($A64="",$V64&lt;=0),"",IF($AS64&lt;$AR64,"부보 유리","무보험 유리"))</f>
        <v/>
      </c>
      <c r="AV64" s="40">
        <f>IF($A64="","",$Y64*($V64+Grace)/30)</f>
        <v/>
      </c>
      <c r="AW64" s="40">
        <f>IF($A64="","",CHOOSE(MATCH($AK64,{"S","A","B","C"},0),$AV64,Cap_A,Cap_B,Cap_C_OA))</f>
        <v/>
      </c>
      <c r="AX64" s="40">
        <f>IF($A64="","",IF($W64="Y",$X64,0))</f>
        <v/>
      </c>
      <c r="AY64" s="40">
        <f>IF($A64="","",Equity_USD*CHOOSE(MATCH($AK64,{"S","A","B","C"},0),s_S,s_A,s_B,s_C))</f>
        <v/>
      </c>
      <c r="AZ64" s="37">
        <f>IF($A64="","",'13_EarlyWarning'!$AH67)</f>
        <v/>
      </c>
      <c r="BA64" s="37">
        <f>IF($A64="","",IF(OR($U64="LC_SIGHT",$U64="LC_USANCE",$U64="TT_ADV"),"대상 아님","대상"))</f>
        <v/>
      </c>
      <c r="BB64" s="40">
        <f>IF($A64="","",IF(OR($BA64="대상 아님",$AZ64&lt;&gt;"",$AH64=1),0,MIN($AV64,$AW64,$AX64+$AY64)))</f>
        <v/>
      </c>
      <c r="BC64" s="40">
        <f>IF($A64="","",IF($AG64=1,MIN(StratMin*$AB64,$BB64),0))</f>
        <v/>
      </c>
      <c r="BD64" s="41">
        <f>IF($A64="","",IF(OR($V64&lt;=0,$BB64&lt;=0),0,Util*(GM*365/$V64-$AT64)))</f>
        <v/>
      </c>
      <c r="BE64" s="42">
        <f>IF($A64="","",Util*$AL64*$AN64*(1-$AO64))</f>
        <v/>
      </c>
      <c r="BF64" s="37">
        <f>IF($A64="","",IF($AC64="","0-2",IF($AC64&lt;=2,"0-2",IF($AC64=3,"3",IF($AC64&lt;=5,"4-5","6-7")))))</f>
        <v/>
      </c>
      <c r="BG64" s="40">
        <f>IF($A64="","",$Z64*$AM64*$AN64*(1-$AO64))</f>
        <v/>
      </c>
      <c r="BH64" s="40">
        <f>IF($A64="","",$Z64*(TSOFR3M+$AP64)*$V64/DayBasis)</f>
        <v/>
      </c>
      <c r="BI64" s="43">
        <f>IF($A64="","",$C64+$Z64*1E-13)</f>
        <v/>
      </c>
    </row>
    <row r="65">
      <c r="B65" s="32" t="n"/>
      <c r="C65" s="33" t="n"/>
      <c r="E65" s="33" t="n"/>
      <c r="H65" s="34" t="n"/>
      <c r="X65" s="35" t="n"/>
      <c r="Y65" s="35" t="n"/>
      <c r="Z65" s="35" t="n"/>
      <c r="AA65" s="35" t="n"/>
      <c r="AB65" s="35" t="n"/>
      <c r="AD65" s="36" t="n"/>
      <c r="AE65" s="36" t="n"/>
      <c r="AF65" s="36" t="n"/>
      <c r="AK65" s="37">
        <f>IF($A65="","",IF(GradeRule="quantile",$I65,$F65))</f>
        <v/>
      </c>
      <c r="AL65" s="38">
        <f>IF($A65="","",CHOOSE(MATCH($AK65,{"S","A","B","C"},0),PD_S,PD_A,PD_B,PD_C))</f>
        <v/>
      </c>
      <c r="AM65" s="38">
        <f>IF($A65="","",IF($AH65=1,1,$AL65))</f>
        <v/>
      </c>
      <c r="AN65" s="38">
        <f>IF($A65="","",IF(OR($U65="LC_SIGHT",$U65="LC_USANCE"),LGD_LC,LGD))</f>
        <v/>
      </c>
      <c r="AO65" s="38">
        <f>IF($A65="","",IF($W65="Y",Cov,0))</f>
        <v/>
      </c>
      <c r="AP65" s="38">
        <f>IF($A65="","",CHOOSE(MATCH($AK65,{"S","A","B","C"},0),Spread_S,Spread_A,Spread_B,Spread_C))</f>
        <v/>
      </c>
      <c r="AQ65" s="38">
        <f>IF($A65="","",CHOOSE(MATCH($AK65,{"S","A","B","C"},0),Prem_S,Prem_A,Prem_B,Prem_C))</f>
        <v/>
      </c>
      <c r="AR65" s="39">
        <f>IF(OR($A65="",$V65&lt;=0),"",TSOFR3M+$AP65+$AL65*$AN65)</f>
        <v/>
      </c>
      <c r="AS65" s="39">
        <f>IF(OR($A65="",$V65&lt;=0),"",TSOFR3M+$AP65+$AQ65*365/$V65+$AL65*$AN65*(1-Cov))</f>
        <v/>
      </c>
      <c r="AT65" s="39">
        <f>IF(OR($A65="",$V65&lt;=0),"",IF($W65="Y",$AS65,$AR65))</f>
        <v/>
      </c>
      <c r="AU65" s="37">
        <f>IF(OR($A65="",$V65&lt;=0),"",IF($AS65&lt;$AR65,"부보 유리","무보험 유리"))</f>
        <v/>
      </c>
      <c r="AV65" s="40">
        <f>IF($A65="","",$Y65*($V65+Grace)/30)</f>
        <v/>
      </c>
      <c r="AW65" s="40">
        <f>IF($A65="","",CHOOSE(MATCH($AK65,{"S","A","B","C"},0),$AV65,Cap_A,Cap_B,Cap_C_OA))</f>
        <v/>
      </c>
      <c r="AX65" s="40">
        <f>IF($A65="","",IF($W65="Y",$X65,0))</f>
        <v/>
      </c>
      <c r="AY65" s="40">
        <f>IF($A65="","",Equity_USD*CHOOSE(MATCH($AK65,{"S","A","B","C"},0),s_S,s_A,s_B,s_C))</f>
        <v/>
      </c>
      <c r="AZ65" s="37">
        <f>IF($A65="","",'13_EarlyWarning'!$AH68)</f>
        <v/>
      </c>
      <c r="BA65" s="37">
        <f>IF($A65="","",IF(OR($U65="LC_SIGHT",$U65="LC_USANCE",$U65="TT_ADV"),"대상 아님","대상"))</f>
        <v/>
      </c>
      <c r="BB65" s="40">
        <f>IF($A65="","",IF(OR($BA65="대상 아님",$AZ65&lt;&gt;"",$AH65=1),0,MIN($AV65,$AW65,$AX65+$AY65)))</f>
        <v/>
      </c>
      <c r="BC65" s="40">
        <f>IF($A65="","",IF($AG65=1,MIN(StratMin*$AB65,$BB65),0))</f>
        <v/>
      </c>
      <c r="BD65" s="41">
        <f>IF($A65="","",IF(OR($V65&lt;=0,$BB65&lt;=0),0,Util*(GM*365/$V65-$AT65)))</f>
        <v/>
      </c>
      <c r="BE65" s="42">
        <f>IF($A65="","",Util*$AL65*$AN65*(1-$AO65))</f>
        <v/>
      </c>
      <c r="BF65" s="37">
        <f>IF($A65="","",IF($AC65="","0-2",IF($AC65&lt;=2,"0-2",IF($AC65=3,"3",IF($AC65&lt;=5,"4-5","6-7")))))</f>
        <v/>
      </c>
      <c r="BG65" s="40">
        <f>IF($A65="","",$Z65*$AM65*$AN65*(1-$AO65))</f>
        <v/>
      </c>
      <c r="BH65" s="40">
        <f>IF($A65="","",$Z65*(TSOFR3M+$AP65)*$V65/DayBasis)</f>
        <v/>
      </c>
      <c r="BI65" s="43">
        <f>IF($A65="","",$C65+$Z65*1E-13)</f>
        <v/>
      </c>
    </row>
    <row r="66">
      <c r="B66" s="32" t="n"/>
      <c r="C66" s="33" t="n"/>
      <c r="E66" s="33" t="n"/>
      <c r="H66" s="34" t="n"/>
      <c r="X66" s="35" t="n"/>
      <c r="Y66" s="35" t="n"/>
      <c r="Z66" s="35" t="n"/>
      <c r="AA66" s="35" t="n"/>
      <c r="AB66" s="35" t="n"/>
      <c r="AD66" s="36" t="n"/>
      <c r="AE66" s="36" t="n"/>
      <c r="AF66" s="36" t="n"/>
      <c r="AK66" s="37">
        <f>IF($A66="","",IF(GradeRule="quantile",$I66,$F66))</f>
        <v/>
      </c>
      <c r="AL66" s="38">
        <f>IF($A66="","",CHOOSE(MATCH($AK66,{"S","A","B","C"},0),PD_S,PD_A,PD_B,PD_C))</f>
        <v/>
      </c>
      <c r="AM66" s="38">
        <f>IF($A66="","",IF($AH66=1,1,$AL66))</f>
        <v/>
      </c>
      <c r="AN66" s="38">
        <f>IF($A66="","",IF(OR($U66="LC_SIGHT",$U66="LC_USANCE"),LGD_LC,LGD))</f>
        <v/>
      </c>
      <c r="AO66" s="38">
        <f>IF($A66="","",IF($W66="Y",Cov,0))</f>
        <v/>
      </c>
      <c r="AP66" s="38">
        <f>IF($A66="","",CHOOSE(MATCH($AK66,{"S","A","B","C"},0),Spread_S,Spread_A,Spread_B,Spread_C))</f>
        <v/>
      </c>
      <c r="AQ66" s="38">
        <f>IF($A66="","",CHOOSE(MATCH($AK66,{"S","A","B","C"},0),Prem_S,Prem_A,Prem_B,Prem_C))</f>
        <v/>
      </c>
      <c r="AR66" s="39">
        <f>IF(OR($A66="",$V66&lt;=0),"",TSOFR3M+$AP66+$AL66*$AN66)</f>
        <v/>
      </c>
      <c r="AS66" s="39">
        <f>IF(OR($A66="",$V66&lt;=0),"",TSOFR3M+$AP66+$AQ66*365/$V66+$AL66*$AN66*(1-Cov))</f>
        <v/>
      </c>
      <c r="AT66" s="39">
        <f>IF(OR($A66="",$V66&lt;=0),"",IF($W66="Y",$AS66,$AR66))</f>
        <v/>
      </c>
      <c r="AU66" s="37">
        <f>IF(OR($A66="",$V66&lt;=0),"",IF($AS66&lt;$AR66,"부보 유리","무보험 유리"))</f>
        <v/>
      </c>
      <c r="AV66" s="40">
        <f>IF($A66="","",$Y66*($V66+Grace)/30)</f>
        <v/>
      </c>
      <c r="AW66" s="40">
        <f>IF($A66="","",CHOOSE(MATCH($AK66,{"S","A","B","C"},0),$AV66,Cap_A,Cap_B,Cap_C_OA))</f>
        <v/>
      </c>
      <c r="AX66" s="40">
        <f>IF($A66="","",IF($W66="Y",$X66,0))</f>
        <v/>
      </c>
      <c r="AY66" s="40">
        <f>IF($A66="","",Equity_USD*CHOOSE(MATCH($AK66,{"S","A","B","C"},0),s_S,s_A,s_B,s_C))</f>
        <v/>
      </c>
      <c r="AZ66" s="37">
        <f>IF($A66="","",'13_EarlyWarning'!$AH69)</f>
        <v/>
      </c>
      <c r="BA66" s="37">
        <f>IF($A66="","",IF(OR($U66="LC_SIGHT",$U66="LC_USANCE",$U66="TT_ADV"),"대상 아님","대상"))</f>
        <v/>
      </c>
      <c r="BB66" s="40">
        <f>IF($A66="","",IF(OR($BA66="대상 아님",$AZ66&lt;&gt;"",$AH66=1),0,MIN($AV66,$AW66,$AX66+$AY66)))</f>
        <v/>
      </c>
      <c r="BC66" s="40">
        <f>IF($A66="","",IF($AG66=1,MIN(StratMin*$AB66,$BB66),0))</f>
        <v/>
      </c>
      <c r="BD66" s="41">
        <f>IF($A66="","",IF(OR($V66&lt;=0,$BB66&lt;=0),0,Util*(GM*365/$V66-$AT66)))</f>
        <v/>
      </c>
      <c r="BE66" s="42">
        <f>IF($A66="","",Util*$AL66*$AN66*(1-$AO66))</f>
        <v/>
      </c>
      <c r="BF66" s="37">
        <f>IF($A66="","",IF($AC66="","0-2",IF($AC66&lt;=2,"0-2",IF($AC66=3,"3",IF($AC66&lt;=5,"4-5","6-7")))))</f>
        <v/>
      </c>
      <c r="BG66" s="40">
        <f>IF($A66="","",$Z66*$AM66*$AN66*(1-$AO66))</f>
        <v/>
      </c>
      <c r="BH66" s="40">
        <f>IF($A66="","",$Z66*(TSOFR3M+$AP66)*$V66/DayBasis)</f>
        <v/>
      </c>
      <c r="BI66" s="43">
        <f>IF($A66="","",$C66+$Z66*1E-13)</f>
        <v/>
      </c>
    </row>
    <row r="67">
      <c r="B67" s="32" t="n"/>
      <c r="C67" s="33" t="n"/>
      <c r="E67" s="33" t="n"/>
      <c r="H67" s="34" t="n"/>
      <c r="X67" s="35" t="n"/>
      <c r="Y67" s="35" t="n"/>
      <c r="Z67" s="35" t="n"/>
      <c r="AA67" s="35" t="n"/>
      <c r="AB67" s="35" t="n"/>
      <c r="AD67" s="36" t="n"/>
      <c r="AE67" s="36" t="n"/>
      <c r="AF67" s="36" t="n"/>
      <c r="AK67" s="37">
        <f>IF($A67="","",IF(GradeRule="quantile",$I67,$F67))</f>
        <v/>
      </c>
      <c r="AL67" s="38">
        <f>IF($A67="","",CHOOSE(MATCH($AK67,{"S","A","B","C"},0),PD_S,PD_A,PD_B,PD_C))</f>
        <v/>
      </c>
      <c r="AM67" s="38">
        <f>IF($A67="","",IF($AH67=1,1,$AL67))</f>
        <v/>
      </c>
      <c r="AN67" s="38">
        <f>IF($A67="","",IF(OR($U67="LC_SIGHT",$U67="LC_USANCE"),LGD_LC,LGD))</f>
        <v/>
      </c>
      <c r="AO67" s="38">
        <f>IF($A67="","",IF($W67="Y",Cov,0))</f>
        <v/>
      </c>
      <c r="AP67" s="38">
        <f>IF($A67="","",CHOOSE(MATCH($AK67,{"S","A","B","C"},0),Spread_S,Spread_A,Spread_B,Spread_C))</f>
        <v/>
      </c>
      <c r="AQ67" s="38">
        <f>IF($A67="","",CHOOSE(MATCH($AK67,{"S","A","B","C"},0),Prem_S,Prem_A,Prem_B,Prem_C))</f>
        <v/>
      </c>
      <c r="AR67" s="39">
        <f>IF(OR($A67="",$V67&lt;=0),"",TSOFR3M+$AP67+$AL67*$AN67)</f>
        <v/>
      </c>
      <c r="AS67" s="39">
        <f>IF(OR($A67="",$V67&lt;=0),"",TSOFR3M+$AP67+$AQ67*365/$V67+$AL67*$AN67*(1-Cov))</f>
        <v/>
      </c>
      <c r="AT67" s="39">
        <f>IF(OR($A67="",$V67&lt;=0),"",IF($W67="Y",$AS67,$AR67))</f>
        <v/>
      </c>
      <c r="AU67" s="37">
        <f>IF(OR($A67="",$V67&lt;=0),"",IF($AS67&lt;$AR67,"부보 유리","무보험 유리"))</f>
        <v/>
      </c>
      <c r="AV67" s="40">
        <f>IF($A67="","",$Y67*($V67+Grace)/30)</f>
        <v/>
      </c>
      <c r="AW67" s="40">
        <f>IF($A67="","",CHOOSE(MATCH($AK67,{"S","A","B","C"},0),$AV67,Cap_A,Cap_B,Cap_C_OA))</f>
        <v/>
      </c>
      <c r="AX67" s="40">
        <f>IF($A67="","",IF($W67="Y",$X67,0))</f>
        <v/>
      </c>
      <c r="AY67" s="40">
        <f>IF($A67="","",Equity_USD*CHOOSE(MATCH($AK67,{"S","A","B","C"},0),s_S,s_A,s_B,s_C))</f>
        <v/>
      </c>
      <c r="AZ67" s="37">
        <f>IF($A67="","",'13_EarlyWarning'!$AH70)</f>
        <v/>
      </c>
      <c r="BA67" s="37">
        <f>IF($A67="","",IF(OR($U67="LC_SIGHT",$U67="LC_USANCE",$U67="TT_ADV"),"대상 아님","대상"))</f>
        <v/>
      </c>
      <c r="BB67" s="40">
        <f>IF($A67="","",IF(OR($BA67="대상 아님",$AZ67&lt;&gt;"",$AH67=1),0,MIN($AV67,$AW67,$AX67+$AY67)))</f>
        <v/>
      </c>
      <c r="BC67" s="40">
        <f>IF($A67="","",IF($AG67=1,MIN(StratMin*$AB67,$BB67),0))</f>
        <v/>
      </c>
      <c r="BD67" s="41">
        <f>IF($A67="","",IF(OR($V67&lt;=0,$BB67&lt;=0),0,Util*(GM*365/$V67-$AT67)))</f>
        <v/>
      </c>
      <c r="BE67" s="42">
        <f>IF($A67="","",Util*$AL67*$AN67*(1-$AO67))</f>
        <v/>
      </c>
      <c r="BF67" s="37">
        <f>IF($A67="","",IF($AC67="","0-2",IF($AC67&lt;=2,"0-2",IF($AC67=3,"3",IF($AC67&lt;=5,"4-5","6-7")))))</f>
        <v/>
      </c>
      <c r="BG67" s="40">
        <f>IF($A67="","",$Z67*$AM67*$AN67*(1-$AO67))</f>
        <v/>
      </c>
      <c r="BH67" s="40">
        <f>IF($A67="","",$Z67*(TSOFR3M+$AP67)*$V67/DayBasis)</f>
        <v/>
      </c>
      <c r="BI67" s="43">
        <f>IF($A67="","",$C67+$Z67*1E-13)</f>
        <v/>
      </c>
    </row>
    <row r="68">
      <c r="B68" s="32" t="n"/>
      <c r="C68" s="33" t="n"/>
      <c r="E68" s="33" t="n"/>
      <c r="H68" s="34" t="n"/>
      <c r="X68" s="35" t="n"/>
      <c r="Y68" s="35" t="n"/>
      <c r="Z68" s="35" t="n"/>
      <c r="AA68" s="35" t="n"/>
      <c r="AB68" s="35" t="n"/>
      <c r="AD68" s="36" t="n"/>
      <c r="AE68" s="36" t="n"/>
      <c r="AF68" s="36" t="n"/>
      <c r="AK68" s="37">
        <f>IF($A68="","",IF(GradeRule="quantile",$I68,$F68))</f>
        <v/>
      </c>
      <c r="AL68" s="38">
        <f>IF($A68="","",CHOOSE(MATCH($AK68,{"S","A","B","C"},0),PD_S,PD_A,PD_B,PD_C))</f>
        <v/>
      </c>
      <c r="AM68" s="38">
        <f>IF($A68="","",IF($AH68=1,1,$AL68))</f>
        <v/>
      </c>
      <c r="AN68" s="38">
        <f>IF($A68="","",IF(OR($U68="LC_SIGHT",$U68="LC_USANCE"),LGD_LC,LGD))</f>
        <v/>
      </c>
      <c r="AO68" s="38">
        <f>IF($A68="","",IF($W68="Y",Cov,0))</f>
        <v/>
      </c>
      <c r="AP68" s="38">
        <f>IF($A68="","",CHOOSE(MATCH($AK68,{"S","A","B","C"},0),Spread_S,Spread_A,Spread_B,Spread_C))</f>
        <v/>
      </c>
      <c r="AQ68" s="38">
        <f>IF($A68="","",CHOOSE(MATCH($AK68,{"S","A","B","C"},0),Prem_S,Prem_A,Prem_B,Prem_C))</f>
        <v/>
      </c>
      <c r="AR68" s="39">
        <f>IF(OR($A68="",$V68&lt;=0),"",TSOFR3M+$AP68+$AL68*$AN68)</f>
        <v/>
      </c>
      <c r="AS68" s="39">
        <f>IF(OR($A68="",$V68&lt;=0),"",TSOFR3M+$AP68+$AQ68*365/$V68+$AL68*$AN68*(1-Cov))</f>
        <v/>
      </c>
      <c r="AT68" s="39">
        <f>IF(OR($A68="",$V68&lt;=0),"",IF($W68="Y",$AS68,$AR68))</f>
        <v/>
      </c>
      <c r="AU68" s="37">
        <f>IF(OR($A68="",$V68&lt;=0),"",IF($AS68&lt;$AR68,"부보 유리","무보험 유리"))</f>
        <v/>
      </c>
      <c r="AV68" s="40">
        <f>IF($A68="","",$Y68*($V68+Grace)/30)</f>
        <v/>
      </c>
      <c r="AW68" s="40">
        <f>IF($A68="","",CHOOSE(MATCH($AK68,{"S","A","B","C"},0),$AV68,Cap_A,Cap_B,Cap_C_OA))</f>
        <v/>
      </c>
      <c r="AX68" s="40">
        <f>IF($A68="","",IF($W68="Y",$X68,0))</f>
        <v/>
      </c>
      <c r="AY68" s="40">
        <f>IF($A68="","",Equity_USD*CHOOSE(MATCH($AK68,{"S","A","B","C"},0),s_S,s_A,s_B,s_C))</f>
        <v/>
      </c>
      <c r="AZ68" s="37">
        <f>IF($A68="","",'13_EarlyWarning'!$AH71)</f>
        <v/>
      </c>
      <c r="BA68" s="37">
        <f>IF($A68="","",IF(OR($U68="LC_SIGHT",$U68="LC_USANCE",$U68="TT_ADV"),"대상 아님","대상"))</f>
        <v/>
      </c>
      <c r="BB68" s="40">
        <f>IF($A68="","",IF(OR($BA68="대상 아님",$AZ68&lt;&gt;"",$AH68=1),0,MIN($AV68,$AW68,$AX68+$AY68)))</f>
        <v/>
      </c>
      <c r="BC68" s="40">
        <f>IF($A68="","",IF($AG68=1,MIN(StratMin*$AB68,$BB68),0))</f>
        <v/>
      </c>
      <c r="BD68" s="41">
        <f>IF($A68="","",IF(OR($V68&lt;=0,$BB68&lt;=0),0,Util*(GM*365/$V68-$AT68)))</f>
        <v/>
      </c>
      <c r="BE68" s="42">
        <f>IF($A68="","",Util*$AL68*$AN68*(1-$AO68))</f>
        <v/>
      </c>
      <c r="BF68" s="37">
        <f>IF($A68="","",IF($AC68="","0-2",IF($AC68&lt;=2,"0-2",IF($AC68=3,"3",IF($AC68&lt;=5,"4-5","6-7")))))</f>
        <v/>
      </c>
      <c r="BG68" s="40">
        <f>IF($A68="","",$Z68*$AM68*$AN68*(1-$AO68))</f>
        <v/>
      </c>
      <c r="BH68" s="40">
        <f>IF($A68="","",$Z68*(TSOFR3M+$AP68)*$V68/DayBasis)</f>
        <v/>
      </c>
      <c r="BI68" s="43">
        <f>IF($A68="","",$C68+$Z68*1E-13)</f>
        <v/>
      </c>
    </row>
    <row r="69">
      <c r="B69" s="32" t="n"/>
      <c r="C69" s="33" t="n"/>
      <c r="E69" s="33" t="n"/>
      <c r="H69" s="34" t="n"/>
      <c r="X69" s="35" t="n"/>
      <c r="Y69" s="35" t="n"/>
      <c r="Z69" s="35" t="n"/>
      <c r="AA69" s="35" t="n"/>
      <c r="AB69" s="35" t="n"/>
      <c r="AD69" s="36" t="n"/>
      <c r="AE69" s="36" t="n"/>
      <c r="AF69" s="36" t="n"/>
      <c r="AK69" s="37">
        <f>IF($A69="","",IF(GradeRule="quantile",$I69,$F69))</f>
        <v/>
      </c>
      <c r="AL69" s="38">
        <f>IF($A69="","",CHOOSE(MATCH($AK69,{"S","A","B","C"},0),PD_S,PD_A,PD_B,PD_C))</f>
        <v/>
      </c>
      <c r="AM69" s="38">
        <f>IF($A69="","",IF($AH69=1,1,$AL69))</f>
        <v/>
      </c>
      <c r="AN69" s="38">
        <f>IF($A69="","",IF(OR($U69="LC_SIGHT",$U69="LC_USANCE"),LGD_LC,LGD))</f>
        <v/>
      </c>
      <c r="AO69" s="38">
        <f>IF($A69="","",IF($W69="Y",Cov,0))</f>
        <v/>
      </c>
      <c r="AP69" s="38">
        <f>IF($A69="","",CHOOSE(MATCH($AK69,{"S","A","B","C"},0),Spread_S,Spread_A,Spread_B,Spread_C))</f>
        <v/>
      </c>
      <c r="AQ69" s="38">
        <f>IF($A69="","",CHOOSE(MATCH($AK69,{"S","A","B","C"},0),Prem_S,Prem_A,Prem_B,Prem_C))</f>
        <v/>
      </c>
      <c r="AR69" s="39">
        <f>IF(OR($A69="",$V69&lt;=0),"",TSOFR3M+$AP69+$AL69*$AN69)</f>
        <v/>
      </c>
      <c r="AS69" s="39">
        <f>IF(OR($A69="",$V69&lt;=0),"",TSOFR3M+$AP69+$AQ69*365/$V69+$AL69*$AN69*(1-Cov))</f>
        <v/>
      </c>
      <c r="AT69" s="39">
        <f>IF(OR($A69="",$V69&lt;=0),"",IF($W69="Y",$AS69,$AR69))</f>
        <v/>
      </c>
      <c r="AU69" s="37">
        <f>IF(OR($A69="",$V69&lt;=0),"",IF($AS69&lt;$AR69,"부보 유리","무보험 유리"))</f>
        <v/>
      </c>
      <c r="AV69" s="40">
        <f>IF($A69="","",$Y69*($V69+Grace)/30)</f>
        <v/>
      </c>
      <c r="AW69" s="40">
        <f>IF($A69="","",CHOOSE(MATCH($AK69,{"S","A","B","C"},0),$AV69,Cap_A,Cap_B,Cap_C_OA))</f>
        <v/>
      </c>
      <c r="AX69" s="40">
        <f>IF($A69="","",IF($W69="Y",$X69,0))</f>
        <v/>
      </c>
      <c r="AY69" s="40">
        <f>IF($A69="","",Equity_USD*CHOOSE(MATCH($AK69,{"S","A","B","C"},0),s_S,s_A,s_B,s_C))</f>
        <v/>
      </c>
      <c r="AZ69" s="37">
        <f>IF($A69="","",'13_EarlyWarning'!$AH72)</f>
        <v/>
      </c>
      <c r="BA69" s="37">
        <f>IF($A69="","",IF(OR($U69="LC_SIGHT",$U69="LC_USANCE",$U69="TT_ADV"),"대상 아님","대상"))</f>
        <v/>
      </c>
      <c r="BB69" s="40">
        <f>IF($A69="","",IF(OR($BA69="대상 아님",$AZ69&lt;&gt;"",$AH69=1),0,MIN($AV69,$AW69,$AX69+$AY69)))</f>
        <v/>
      </c>
      <c r="BC69" s="40">
        <f>IF($A69="","",IF($AG69=1,MIN(StratMin*$AB69,$BB69),0))</f>
        <v/>
      </c>
      <c r="BD69" s="41">
        <f>IF($A69="","",IF(OR($V69&lt;=0,$BB69&lt;=0),0,Util*(GM*365/$V69-$AT69)))</f>
        <v/>
      </c>
      <c r="BE69" s="42">
        <f>IF($A69="","",Util*$AL69*$AN69*(1-$AO69))</f>
        <v/>
      </c>
      <c r="BF69" s="37">
        <f>IF($A69="","",IF($AC69="","0-2",IF($AC69&lt;=2,"0-2",IF($AC69=3,"3",IF($AC69&lt;=5,"4-5","6-7")))))</f>
        <v/>
      </c>
      <c r="BG69" s="40">
        <f>IF($A69="","",$Z69*$AM69*$AN69*(1-$AO69))</f>
        <v/>
      </c>
      <c r="BH69" s="40">
        <f>IF($A69="","",$Z69*(TSOFR3M+$AP69)*$V69/DayBasis)</f>
        <v/>
      </c>
      <c r="BI69" s="43">
        <f>IF($A69="","",$C69+$Z69*1E-13)</f>
        <v/>
      </c>
    </row>
    <row r="70">
      <c r="B70" s="32" t="n"/>
      <c r="C70" s="33" t="n"/>
      <c r="E70" s="33" t="n"/>
      <c r="H70" s="34" t="n"/>
      <c r="X70" s="35" t="n"/>
      <c r="Y70" s="35" t="n"/>
      <c r="Z70" s="35" t="n"/>
      <c r="AA70" s="35" t="n"/>
      <c r="AB70" s="35" t="n"/>
      <c r="AD70" s="36" t="n"/>
      <c r="AE70" s="36" t="n"/>
      <c r="AF70" s="36" t="n"/>
      <c r="AK70" s="37">
        <f>IF($A70="","",IF(GradeRule="quantile",$I70,$F70))</f>
        <v/>
      </c>
      <c r="AL70" s="38">
        <f>IF($A70="","",CHOOSE(MATCH($AK70,{"S","A","B","C"},0),PD_S,PD_A,PD_B,PD_C))</f>
        <v/>
      </c>
      <c r="AM70" s="38">
        <f>IF($A70="","",IF($AH70=1,1,$AL70))</f>
        <v/>
      </c>
      <c r="AN70" s="38">
        <f>IF($A70="","",IF(OR($U70="LC_SIGHT",$U70="LC_USANCE"),LGD_LC,LGD))</f>
        <v/>
      </c>
      <c r="AO70" s="38">
        <f>IF($A70="","",IF($W70="Y",Cov,0))</f>
        <v/>
      </c>
      <c r="AP70" s="38">
        <f>IF($A70="","",CHOOSE(MATCH($AK70,{"S","A","B","C"},0),Spread_S,Spread_A,Spread_B,Spread_C))</f>
        <v/>
      </c>
      <c r="AQ70" s="38">
        <f>IF($A70="","",CHOOSE(MATCH($AK70,{"S","A","B","C"},0),Prem_S,Prem_A,Prem_B,Prem_C))</f>
        <v/>
      </c>
      <c r="AR70" s="39">
        <f>IF(OR($A70="",$V70&lt;=0),"",TSOFR3M+$AP70+$AL70*$AN70)</f>
        <v/>
      </c>
      <c r="AS70" s="39">
        <f>IF(OR($A70="",$V70&lt;=0),"",TSOFR3M+$AP70+$AQ70*365/$V70+$AL70*$AN70*(1-Cov))</f>
        <v/>
      </c>
      <c r="AT70" s="39">
        <f>IF(OR($A70="",$V70&lt;=0),"",IF($W70="Y",$AS70,$AR70))</f>
        <v/>
      </c>
      <c r="AU70" s="37">
        <f>IF(OR($A70="",$V70&lt;=0),"",IF($AS70&lt;$AR70,"부보 유리","무보험 유리"))</f>
        <v/>
      </c>
      <c r="AV70" s="40">
        <f>IF($A70="","",$Y70*($V70+Grace)/30)</f>
        <v/>
      </c>
      <c r="AW70" s="40">
        <f>IF($A70="","",CHOOSE(MATCH($AK70,{"S","A","B","C"},0),$AV70,Cap_A,Cap_B,Cap_C_OA))</f>
        <v/>
      </c>
      <c r="AX70" s="40">
        <f>IF($A70="","",IF($W70="Y",$X70,0))</f>
        <v/>
      </c>
      <c r="AY70" s="40">
        <f>IF($A70="","",Equity_USD*CHOOSE(MATCH($AK70,{"S","A","B","C"},0),s_S,s_A,s_B,s_C))</f>
        <v/>
      </c>
      <c r="AZ70" s="37">
        <f>IF($A70="","",'13_EarlyWarning'!$AH73)</f>
        <v/>
      </c>
      <c r="BA70" s="37">
        <f>IF($A70="","",IF(OR($U70="LC_SIGHT",$U70="LC_USANCE",$U70="TT_ADV"),"대상 아님","대상"))</f>
        <v/>
      </c>
      <c r="BB70" s="40">
        <f>IF($A70="","",IF(OR($BA70="대상 아님",$AZ70&lt;&gt;"",$AH70=1),0,MIN($AV70,$AW70,$AX70+$AY70)))</f>
        <v/>
      </c>
      <c r="BC70" s="40">
        <f>IF($A70="","",IF($AG70=1,MIN(StratMin*$AB70,$BB70),0))</f>
        <v/>
      </c>
      <c r="BD70" s="41">
        <f>IF($A70="","",IF(OR($V70&lt;=0,$BB70&lt;=0),0,Util*(GM*365/$V70-$AT70)))</f>
        <v/>
      </c>
      <c r="BE70" s="42">
        <f>IF($A70="","",Util*$AL70*$AN70*(1-$AO70))</f>
        <v/>
      </c>
      <c r="BF70" s="37">
        <f>IF($A70="","",IF($AC70="","0-2",IF($AC70&lt;=2,"0-2",IF($AC70=3,"3",IF($AC70&lt;=5,"4-5","6-7")))))</f>
        <v/>
      </c>
      <c r="BG70" s="40">
        <f>IF($A70="","",$Z70*$AM70*$AN70*(1-$AO70))</f>
        <v/>
      </c>
      <c r="BH70" s="40">
        <f>IF($A70="","",$Z70*(TSOFR3M+$AP70)*$V70/DayBasis)</f>
        <v/>
      </c>
      <c r="BI70" s="43">
        <f>IF($A70="","",$C70+$Z70*1E-13)</f>
        <v/>
      </c>
    </row>
    <row r="71">
      <c r="B71" s="32" t="n"/>
      <c r="C71" s="33" t="n"/>
      <c r="E71" s="33" t="n"/>
      <c r="H71" s="34" t="n"/>
      <c r="X71" s="35" t="n"/>
      <c r="Y71" s="35" t="n"/>
      <c r="Z71" s="35" t="n"/>
      <c r="AA71" s="35" t="n"/>
      <c r="AB71" s="35" t="n"/>
      <c r="AD71" s="36" t="n"/>
      <c r="AE71" s="36" t="n"/>
      <c r="AF71" s="36" t="n"/>
      <c r="AK71" s="37">
        <f>IF($A71="","",IF(GradeRule="quantile",$I71,$F71))</f>
        <v/>
      </c>
      <c r="AL71" s="38">
        <f>IF($A71="","",CHOOSE(MATCH($AK71,{"S","A","B","C"},0),PD_S,PD_A,PD_B,PD_C))</f>
        <v/>
      </c>
      <c r="AM71" s="38">
        <f>IF($A71="","",IF($AH71=1,1,$AL71))</f>
        <v/>
      </c>
      <c r="AN71" s="38">
        <f>IF($A71="","",IF(OR($U71="LC_SIGHT",$U71="LC_USANCE"),LGD_LC,LGD))</f>
        <v/>
      </c>
      <c r="AO71" s="38">
        <f>IF($A71="","",IF($W71="Y",Cov,0))</f>
        <v/>
      </c>
      <c r="AP71" s="38">
        <f>IF($A71="","",CHOOSE(MATCH($AK71,{"S","A","B","C"},0),Spread_S,Spread_A,Spread_B,Spread_C))</f>
        <v/>
      </c>
      <c r="AQ71" s="38">
        <f>IF($A71="","",CHOOSE(MATCH($AK71,{"S","A","B","C"},0),Prem_S,Prem_A,Prem_B,Prem_C))</f>
        <v/>
      </c>
      <c r="AR71" s="39">
        <f>IF(OR($A71="",$V71&lt;=0),"",TSOFR3M+$AP71+$AL71*$AN71)</f>
        <v/>
      </c>
      <c r="AS71" s="39">
        <f>IF(OR($A71="",$V71&lt;=0),"",TSOFR3M+$AP71+$AQ71*365/$V71+$AL71*$AN71*(1-Cov))</f>
        <v/>
      </c>
      <c r="AT71" s="39">
        <f>IF(OR($A71="",$V71&lt;=0),"",IF($W71="Y",$AS71,$AR71))</f>
        <v/>
      </c>
      <c r="AU71" s="37">
        <f>IF(OR($A71="",$V71&lt;=0),"",IF($AS71&lt;$AR71,"부보 유리","무보험 유리"))</f>
        <v/>
      </c>
      <c r="AV71" s="40">
        <f>IF($A71="","",$Y71*($V71+Grace)/30)</f>
        <v/>
      </c>
      <c r="AW71" s="40">
        <f>IF($A71="","",CHOOSE(MATCH($AK71,{"S","A","B","C"},0),$AV71,Cap_A,Cap_B,Cap_C_OA))</f>
        <v/>
      </c>
      <c r="AX71" s="40">
        <f>IF($A71="","",IF($W71="Y",$X71,0))</f>
        <v/>
      </c>
      <c r="AY71" s="40">
        <f>IF($A71="","",Equity_USD*CHOOSE(MATCH($AK71,{"S","A","B","C"},0),s_S,s_A,s_B,s_C))</f>
        <v/>
      </c>
      <c r="AZ71" s="37">
        <f>IF($A71="","",'13_EarlyWarning'!$AH74)</f>
        <v/>
      </c>
      <c r="BA71" s="37">
        <f>IF($A71="","",IF(OR($U71="LC_SIGHT",$U71="LC_USANCE",$U71="TT_ADV"),"대상 아님","대상"))</f>
        <v/>
      </c>
      <c r="BB71" s="40">
        <f>IF($A71="","",IF(OR($BA71="대상 아님",$AZ71&lt;&gt;"",$AH71=1),0,MIN($AV71,$AW71,$AX71+$AY71)))</f>
        <v/>
      </c>
      <c r="BC71" s="40">
        <f>IF($A71="","",IF($AG71=1,MIN(StratMin*$AB71,$BB71),0))</f>
        <v/>
      </c>
      <c r="BD71" s="41">
        <f>IF($A71="","",IF(OR($V71&lt;=0,$BB71&lt;=0),0,Util*(GM*365/$V71-$AT71)))</f>
        <v/>
      </c>
      <c r="BE71" s="42">
        <f>IF($A71="","",Util*$AL71*$AN71*(1-$AO71))</f>
        <v/>
      </c>
      <c r="BF71" s="37">
        <f>IF($A71="","",IF($AC71="","0-2",IF($AC71&lt;=2,"0-2",IF($AC71=3,"3",IF($AC71&lt;=5,"4-5","6-7")))))</f>
        <v/>
      </c>
      <c r="BG71" s="40">
        <f>IF($A71="","",$Z71*$AM71*$AN71*(1-$AO71))</f>
        <v/>
      </c>
      <c r="BH71" s="40">
        <f>IF($A71="","",$Z71*(TSOFR3M+$AP71)*$V71/DayBasis)</f>
        <v/>
      </c>
      <c r="BI71" s="43">
        <f>IF($A71="","",$C71+$Z71*1E-13)</f>
        <v/>
      </c>
    </row>
    <row r="72">
      <c r="B72" s="32" t="n"/>
      <c r="C72" s="33" t="n"/>
      <c r="E72" s="33" t="n"/>
      <c r="H72" s="34" t="n"/>
      <c r="X72" s="35" t="n"/>
      <c r="Y72" s="35" t="n"/>
      <c r="Z72" s="35" t="n"/>
      <c r="AA72" s="35" t="n"/>
      <c r="AB72" s="35" t="n"/>
      <c r="AD72" s="36" t="n"/>
      <c r="AE72" s="36" t="n"/>
      <c r="AF72" s="36" t="n"/>
      <c r="AK72" s="37">
        <f>IF($A72="","",IF(GradeRule="quantile",$I72,$F72))</f>
        <v/>
      </c>
      <c r="AL72" s="38">
        <f>IF($A72="","",CHOOSE(MATCH($AK72,{"S","A","B","C"},0),PD_S,PD_A,PD_B,PD_C))</f>
        <v/>
      </c>
      <c r="AM72" s="38">
        <f>IF($A72="","",IF($AH72=1,1,$AL72))</f>
        <v/>
      </c>
      <c r="AN72" s="38">
        <f>IF($A72="","",IF(OR($U72="LC_SIGHT",$U72="LC_USANCE"),LGD_LC,LGD))</f>
        <v/>
      </c>
      <c r="AO72" s="38">
        <f>IF($A72="","",IF($W72="Y",Cov,0))</f>
        <v/>
      </c>
      <c r="AP72" s="38">
        <f>IF($A72="","",CHOOSE(MATCH($AK72,{"S","A","B","C"},0),Spread_S,Spread_A,Spread_B,Spread_C))</f>
        <v/>
      </c>
      <c r="AQ72" s="38">
        <f>IF($A72="","",CHOOSE(MATCH($AK72,{"S","A","B","C"},0),Prem_S,Prem_A,Prem_B,Prem_C))</f>
        <v/>
      </c>
      <c r="AR72" s="39">
        <f>IF(OR($A72="",$V72&lt;=0),"",TSOFR3M+$AP72+$AL72*$AN72)</f>
        <v/>
      </c>
      <c r="AS72" s="39">
        <f>IF(OR($A72="",$V72&lt;=0),"",TSOFR3M+$AP72+$AQ72*365/$V72+$AL72*$AN72*(1-Cov))</f>
        <v/>
      </c>
      <c r="AT72" s="39">
        <f>IF(OR($A72="",$V72&lt;=0),"",IF($W72="Y",$AS72,$AR72))</f>
        <v/>
      </c>
      <c r="AU72" s="37">
        <f>IF(OR($A72="",$V72&lt;=0),"",IF($AS72&lt;$AR72,"부보 유리","무보험 유리"))</f>
        <v/>
      </c>
      <c r="AV72" s="40">
        <f>IF($A72="","",$Y72*($V72+Grace)/30)</f>
        <v/>
      </c>
      <c r="AW72" s="40">
        <f>IF($A72="","",CHOOSE(MATCH($AK72,{"S","A","B","C"},0),$AV72,Cap_A,Cap_B,Cap_C_OA))</f>
        <v/>
      </c>
      <c r="AX72" s="40">
        <f>IF($A72="","",IF($W72="Y",$X72,0))</f>
        <v/>
      </c>
      <c r="AY72" s="40">
        <f>IF($A72="","",Equity_USD*CHOOSE(MATCH($AK72,{"S","A","B","C"},0),s_S,s_A,s_B,s_C))</f>
        <v/>
      </c>
      <c r="AZ72" s="37">
        <f>IF($A72="","",'13_EarlyWarning'!$AH75)</f>
        <v/>
      </c>
      <c r="BA72" s="37">
        <f>IF($A72="","",IF(OR($U72="LC_SIGHT",$U72="LC_USANCE",$U72="TT_ADV"),"대상 아님","대상"))</f>
        <v/>
      </c>
      <c r="BB72" s="40">
        <f>IF($A72="","",IF(OR($BA72="대상 아님",$AZ72&lt;&gt;"",$AH72=1),0,MIN($AV72,$AW72,$AX72+$AY72)))</f>
        <v/>
      </c>
      <c r="BC72" s="40">
        <f>IF($A72="","",IF($AG72=1,MIN(StratMin*$AB72,$BB72),0))</f>
        <v/>
      </c>
      <c r="BD72" s="41">
        <f>IF($A72="","",IF(OR($V72&lt;=0,$BB72&lt;=0),0,Util*(GM*365/$V72-$AT72)))</f>
        <v/>
      </c>
      <c r="BE72" s="42">
        <f>IF($A72="","",Util*$AL72*$AN72*(1-$AO72))</f>
        <v/>
      </c>
      <c r="BF72" s="37">
        <f>IF($A72="","",IF($AC72="","0-2",IF($AC72&lt;=2,"0-2",IF($AC72=3,"3",IF($AC72&lt;=5,"4-5","6-7")))))</f>
        <v/>
      </c>
      <c r="BG72" s="40">
        <f>IF($A72="","",$Z72*$AM72*$AN72*(1-$AO72))</f>
        <v/>
      </c>
      <c r="BH72" s="40">
        <f>IF($A72="","",$Z72*(TSOFR3M+$AP72)*$V72/DayBasis)</f>
        <v/>
      </c>
      <c r="BI72" s="43">
        <f>IF($A72="","",$C72+$Z72*1E-13)</f>
        <v/>
      </c>
    </row>
    <row r="73">
      <c r="B73" s="32" t="n"/>
      <c r="C73" s="33" t="n"/>
      <c r="E73" s="33" t="n"/>
      <c r="H73" s="34" t="n"/>
      <c r="X73" s="35" t="n"/>
      <c r="Y73" s="35" t="n"/>
      <c r="Z73" s="35" t="n"/>
      <c r="AA73" s="35" t="n"/>
      <c r="AB73" s="35" t="n"/>
      <c r="AD73" s="36" t="n"/>
      <c r="AE73" s="36" t="n"/>
      <c r="AF73" s="36" t="n"/>
      <c r="AK73" s="37">
        <f>IF($A73="","",IF(GradeRule="quantile",$I73,$F73))</f>
        <v/>
      </c>
      <c r="AL73" s="38">
        <f>IF($A73="","",CHOOSE(MATCH($AK73,{"S","A","B","C"},0),PD_S,PD_A,PD_B,PD_C))</f>
        <v/>
      </c>
      <c r="AM73" s="38">
        <f>IF($A73="","",IF($AH73=1,1,$AL73))</f>
        <v/>
      </c>
      <c r="AN73" s="38">
        <f>IF($A73="","",IF(OR($U73="LC_SIGHT",$U73="LC_USANCE"),LGD_LC,LGD))</f>
        <v/>
      </c>
      <c r="AO73" s="38">
        <f>IF($A73="","",IF($W73="Y",Cov,0))</f>
        <v/>
      </c>
      <c r="AP73" s="38">
        <f>IF($A73="","",CHOOSE(MATCH($AK73,{"S","A","B","C"},0),Spread_S,Spread_A,Spread_B,Spread_C))</f>
        <v/>
      </c>
      <c r="AQ73" s="38">
        <f>IF($A73="","",CHOOSE(MATCH($AK73,{"S","A","B","C"},0),Prem_S,Prem_A,Prem_B,Prem_C))</f>
        <v/>
      </c>
      <c r="AR73" s="39">
        <f>IF(OR($A73="",$V73&lt;=0),"",TSOFR3M+$AP73+$AL73*$AN73)</f>
        <v/>
      </c>
      <c r="AS73" s="39">
        <f>IF(OR($A73="",$V73&lt;=0),"",TSOFR3M+$AP73+$AQ73*365/$V73+$AL73*$AN73*(1-Cov))</f>
        <v/>
      </c>
      <c r="AT73" s="39">
        <f>IF(OR($A73="",$V73&lt;=0),"",IF($W73="Y",$AS73,$AR73))</f>
        <v/>
      </c>
      <c r="AU73" s="37">
        <f>IF(OR($A73="",$V73&lt;=0),"",IF($AS73&lt;$AR73,"부보 유리","무보험 유리"))</f>
        <v/>
      </c>
      <c r="AV73" s="40">
        <f>IF($A73="","",$Y73*($V73+Grace)/30)</f>
        <v/>
      </c>
      <c r="AW73" s="40">
        <f>IF($A73="","",CHOOSE(MATCH($AK73,{"S","A","B","C"},0),$AV73,Cap_A,Cap_B,Cap_C_OA))</f>
        <v/>
      </c>
      <c r="AX73" s="40">
        <f>IF($A73="","",IF($W73="Y",$X73,0))</f>
        <v/>
      </c>
      <c r="AY73" s="40">
        <f>IF($A73="","",Equity_USD*CHOOSE(MATCH($AK73,{"S","A","B","C"},0),s_S,s_A,s_B,s_C))</f>
        <v/>
      </c>
      <c r="AZ73" s="37">
        <f>IF($A73="","",'13_EarlyWarning'!$AH76)</f>
        <v/>
      </c>
      <c r="BA73" s="37">
        <f>IF($A73="","",IF(OR($U73="LC_SIGHT",$U73="LC_USANCE",$U73="TT_ADV"),"대상 아님","대상"))</f>
        <v/>
      </c>
      <c r="BB73" s="40">
        <f>IF($A73="","",IF(OR($BA73="대상 아님",$AZ73&lt;&gt;"",$AH73=1),0,MIN($AV73,$AW73,$AX73+$AY73)))</f>
        <v/>
      </c>
      <c r="BC73" s="40">
        <f>IF($A73="","",IF($AG73=1,MIN(StratMin*$AB73,$BB73),0))</f>
        <v/>
      </c>
      <c r="BD73" s="41">
        <f>IF($A73="","",IF(OR($V73&lt;=0,$BB73&lt;=0),0,Util*(GM*365/$V73-$AT73)))</f>
        <v/>
      </c>
      <c r="BE73" s="42">
        <f>IF($A73="","",Util*$AL73*$AN73*(1-$AO73))</f>
        <v/>
      </c>
      <c r="BF73" s="37">
        <f>IF($A73="","",IF($AC73="","0-2",IF($AC73&lt;=2,"0-2",IF($AC73=3,"3",IF($AC73&lt;=5,"4-5","6-7")))))</f>
        <v/>
      </c>
      <c r="BG73" s="40">
        <f>IF($A73="","",$Z73*$AM73*$AN73*(1-$AO73))</f>
        <v/>
      </c>
      <c r="BH73" s="40">
        <f>IF($A73="","",$Z73*(TSOFR3M+$AP73)*$V73/DayBasis)</f>
        <v/>
      </c>
      <c r="BI73" s="43">
        <f>IF($A73="","",$C73+$Z73*1E-13)</f>
        <v/>
      </c>
    </row>
    <row r="74">
      <c r="B74" s="32" t="n"/>
      <c r="C74" s="33" t="n"/>
      <c r="E74" s="33" t="n"/>
      <c r="H74" s="34" t="n"/>
      <c r="X74" s="35" t="n"/>
      <c r="Y74" s="35" t="n"/>
      <c r="Z74" s="35" t="n"/>
      <c r="AA74" s="35" t="n"/>
      <c r="AB74" s="35" t="n"/>
      <c r="AD74" s="36" t="n"/>
      <c r="AE74" s="36" t="n"/>
      <c r="AF74" s="36" t="n"/>
      <c r="AK74" s="37">
        <f>IF($A74="","",IF(GradeRule="quantile",$I74,$F74))</f>
        <v/>
      </c>
      <c r="AL74" s="38">
        <f>IF($A74="","",CHOOSE(MATCH($AK74,{"S","A","B","C"},0),PD_S,PD_A,PD_B,PD_C))</f>
        <v/>
      </c>
      <c r="AM74" s="38">
        <f>IF($A74="","",IF($AH74=1,1,$AL74))</f>
        <v/>
      </c>
      <c r="AN74" s="38">
        <f>IF($A74="","",IF(OR($U74="LC_SIGHT",$U74="LC_USANCE"),LGD_LC,LGD))</f>
        <v/>
      </c>
      <c r="AO74" s="38">
        <f>IF($A74="","",IF($W74="Y",Cov,0))</f>
        <v/>
      </c>
      <c r="AP74" s="38">
        <f>IF($A74="","",CHOOSE(MATCH($AK74,{"S","A","B","C"},0),Spread_S,Spread_A,Spread_B,Spread_C))</f>
        <v/>
      </c>
      <c r="AQ74" s="38">
        <f>IF($A74="","",CHOOSE(MATCH($AK74,{"S","A","B","C"},0),Prem_S,Prem_A,Prem_B,Prem_C))</f>
        <v/>
      </c>
      <c r="AR74" s="39">
        <f>IF(OR($A74="",$V74&lt;=0),"",TSOFR3M+$AP74+$AL74*$AN74)</f>
        <v/>
      </c>
      <c r="AS74" s="39">
        <f>IF(OR($A74="",$V74&lt;=0),"",TSOFR3M+$AP74+$AQ74*365/$V74+$AL74*$AN74*(1-Cov))</f>
        <v/>
      </c>
      <c r="AT74" s="39">
        <f>IF(OR($A74="",$V74&lt;=0),"",IF($W74="Y",$AS74,$AR74))</f>
        <v/>
      </c>
      <c r="AU74" s="37">
        <f>IF(OR($A74="",$V74&lt;=0),"",IF($AS74&lt;$AR74,"부보 유리","무보험 유리"))</f>
        <v/>
      </c>
      <c r="AV74" s="40">
        <f>IF($A74="","",$Y74*($V74+Grace)/30)</f>
        <v/>
      </c>
      <c r="AW74" s="40">
        <f>IF($A74="","",CHOOSE(MATCH($AK74,{"S","A","B","C"},0),$AV74,Cap_A,Cap_B,Cap_C_OA))</f>
        <v/>
      </c>
      <c r="AX74" s="40">
        <f>IF($A74="","",IF($W74="Y",$X74,0))</f>
        <v/>
      </c>
      <c r="AY74" s="40">
        <f>IF($A74="","",Equity_USD*CHOOSE(MATCH($AK74,{"S","A","B","C"},0),s_S,s_A,s_B,s_C))</f>
        <v/>
      </c>
      <c r="AZ74" s="37">
        <f>IF($A74="","",'13_EarlyWarning'!$AH77)</f>
        <v/>
      </c>
      <c r="BA74" s="37">
        <f>IF($A74="","",IF(OR($U74="LC_SIGHT",$U74="LC_USANCE",$U74="TT_ADV"),"대상 아님","대상"))</f>
        <v/>
      </c>
      <c r="BB74" s="40">
        <f>IF($A74="","",IF(OR($BA74="대상 아님",$AZ74&lt;&gt;"",$AH74=1),0,MIN($AV74,$AW74,$AX74+$AY74)))</f>
        <v/>
      </c>
      <c r="BC74" s="40">
        <f>IF($A74="","",IF($AG74=1,MIN(StratMin*$AB74,$BB74),0))</f>
        <v/>
      </c>
      <c r="BD74" s="41">
        <f>IF($A74="","",IF(OR($V74&lt;=0,$BB74&lt;=0),0,Util*(GM*365/$V74-$AT74)))</f>
        <v/>
      </c>
      <c r="BE74" s="42">
        <f>IF($A74="","",Util*$AL74*$AN74*(1-$AO74))</f>
        <v/>
      </c>
      <c r="BF74" s="37">
        <f>IF($A74="","",IF($AC74="","0-2",IF($AC74&lt;=2,"0-2",IF($AC74=3,"3",IF($AC74&lt;=5,"4-5","6-7")))))</f>
        <v/>
      </c>
      <c r="BG74" s="40">
        <f>IF($A74="","",$Z74*$AM74*$AN74*(1-$AO74))</f>
        <v/>
      </c>
      <c r="BH74" s="40">
        <f>IF($A74="","",$Z74*(TSOFR3M+$AP74)*$V74/DayBasis)</f>
        <v/>
      </c>
      <c r="BI74" s="43">
        <f>IF($A74="","",$C74+$Z74*1E-13)</f>
        <v/>
      </c>
    </row>
    <row r="75">
      <c r="B75" s="32" t="n"/>
      <c r="C75" s="33" t="n"/>
      <c r="E75" s="33" t="n"/>
      <c r="H75" s="34" t="n"/>
      <c r="X75" s="35" t="n"/>
      <c r="Y75" s="35" t="n"/>
      <c r="Z75" s="35" t="n"/>
      <c r="AA75" s="35" t="n"/>
      <c r="AB75" s="35" t="n"/>
      <c r="AD75" s="36" t="n"/>
      <c r="AE75" s="36" t="n"/>
      <c r="AF75" s="36" t="n"/>
      <c r="AK75" s="37">
        <f>IF($A75="","",IF(GradeRule="quantile",$I75,$F75))</f>
        <v/>
      </c>
      <c r="AL75" s="38">
        <f>IF($A75="","",CHOOSE(MATCH($AK75,{"S","A","B","C"},0),PD_S,PD_A,PD_B,PD_C))</f>
        <v/>
      </c>
      <c r="AM75" s="38">
        <f>IF($A75="","",IF($AH75=1,1,$AL75))</f>
        <v/>
      </c>
      <c r="AN75" s="38">
        <f>IF($A75="","",IF(OR($U75="LC_SIGHT",$U75="LC_USANCE"),LGD_LC,LGD))</f>
        <v/>
      </c>
      <c r="AO75" s="38">
        <f>IF($A75="","",IF($W75="Y",Cov,0))</f>
        <v/>
      </c>
      <c r="AP75" s="38">
        <f>IF($A75="","",CHOOSE(MATCH($AK75,{"S","A","B","C"},0),Spread_S,Spread_A,Spread_B,Spread_C))</f>
        <v/>
      </c>
      <c r="AQ75" s="38">
        <f>IF($A75="","",CHOOSE(MATCH($AK75,{"S","A","B","C"},0),Prem_S,Prem_A,Prem_B,Prem_C))</f>
        <v/>
      </c>
      <c r="AR75" s="39">
        <f>IF(OR($A75="",$V75&lt;=0),"",TSOFR3M+$AP75+$AL75*$AN75)</f>
        <v/>
      </c>
      <c r="AS75" s="39">
        <f>IF(OR($A75="",$V75&lt;=0),"",TSOFR3M+$AP75+$AQ75*365/$V75+$AL75*$AN75*(1-Cov))</f>
        <v/>
      </c>
      <c r="AT75" s="39">
        <f>IF(OR($A75="",$V75&lt;=0),"",IF($W75="Y",$AS75,$AR75))</f>
        <v/>
      </c>
      <c r="AU75" s="37">
        <f>IF(OR($A75="",$V75&lt;=0),"",IF($AS75&lt;$AR75,"부보 유리","무보험 유리"))</f>
        <v/>
      </c>
      <c r="AV75" s="40">
        <f>IF($A75="","",$Y75*($V75+Grace)/30)</f>
        <v/>
      </c>
      <c r="AW75" s="40">
        <f>IF($A75="","",CHOOSE(MATCH($AK75,{"S","A","B","C"},0),$AV75,Cap_A,Cap_B,Cap_C_OA))</f>
        <v/>
      </c>
      <c r="AX75" s="40">
        <f>IF($A75="","",IF($W75="Y",$X75,0))</f>
        <v/>
      </c>
      <c r="AY75" s="40">
        <f>IF($A75="","",Equity_USD*CHOOSE(MATCH($AK75,{"S","A","B","C"},0),s_S,s_A,s_B,s_C))</f>
        <v/>
      </c>
      <c r="AZ75" s="37">
        <f>IF($A75="","",'13_EarlyWarning'!$AH78)</f>
        <v/>
      </c>
      <c r="BA75" s="37">
        <f>IF($A75="","",IF(OR($U75="LC_SIGHT",$U75="LC_USANCE",$U75="TT_ADV"),"대상 아님","대상"))</f>
        <v/>
      </c>
      <c r="BB75" s="40">
        <f>IF($A75="","",IF(OR($BA75="대상 아님",$AZ75&lt;&gt;"",$AH75=1),0,MIN($AV75,$AW75,$AX75+$AY75)))</f>
        <v/>
      </c>
      <c r="BC75" s="40">
        <f>IF($A75="","",IF($AG75=1,MIN(StratMin*$AB75,$BB75),0))</f>
        <v/>
      </c>
      <c r="BD75" s="41">
        <f>IF($A75="","",IF(OR($V75&lt;=0,$BB75&lt;=0),0,Util*(GM*365/$V75-$AT75)))</f>
        <v/>
      </c>
      <c r="BE75" s="42">
        <f>IF($A75="","",Util*$AL75*$AN75*(1-$AO75))</f>
        <v/>
      </c>
      <c r="BF75" s="37">
        <f>IF($A75="","",IF($AC75="","0-2",IF($AC75&lt;=2,"0-2",IF($AC75=3,"3",IF($AC75&lt;=5,"4-5","6-7")))))</f>
        <v/>
      </c>
      <c r="BG75" s="40">
        <f>IF($A75="","",$Z75*$AM75*$AN75*(1-$AO75))</f>
        <v/>
      </c>
      <c r="BH75" s="40">
        <f>IF($A75="","",$Z75*(TSOFR3M+$AP75)*$V75/DayBasis)</f>
        <v/>
      </c>
      <c r="BI75" s="43">
        <f>IF($A75="","",$C75+$Z75*1E-13)</f>
        <v/>
      </c>
    </row>
    <row r="76">
      <c r="B76" s="32" t="n"/>
      <c r="C76" s="33" t="n"/>
      <c r="E76" s="33" t="n"/>
      <c r="H76" s="34" t="n"/>
      <c r="X76" s="35" t="n"/>
      <c r="Y76" s="35" t="n"/>
      <c r="Z76" s="35" t="n"/>
      <c r="AA76" s="35" t="n"/>
      <c r="AB76" s="35" t="n"/>
      <c r="AD76" s="36" t="n"/>
      <c r="AE76" s="36" t="n"/>
      <c r="AF76" s="36" t="n"/>
      <c r="AK76" s="37">
        <f>IF($A76="","",IF(GradeRule="quantile",$I76,$F76))</f>
        <v/>
      </c>
      <c r="AL76" s="38">
        <f>IF($A76="","",CHOOSE(MATCH($AK76,{"S","A","B","C"},0),PD_S,PD_A,PD_B,PD_C))</f>
        <v/>
      </c>
      <c r="AM76" s="38">
        <f>IF($A76="","",IF($AH76=1,1,$AL76))</f>
        <v/>
      </c>
      <c r="AN76" s="38">
        <f>IF($A76="","",IF(OR($U76="LC_SIGHT",$U76="LC_USANCE"),LGD_LC,LGD))</f>
        <v/>
      </c>
      <c r="AO76" s="38">
        <f>IF($A76="","",IF($W76="Y",Cov,0))</f>
        <v/>
      </c>
      <c r="AP76" s="38">
        <f>IF($A76="","",CHOOSE(MATCH($AK76,{"S","A","B","C"},0),Spread_S,Spread_A,Spread_B,Spread_C))</f>
        <v/>
      </c>
      <c r="AQ76" s="38">
        <f>IF($A76="","",CHOOSE(MATCH($AK76,{"S","A","B","C"},0),Prem_S,Prem_A,Prem_B,Prem_C))</f>
        <v/>
      </c>
      <c r="AR76" s="39">
        <f>IF(OR($A76="",$V76&lt;=0),"",TSOFR3M+$AP76+$AL76*$AN76)</f>
        <v/>
      </c>
      <c r="AS76" s="39">
        <f>IF(OR($A76="",$V76&lt;=0),"",TSOFR3M+$AP76+$AQ76*365/$V76+$AL76*$AN76*(1-Cov))</f>
        <v/>
      </c>
      <c r="AT76" s="39">
        <f>IF(OR($A76="",$V76&lt;=0),"",IF($W76="Y",$AS76,$AR76))</f>
        <v/>
      </c>
      <c r="AU76" s="37">
        <f>IF(OR($A76="",$V76&lt;=0),"",IF($AS76&lt;$AR76,"부보 유리","무보험 유리"))</f>
        <v/>
      </c>
      <c r="AV76" s="40">
        <f>IF($A76="","",$Y76*($V76+Grace)/30)</f>
        <v/>
      </c>
      <c r="AW76" s="40">
        <f>IF($A76="","",CHOOSE(MATCH($AK76,{"S","A","B","C"},0),$AV76,Cap_A,Cap_B,Cap_C_OA))</f>
        <v/>
      </c>
      <c r="AX76" s="40">
        <f>IF($A76="","",IF($W76="Y",$X76,0))</f>
        <v/>
      </c>
      <c r="AY76" s="40">
        <f>IF($A76="","",Equity_USD*CHOOSE(MATCH($AK76,{"S","A","B","C"},0),s_S,s_A,s_B,s_C))</f>
        <v/>
      </c>
      <c r="AZ76" s="37">
        <f>IF($A76="","",'13_EarlyWarning'!$AH79)</f>
        <v/>
      </c>
      <c r="BA76" s="37">
        <f>IF($A76="","",IF(OR($U76="LC_SIGHT",$U76="LC_USANCE",$U76="TT_ADV"),"대상 아님","대상"))</f>
        <v/>
      </c>
      <c r="BB76" s="40">
        <f>IF($A76="","",IF(OR($BA76="대상 아님",$AZ76&lt;&gt;"",$AH76=1),0,MIN($AV76,$AW76,$AX76+$AY76)))</f>
        <v/>
      </c>
      <c r="BC76" s="40">
        <f>IF($A76="","",IF($AG76=1,MIN(StratMin*$AB76,$BB76),0))</f>
        <v/>
      </c>
      <c r="BD76" s="41">
        <f>IF($A76="","",IF(OR($V76&lt;=0,$BB76&lt;=0),0,Util*(GM*365/$V76-$AT76)))</f>
        <v/>
      </c>
      <c r="BE76" s="42">
        <f>IF($A76="","",Util*$AL76*$AN76*(1-$AO76))</f>
        <v/>
      </c>
      <c r="BF76" s="37">
        <f>IF($A76="","",IF($AC76="","0-2",IF($AC76&lt;=2,"0-2",IF($AC76=3,"3",IF($AC76&lt;=5,"4-5","6-7")))))</f>
        <v/>
      </c>
      <c r="BG76" s="40">
        <f>IF($A76="","",$Z76*$AM76*$AN76*(1-$AO76))</f>
        <v/>
      </c>
      <c r="BH76" s="40">
        <f>IF($A76="","",$Z76*(TSOFR3M+$AP76)*$V76/DayBasis)</f>
        <v/>
      </c>
      <c r="BI76" s="43">
        <f>IF($A76="","",$C76+$Z76*1E-13)</f>
        <v/>
      </c>
    </row>
    <row r="77">
      <c r="B77" s="32" t="n"/>
      <c r="C77" s="33" t="n"/>
      <c r="E77" s="33" t="n"/>
      <c r="H77" s="34" t="n"/>
      <c r="X77" s="35" t="n"/>
      <c r="Y77" s="35" t="n"/>
      <c r="Z77" s="35" t="n"/>
      <c r="AA77" s="35" t="n"/>
      <c r="AB77" s="35" t="n"/>
      <c r="AD77" s="36" t="n"/>
      <c r="AE77" s="36" t="n"/>
      <c r="AF77" s="36" t="n"/>
      <c r="AK77" s="37">
        <f>IF($A77="","",IF(GradeRule="quantile",$I77,$F77))</f>
        <v/>
      </c>
      <c r="AL77" s="38">
        <f>IF($A77="","",CHOOSE(MATCH($AK77,{"S","A","B","C"},0),PD_S,PD_A,PD_B,PD_C))</f>
        <v/>
      </c>
      <c r="AM77" s="38">
        <f>IF($A77="","",IF($AH77=1,1,$AL77))</f>
        <v/>
      </c>
      <c r="AN77" s="38">
        <f>IF($A77="","",IF(OR($U77="LC_SIGHT",$U77="LC_USANCE"),LGD_LC,LGD))</f>
        <v/>
      </c>
      <c r="AO77" s="38">
        <f>IF($A77="","",IF($W77="Y",Cov,0))</f>
        <v/>
      </c>
      <c r="AP77" s="38">
        <f>IF($A77="","",CHOOSE(MATCH($AK77,{"S","A","B","C"},0),Spread_S,Spread_A,Spread_B,Spread_C))</f>
        <v/>
      </c>
      <c r="AQ77" s="38">
        <f>IF($A77="","",CHOOSE(MATCH($AK77,{"S","A","B","C"},0),Prem_S,Prem_A,Prem_B,Prem_C))</f>
        <v/>
      </c>
      <c r="AR77" s="39">
        <f>IF(OR($A77="",$V77&lt;=0),"",TSOFR3M+$AP77+$AL77*$AN77)</f>
        <v/>
      </c>
      <c r="AS77" s="39">
        <f>IF(OR($A77="",$V77&lt;=0),"",TSOFR3M+$AP77+$AQ77*365/$V77+$AL77*$AN77*(1-Cov))</f>
        <v/>
      </c>
      <c r="AT77" s="39">
        <f>IF(OR($A77="",$V77&lt;=0),"",IF($W77="Y",$AS77,$AR77))</f>
        <v/>
      </c>
      <c r="AU77" s="37">
        <f>IF(OR($A77="",$V77&lt;=0),"",IF($AS77&lt;$AR77,"부보 유리","무보험 유리"))</f>
        <v/>
      </c>
      <c r="AV77" s="40">
        <f>IF($A77="","",$Y77*($V77+Grace)/30)</f>
        <v/>
      </c>
      <c r="AW77" s="40">
        <f>IF($A77="","",CHOOSE(MATCH($AK77,{"S","A","B","C"},0),$AV77,Cap_A,Cap_B,Cap_C_OA))</f>
        <v/>
      </c>
      <c r="AX77" s="40">
        <f>IF($A77="","",IF($W77="Y",$X77,0))</f>
        <v/>
      </c>
      <c r="AY77" s="40">
        <f>IF($A77="","",Equity_USD*CHOOSE(MATCH($AK77,{"S","A","B","C"},0),s_S,s_A,s_B,s_C))</f>
        <v/>
      </c>
      <c r="AZ77" s="37">
        <f>IF($A77="","",'13_EarlyWarning'!$AH80)</f>
        <v/>
      </c>
      <c r="BA77" s="37">
        <f>IF($A77="","",IF(OR($U77="LC_SIGHT",$U77="LC_USANCE",$U77="TT_ADV"),"대상 아님","대상"))</f>
        <v/>
      </c>
      <c r="BB77" s="40">
        <f>IF($A77="","",IF(OR($BA77="대상 아님",$AZ77&lt;&gt;"",$AH77=1),0,MIN($AV77,$AW77,$AX77+$AY77)))</f>
        <v/>
      </c>
      <c r="BC77" s="40">
        <f>IF($A77="","",IF($AG77=1,MIN(StratMin*$AB77,$BB77),0))</f>
        <v/>
      </c>
      <c r="BD77" s="41">
        <f>IF($A77="","",IF(OR($V77&lt;=0,$BB77&lt;=0),0,Util*(GM*365/$V77-$AT77)))</f>
        <v/>
      </c>
      <c r="BE77" s="42">
        <f>IF($A77="","",Util*$AL77*$AN77*(1-$AO77))</f>
        <v/>
      </c>
      <c r="BF77" s="37">
        <f>IF($A77="","",IF($AC77="","0-2",IF($AC77&lt;=2,"0-2",IF($AC77=3,"3",IF($AC77&lt;=5,"4-5","6-7")))))</f>
        <v/>
      </c>
      <c r="BG77" s="40">
        <f>IF($A77="","",$Z77*$AM77*$AN77*(1-$AO77))</f>
        <v/>
      </c>
      <c r="BH77" s="40">
        <f>IF($A77="","",$Z77*(TSOFR3M+$AP77)*$V77/DayBasis)</f>
        <v/>
      </c>
      <c r="BI77" s="43">
        <f>IF($A77="","",$C77+$Z77*1E-13)</f>
        <v/>
      </c>
    </row>
    <row r="78">
      <c r="B78" s="32" t="n"/>
      <c r="C78" s="33" t="n"/>
      <c r="E78" s="33" t="n"/>
      <c r="H78" s="34" t="n"/>
      <c r="X78" s="35" t="n"/>
      <c r="Y78" s="35" t="n"/>
      <c r="Z78" s="35" t="n"/>
      <c r="AA78" s="35" t="n"/>
      <c r="AB78" s="35" t="n"/>
      <c r="AD78" s="36" t="n"/>
      <c r="AE78" s="36" t="n"/>
      <c r="AF78" s="36" t="n"/>
      <c r="AK78" s="37">
        <f>IF($A78="","",IF(GradeRule="quantile",$I78,$F78))</f>
        <v/>
      </c>
      <c r="AL78" s="38">
        <f>IF($A78="","",CHOOSE(MATCH($AK78,{"S","A","B","C"},0),PD_S,PD_A,PD_B,PD_C))</f>
        <v/>
      </c>
      <c r="AM78" s="38">
        <f>IF($A78="","",IF($AH78=1,1,$AL78))</f>
        <v/>
      </c>
      <c r="AN78" s="38">
        <f>IF($A78="","",IF(OR($U78="LC_SIGHT",$U78="LC_USANCE"),LGD_LC,LGD))</f>
        <v/>
      </c>
      <c r="AO78" s="38">
        <f>IF($A78="","",IF($W78="Y",Cov,0))</f>
        <v/>
      </c>
      <c r="AP78" s="38">
        <f>IF($A78="","",CHOOSE(MATCH($AK78,{"S","A","B","C"},0),Spread_S,Spread_A,Spread_B,Spread_C))</f>
        <v/>
      </c>
      <c r="AQ78" s="38">
        <f>IF($A78="","",CHOOSE(MATCH($AK78,{"S","A","B","C"},0),Prem_S,Prem_A,Prem_B,Prem_C))</f>
        <v/>
      </c>
      <c r="AR78" s="39">
        <f>IF(OR($A78="",$V78&lt;=0),"",TSOFR3M+$AP78+$AL78*$AN78)</f>
        <v/>
      </c>
      <c r="AS78" s="39">
        <f>IF(OR($A78="",$V78&lt;=0),"",TSOFR3M+$AP78+$AQ78*365/$V78+$AL78*$AN78*(1-Cov))</f>
        <v/>
      </c>
      <c r="AT78" s="39">
        <f>IF(OR($A78="",$V78&lt;=0),"",IF($W78="Y",$AS78,$AR78))</f>
        <v/>
      </c>
      <c r="AU78" s="37">
        <f>IF(OR($A78="",$V78&lt;=0),"",IF($AS78&lt;$AR78,"부보 유리","무보험 유리"))</f>
        <v/>
      </c>
      <c r="AV78" s="40">
        <f>IF($A78="","",$Y78*($V78+Grace)/30)</f>
        <v/>
      </c>
      <c r="AW78" s="40">
        <f>IF($A78="","",CHOOSE(MATCH($AK78,{"S","A","B","C"},0),$AV78,Cap_A,Cap_B,Cap_C_OA))</f>
        <v/>
      </c>
      <c r="AX78" s="40">
        <f>IF($A78="","",IF($W78="Y",$X78,0))</f>
        <v/>
      </c>
      <c r="AY78" s="40">
        <f>IF($A78="","",Equity_USD*CHOOSE(MATCH($AK78,{"S","A","B","C"},0),s_S,s_A,s_B,s_C))</f>
        <v/>
      </c>
      <c r="AZ78" s="37">
        <f>IF($A78="","",'13_EarlyWarning'!$AH81)</f>
        <v/>
      </c>
      <c r="BA78" s="37">
        <f>IF($A78="","",IF(OR($U78="LC_SIGHT",$U78="LC_USANCE",$U78="TT_ADV"),"대상 아님","대상"))</f>
        <v/>
      </c>
      <c r="BB78" s="40">
        <f>IF($A78="","",IF(OR($BA78="대상 아님",$AZ78&lt;&gt;"",$AH78=1),0,MIN($AV78,$AW78,$AX78+$AY78)))</f>
        <v/>
      </c>
      <c r="BC78" s="40">
        <f>IF($A78="","",IF($AG78=1,MIN(StratMin*$AB78,$BB78),0))</f>
        <v/>
      </c>
      <c r="BD78" s="41">
        <f>IF($A78="","",IF(OR($V78&lt;=0,$BB78&lt;=0),0,Util*(GM*365/$V78-$AT78)))</f>
        <v/>
      </c>
      <c r="BE78" s="42">
        <f>IF($A78="","",Util*$AL78*$AN78*(1-$AO78))</f>
        <v/>
      </c>
      <c r="BF78" s="37">
        <f>IF($A78="","",IF($AC78="","0-2",IF($AC78&lt;=2,"0-2",IF($AC78=3,"3",IF($AC78&lt;=5,"4-5","6-7")))))</f>
        <v/>
      </c>
      <c r="BG78" s="40">
        <f>IF($A78="","",$Z78*$AM78*$AN78*(1-$AO78))</f>
        <v/>
      </c>
      <c r="BH78" s="40">
        <f>IF($A78="","",$Z78*(TSOFR3M+$AP78)*$V78/DayBasis)</f>
        <v/>
      </c>
      <c r="BI78" s="43">
        <f>IF($A78="","",$C78+$Z78*1E-13)</f>
        <v/>
      </c>
    </row>
    <row r="79">
      <c r="B79" s="32" t="n"/>
      <c r="C79" s="33" t="n"/>
      <c r="E79" s="33" t="n"/>
      <c r="H79" s="34" t="n"/>
      <c r="X79" s="35" t="n"/>
      <c r="Y79" s="35" t="n"/>
      <c r="Z79" s="35" t="n"/>
      <c r="AA79" s="35" t="n"/>
      <c r="AB79" s="35" t="n"/>
      <c r="AD79" s="36" t="n"/>
      <c r="AE79" s="36" t="n"/>
      <c r="AF79" s="36" t="n"/>
      <c r="AK79" s="37">
        <f>IF($A79="","",IF(GradeRule="quantile",$I79,$F79))</f>
        <v/>
      </c>
      <c r="AL79" s="38">
        <f>IF($A79="","",CHOOSE(MATCH($AK79,{"S","A","B","C"},0),PD_S,PD_A,PD_B,PD_C))</f>
        <v/>
      </c>
      <c r="AM79" s="38">
        <f>IF($A79="","",IF($AH79=1,1,$AL79))</f>
        <v/>
      </c>
      <c r="AN79" s="38">
        <f>IF($A79="","",IF(OR($U79="LC_SIGHT",$U79="LC_USANCE"),LGD_LC,LGD))</f>
        <v/>
      </c>
      <c r="AO79" s="38">
        <f>IF($A79="","",IF($W79="Y",Cov,0))</f>
        <v/>
      </c>
      <c r="AP79" s="38">
        <f>IF($A79="","",CHOOSE(MATCH($AK79,{"S","A","B","C"},0),Spread_S,Spread_A,Spread_B,Spread_C))</f>
        <v/>
      </c>
      <c r="AQ79" s="38">
        <f>IF($A79="","",CHOOSE(MATCH($AK79,{"S","A","B","C"},0),Prem_S,Prem_A,Prem_B,Prem_C))</f>
        <v/>
      </c>
      <c r="AR79" s="39">
        <f>IF(OR($A79="",$V79&lt;=0),"",TSOFR3M+$AP79+$AL79*$AN79)</f>
        <v/>
      </c>
      <c r="AS79" s="39">
        <f>IF(OR($A79="",$V79&lt;=0),"",TSOFR3M+$AP79+$AQ79*365/$V79+$AL79*$AN79*(1-Cov))</f>
        <v/>
      </c>
      <c r="AT79" s="39">
        <f>IF(OR($A79="",$V79&lt;=0),"",IF($W79="Y",$AS79,$AR79))</f>
        <v/>
      </c>
      <c r="AU79" s="37">
        <f>IF(OR($A79="",$V79&lt;=0),"",IF($AS79&lt;$AR79,"부보 유리","무보험 유리"))</f>
        <v/>
      </c>
      <c r="AV79" s="40">
        <f>IF($A79="","",$Y79*($V79+Grace)/30)</f>
        <v/>
      </c>
      <c r="AW79" s="40">
        <f>IF($A79="","",CHOOSE(MATCH($AK79,{"S","A","B","C"},0),$AV79,Cap_A,Cap_B,Cap_C_OA))</f>
        <v/>
      </c>
      <c r="AX79" s="40">
        <f>IF($A79="","",IF($W79="Y",$X79,0))</f>
        <v/>
      </c>
      <c r="AY79" s="40">
        <f>IF($A79="","",Equity_USD*CHOOSE(MATCH($AK79,{"S","A","B","C"},0),s_S,s_A,s_B,s_C))</f>
        <v/>
      </c>
      <c r="AZ79" s="37">
        <f>IF($A79="","",'13_EarlyWarning'!$AH82)</f>
        <v/>
      </c>
      <c r="BA79" s="37">
        <f>IF($A79="","",IF(OR($U79="LC_SIGHT",$U79="LC_USANCE",$U79="TT_ADV"),"대상 아님","대상"))</f>
        <v/>
      </c>
      <c r="BB79" s="40">
        <f>IF($A79="","",IF(OR($BA79="대상 아님",$AZ79&lt;&gt;"",$AH79=1),0,MIN($AV79,$AW79,$AX79+$AY79)))</f>
        <v/>
      </c>
      <c r="BC79" s="40">
        <f>IF($A79="","",IF($AG79=1,MIN(StratMin*$AB79,$BB79),0))</f>
        <v/>
      </c>
      <c r="BD79" s="41">
        <f>IF($A79="","",IF(OR($V79&lt;=0,$BB79&lt;=0),0,Util*(GM*365/$V79-$AT79)))</f>
        <v/>
      </c>
      <c r="BE79" s="42">
        <f>IF($A79="","",Util*$AL79*$AN79*(1-$AO79))</f>
        <v/>
      </c>
      <c r="BF79" s="37">
        <f>IF($A79="","",IF($AC79="","0-2",IF($AC79&lt;=2,"0-2",IF($AC79=3,"3",IF($AC79&lt;=5,"4-5","6-7")))))</f>
        <v/>
      </c>
      <c r="BG79" s="40">
        <f>IF($A79="","",$Z79*$AM79*$AN79*(1-$AO79))</f>
        <v/>
      </c>
      <c r="BH79" s="40">
        <f>IF($A79="","",$Z79*(TSOFR3M+$AP79)*$V79/DayBasis)</f>
        <v/>
      </c>
      <c r="BI79" s="43">
        <f>IF($A79="","",$C79+$Z79*1E-13)</f>
        <v/>
      </c>
    </row>
    <row r="80">
      <c r="B80" s="32" t="n"/>
      <c r="C80" s="33" t="n"/>
      <c r="E80" s="33" t="n"/>
      <c r="H80" s="34" t="n"/>
      <c r="X80" s="35" t="n"/>
      <c r="Y80" s="35" t="n"/>
      <c r="Z80" s="35" t="n"/>
      <c r="AA80" s="35" t="n"/>
      <c r="AB80" s="35" t="n"/>
      <c r="AD80" s="36" t="n"/>
      <c r="AE80" s="36" t="n"/>
      <c r="AF80" s="36" t="n"/>
      <c r="AK80" s="37">
        <f>IF($A80="","",IF(GradeRule="quantile",$I80,$F80))</f>
        <v/>
      </c>
      <c r="AL80" s="38">
        <f>IF($A80="","",CHOOSE(MATCH($AK80,{"S","A","B","C"},0),PD_S,PD_A,PD_B,PD_C))</f>
        <v/>
      </c>
      <c r="AM80" s="38">
        <f>IF($A80="","",IF($AH80=1,1,$AL80))</f>
        <v/>
      </c>
      <c r="AN80" s="38">
        <f>IF($A80="","",IF(OR($U80="LC_SIGHT",$U80="LC_USANCE"),LGD_LC,LGD))</f>
        <v/>
      </c>
      <c r="AO80" s="38">
        <f>IF($A80="","",IF($W80="Y",Cov,0))</f>
        <v/>
      </c>
      <c r="AP80" s="38">
        <f>IF($A80="","",CHOOSE(MATCH($AK80,{"S","A","B","C"},0),Spread_S,Spread_A,Spread_B,Spread_C))</f>
        <v/>
      </c>
      <c r="AQ80" s="38">
        <f>IF($A80="","",CHOOSE(MATCH($AK80,{"S","A","B","C"},0),Prem_S,Prem_A,Prem_B,Prem_C))</f>
        <v/>
      </c>
      <c r="AR80" s="39">
        <f>IF(OR($A80="",$V80&lt;=0),"",TSOFR3M+$AP80+$AL80*$AN80)</f>
        <v/>
      </c>
      <c r="AS80" s="39">
        <f>IF(OR($A80="",$V80&lt;=0),"",TSOFR3M+$AP80+$AQ80*365/$V80+$AL80*$AN80*(1-Cov))</f>
        <v/>
      </c>
      <c r="AT80" s="39">
        <f>IF(OR($A80="",$V80&lt;=0),"",IF($W80="Y",$AS80,$AR80))</f>
        <v/>
      </c>
      <c r="AU80" s="37">
        <f>IF(OR($A80="",$V80&lt;=0),"",IF($AS80&lt;$AR80,"부보 유리","무보험 유리"))</f>
        <v/>
      </c>
      <c r="AV80" s="40">
        <f>IF($A80="","",$Y80*($V80+Grace)/30)</f>
        <v/>
      </c>
      <c r="AW80" s="40">
        <f>IF($A80="","",CHOOSE(MATCH($AK80,{"S","A","B","C"},0),$AV80,Cap_A,Cap_B,Cap_C_OA))</f>
        <v/>
      </c>
      <c r="AX80" s="40">
        <f>IF($A80="","",IF($W80="Y",$X80,0))</f>
        <v/>
      </c>
      <c r="AY80" s="40">
        <f>IF($A80="","",Equity_USD*CHOOSE(MATCH($AK80,{"S","A","B","C"},0),s_S,s_A,s_B,s_C))</f>
        <v/>
      </c>
      <c r="AZ80" s="37">
        <f>IF($A80="","",'13_EarlyWarning'!$AH83)</f>
        <v/>
      </c>
      <c r="BA80" s="37">
        <f>IF($A80="","",IF(OR($U80="LC_SIGHT",$U80="LC_USANCE",$U80="TT_ADV"),"대상 아님","대상"))</f>
        <v/>
      </c>
      <c r="BB80" s="40">
        <f>IF($A80="","",IF(OR($BA80="대상 아님",$AZ80&lt;&gt;"",$AH80=1),0,MIN($AV80,$AW80,$AX80+$AY80)))</f>
        <v/>
      </c>
      <c r="BC80" s="40">
        <f>IF($A80="","",IF($AG80=1,MIN(StratMin*$AB80,$BB80),0))</f>
        <v/>
      </c>
      <c r="BD80" s="41">
        <f>IF($A80="","",IF(OR($V80&lt;=0,$BB80&lt;=0),0,Util*(GM*365/$V80-$AT80)))</f>
        <v/>
      </c>
      <c r="BE80" s="42">
        <f>IF($A80="","",Util*$AL80*$AN80*(1-$AO80))</f>
        <v/>
      </c>
      <c r="BF80" s="37">
        <f>IF($A80="","",IF($AC80="","0-2",IF($AC80&lt;=2,"0-2",IF($AC80=3,"3",IF($AC80&lt;=5,"4-5","6-7")))))</f>
        <v/>
      </c>
      <c r="BG80" s="40">
        <f>IF($A80="","",$Z80*$AM80*$AN80*(1-$AO80))</f>
        <v/>
      </c>
      <c r="BH80" s="40">
        <f>IF($A80="","",$Z80*(TSOFR3M+$AP80)*$V80/DayBasis)</f>
        <v/>
      </c>
      <c r="BI80" s="43">
        <f>IF($A80="","",$C80+$Z80*1E-13)</f>
        <v/>
      </c>
    </row>
    <row r="81">
      <c r="B81" s="32" t="n"/>
      <c r="C81" s="33" t="n"/>
      <c r="E81" s="33" t="n"/>
      <c r="H81" s="34" t="n"/>
      <c r="X81" s="35" t="n"/>
      <c r="Y81" s="35" t="n"/>
      <c r="Z81" s="35" t="n"/>
      <c r="AA81" s="35" t="n"/>
      <c r="AB81" s="35" t="n"/>
      <c r="AD81" s="36" t="n"/>
      <c r="AE81" s="36" t="n"/>
      <c r="AF81" s="36" t="n"/>
      <c r="AK81" s="37">
        <f>IF($A81="","",IF(GradeRule="quantile",$I81,$F81))</f>
        <v/>
      </c>
      <c r="AL81" s="38">
        <f>IF($A81="","",CHOOSE(MATCH($AK81,{"S","A","B","C"},0),PD_S,PD_A,PD_B,PD_C))</f>
        <v/>
      </c>
      <c r="AM81" s="38">
        <f>IF($A81="","",IF($AH81=1,1,$AL81))</f>
        <v/>
      </c>
      <c r="AN81" s="38">
        <f>IF($A81="","",IF(OR($U81="LC_SIGHT",$U81="LC_USANCE"),LGD_LC,LGD))</f>
        <v/>
      </c>
      <c r="AO81" s="38">
        <f>IF($A81="","",IF($W81="Y",Cov,0))</f>
        <v/>
      </c>
      <c r="AP81" s="38">
        <f>IF($A81="","",CHOOSE(MATCH($AK81,{"S","A","B","C"},0),Spread_S,Spread_A,Spread_B,Spread_C))</f>
        <v/>
      </c>
      <c r="AQ81" s="38">
        <f>IF($A81="","",CHOOSE(MATCH($AK81,{"S","A","B","C"},0),Prem_S,Prem_A,Prem_B,Prem_C))</f>
        <v/>
      </c>
      <c r="AR81" s="39">
        <f>IF(OR($A81="",$V81&lt;=0),"",TSOFR3M+$AP81+$AL81*$AN81)</f>
        <v/>
      </c>
      <c r="AS81" s="39">
        <f>IF(OR($A81="",$V81&lt;=0),"",TSOFR3M+$AP81+$AQ81*365/$V81+$AL81*$AN81*(1-Cov))</f>
        <v/>
      </c>
      <c r="AT81" s="39">
        <f>IF(OR($A81="",$V81&lt;=0),"",IF($W81="Y",$AS81,$AR81))</f>
        <v/>
      </c>
      <c r="AU81" s="37">
        <f>IF(OR($A81="",$V81&lt;=0),"",IF($AS81&lt;$AR81,"부보 유리","무보험 유리"))</f>
        <v/>
      </c>
      <c r="AV81" s="40">
        <f>IF($A81="","",$Y81*($V81+Grace)/30)</f>
        <v/>
      </c>
      <c r="AW81" s="40">
        <f>IF($A81="","",CHOOSE(MATCH($AK81,{"S","A","B","C"},0),$AV81,Cap_A,Cap_B,Cap_C_OA))</f>
        <v/>
      </c>
      <c r="AX81" s="40">
        <f>IF($A81="","",IF($W81="Y",$X81,0))</f>
        <v/>
      </c>
      <c r="AY81" s="40">
        <f>IF($A81="","",Equity_USD*CHOOSE(MATCH($AK81,{"S","A","B","C"},0),s_S,s_A,s_B,s_C))</f>
        <v/>
      </c>
      <c r="AZ81" s="37">
        <f>IF($A81="","",'13_EarlyWarning'!$AH84)</f>
        <v/>
      </c>
      <c r="BA81" s="37">
        <f>IF($A81="","",IF(OR($U81="LC_SIGHT",$U81="LC_USANCE",$U81="TT_ADV"),"대상 아님","대상"))</f>
        <v/>
      </c>
      <c r="BB81" s="40">
        <f>IF($A81="","",IF(OR($BA81="대상 아님",$AZ81&lt;&gt;"",$AH81=1),0,MIN($AV81,$AW81,$AX81+$AY81)))</f>
        <v/>
      </c>
      <c r="BC81" s="40">
        <f>IF($A81="","",IF($AG81=1,MIN(StratMin*$AB81,$BB81),0))</f>
        <v/>
      </c>
      <c r="BD81" s="41">
        <f>IF($A81="","",IF(OR($V81&lt;=0,$BB81&lt;=0),0,Util*(GM*365/$V81-$AT81)))</f>
        <v/>
      </c>
      <c r="BE81" s="42">
        <f>IF($A81="","",Util*$AL81*$AN81*(1-$AO81))</f>
        <v/>
      </c>
      <c r="BF81" s="37">
        <f>IF($A81="","",IF($AC81="","0-2",IF($AC81&lt;=2,"0-2",IF($AC81=3,"3",IF($AC81&lt;=5,"4-5","6-7")))))</f>
        <v/>
      </c>
      <c r="BG81" s="40">
        <f>IF($A81="","",$Z81*$AM81*$AN81*(1-$AO81))</f>
        <v/>
      </c>
      <c r="BH81" s="40">
        <f>IF($A81="","",$Z81*(TSOFR3M+$AP81)*$V81/DayBasis)</f>
        <v/>
      </c>
      <c r="BI81" s="43">
        <f>IF($A81="","",$C81+$Z81*1E-13)</f>
        <v/>
      </c>
    </row>
    <row r="82">
      <c r="B82" s="32" t="n"/>
      <c r="C82" s="33" t="n"/>
      <c r="E82" s="33" t="n"/>
      <c r="H82" s="34" t="n"/>
      <c r="X82" s="35" t="n"/>
      <c r="Y82" s="35" t="n"/>
      <c r="Z82" s="35" t="n"/>
      <c r="AA82" s="35" t="n"/>
      <c r="AB82" s="35" t="n"/>
      <c r="AD82" s="36" t="n"/>
      <c r="AE82" s="36" t="n"/>
      <c r="AF82" s="36" t="n"/>
      <c r="AK82" s="37">
        <f>IF($A82="","",IF(GradeRule="quantile",$I82,$F82))</f>
        <v/>
      </c>
      <c r="AL82" s="38">
        <f>IF($A82="","",CHOOSE(MATCH($AK82,{"S","A","B","C"},0),PD_S,PD_A,PD_B,PD_C))</f>
        <v/>
      </c>
      <c r="AM82" s="38">
        <f>IF($A82="","",IF($AH82=1,1,$AL82))</f>
        <v/>
      </c>
      <c r="AN82" s="38">
        <f>IF($A82="","",IF(OR($U82="LC_SIGHT",$U82="LC_USANCE"),LGD_LC,LGD))</f>
        <v/>
      </c>
      <c r="AO82" s="38">
        <f>IF($A82="","",IF($W82="Y",Cov,0))</f>
        <v/>
      </c>
      <c r="AP82" s="38">
        <f>IF($A82="","",CHOOSE(MATCH($AK82,{"S","A","B","C"},0),Spread_S,Spread_A,Spread_B,Spread_C))</f>
        <v/>
      </c>
      <c r="AQ82" s="38">
        <f>IF($A82="","",CHOOSE(MATCH($AK82,{"S","A","B","C"},0),Prem_S,Prem_A,Prem_B,Prem_C))</f>
        <v/>
      </c>
      <c r="AR82" s="39">
        <f>IF(OR($A82="",$V82&lt;=0),"",TSOFR3M+$AP82+$AL82*$AN82)</f>
        <v/>
      </c>
      <c r="AS82" s="39">
        <f>IF(OR($A82="",$V82&lt;=0),"",TSOFR3M+$AP82+$AQ82*365/$V82+$AL82*$AN82*(1-Cov))</f>
        <v/>
      </c>
      <c r="AT82" s="39">
        <f>IF(OR($A82="",$V82&lt;=0),"",IF($W82="Y",$AS82,$AR82))</f>
        <v/>
      </c>
      <c r="AU82" s="37">
        <f>IF(OR($A82="",$V82&lt;=0),"",IF($AS82&lt;$AR82,"부보 유리","무보험 유리"))</f>
        <v/>
      </c>
      <c r="AV82" s="40">
        <f>IF($A82="","",$Y82*($V82+Grace)/30)</f>
        <v/>
      </c>
      <c r="AW82" s="40">
        <f>IF($A82="","",CHOOSE(MATCH($AK82,{"S","A","B","C"},0),$AV82,Cap_A,Cap_B,Cap_C_OA))</f>
        <v/>
      </c>
      <c r="AX82" s="40">
        <f>IF($A82="","",IF($W82="Y",$X82,0))</f>
        <v/>
      </c>
      <c r="AY82" s="40">
        <f>IF($A82="","",Equity_USD*CHOOSE(MATCH($AK82,{"S","A","B","C"},0),s_S,s_A,s_B,s_C))</f>
        <v/>
      </c>
      <c r="AZ82" s="37">
        <f>IF($A82="","",'13_EarlyWarning'!$AH85)</f>
        <v/>
      </c>
      <c r="BA82" s="37">
        <f>IF($A82="","",IF(OR($U82="LC_SIGHT",$U82="LC_USANCE",$U82="TT_ADV"),"대상 아님","대상"))</f>
        <v/>
      </c>
      <c r="BB82" s="40">
        <f>IF($A82="","",IF(OR($BA82="대상 아님",$AZ82&lt;&gt;"",$AH82=1),0,MIN($AV82,$AW82,$AX82+$AY82)))</f>
        <v/>
      </c>
      <c r="BC82" s="40">
        <f>IF($A82="","",IF($AG82=1,MIN(StratMin*$AB82,$BB82),0))</f>
        <v/>
      </c>
      <c r="BD82" s="41">
        <f>IF($A82="","",IF(OR($V82&lt;=0,$BB82&lt;=0),0,Util*(GM*365/$V82-$AT82)))</f>
        <v/>
      </c>
      <c r="BE82" s="42">
        <f>IF($A82="","",Util*$AL82*$AN82*(1-$AO82))</f>
        <v/>
      </c>
      <c r="BF82" s="37">
        <f>IF($A82="","",IF($AC82="","0-2",IF($AC82&lt;=2,"0-2",IF($AC82=3,"3",IF($AC82&lt;=5,"4-5","6-7")))))</f>
        <v/>
      </c>
      <c r="BG82" s="40">
        <f>IF($A82="","",$Z82*$AM82*$AN82*(1-$AO82))</f>
        <v/>
      </c>
      <c r="BH82" s="40">
        <f>IF($A82="","",$Z82*(TSOFR3M+$AP82)*$V82/DayBasis)</f>
        <v/>
      </c>
      <c r="BI82" s="43">
        <f>IF($A82="","",$C82+$Z82*1E-13)</f>
        <v/>
      </c>
    </row>
    <row r="83">
      <c r="B83" s="32" t="n"/>
      <c r="C83" s="33" t="n"/>
      <c r="E83" s="33" t="n"/>
      <c r="H83" s="34" t="n"/>
      <c r="X83" s="35" t="n"/>
      <c r="Y83" s="35" t="n"/>
      <c r="Z83" s="35" t="n"/>
      <c r="AA83" s="35" t="n"/>
      <c r="AB83" s="35" t="n"/>
      <c r="AD83" s="36" t="n"/>
      <c r="AE83" s="36" t="n"/>
      <c r="AF83" s="36" t="n"/>
      <c r="AK83" s="37">
        <f>IF($A83="","",IF(GradeRule="quantile",$I83,$F83))</f>
        <v/>
      </c>
      <c r="AL83" s="38">
        <f>IF($A83="","",CHOOSE(MATCH($AK83,{"S","A","B","C"},0),PD_S,PD_A,PD_B,PD_C))</f>
        <v/>
      </c>
      <c r="AM83" s="38">
        <f>IF($A83="","",IF($AH83=1,1,$AL83))</f>
        <v/>
      </c>
      <c r="AN83" s="38">
        <f>IF($A83="","",IF(OR($U83="LC_SIGHT",$U83="LC_USANCE"),LGD_LC,LGD))</f>
        <v/>
      </c>
      <c r="AO83" s="38">
        <f>IF($A83="","",IF($W83="Y",Cov,0))</f>
        <v/>
      </c>
      <c r="AP83" s="38">
        <f>IF($A83="","",CHOOSE(MATCH($AK83,{"S","A","B","C"},0),Spread_S,Spread_A,Spread_B,Spread_C))</f>
        <v/>
      </c>
      <c r="AQ83" s="38">
        <f>IF($A83="","",CHOOSE(MATCH($AK83,{"S","A","B","C"},0),Prem_S,Prem_A,Prem_B,Prem_C))</f>
        <v/>
      </c>
      <c r="AR83" s="39">
        <f>IF(OR($A83="",$V83&lt;=0),"",TSOFR3M+$AP83+$AL83*$AN83)</f>
        <v/>
      </c>
      <c r="AS83" s="39">
        <f>IF(OR($A83="",$V83&lt;=0),"",TSOFR3M+$AP83+$AQ83*365/$V83+$AL83*$AN83*(1-Cov))</f>
        <v/>
      </c>
      <c r="AT83" s="39">
        <f>IF(OR($A83="",$V83&lt;=0),"",IF($W83="Y",$AS83,$AR83))</f>
        <v/>
      </c>
      <c r="AU83" s="37">
        <f>IF(OR($A83="",$V83&lt;=0),"",IF($AS83&lt;$AR83,"부보 유리","무보험 유리"))</f>
        <v/>
      </c>
      <c r="AV83" s="40">
        <f>IF($A83="","",$Y83*($V83+Grace)/30)</f>
        <v/>
      </c>
      <c r="AW83" s="40">
        <f>IF($A83="","",CHOOSE(MATCH($AK83,{"S","A","B","C"},0),$AV83,Cap_A,Cap_B,Cap_C_OA))</f>
        <v/>
      </c>
      <c r="AX83" s="40">
        <f>IF($A83="","",IF($W83="Y",$X83,0))</f>
        <v/>
      </c>
      <c r="AY83" s="40">
        <f>IF($A83="","",Equity_USD*CHOOSE(MATCH($AK83,{"S","A","B","C"},0),s_S,s_A,s_B,s_C))</f>
        <v/>
      </c>
      <c r="AZ83" s="37">
        <f>IF($A83="","",'13_EarlyWarning'!$AH86)</f>
        <v/>
      </c>
      <c r="BA83" s="37">
        <f>IF($A83="","",IF(OR($U83="LC_SIGHT",$U83="LC_USANCE",$U83="TT_ADV"),"대상 아님","대상"))</f>
        <v/>
      </c>
      <c r="BB83" s="40">
        <f>IF($A83="","",IF(OR($BA83="대상 아님",$AZ83&lt;&gt;"",$AH83=1),0,MIN($AV83,$AW83,$AX83+$AY83)))</f>
        <v/>
      </c>
      <c r="BC83" s="40">
        <f>IF($A83="","",IF($AG83=1,MIN(StratMin*$AB83,$BB83),0))</f>
        <v/>
      </c>
      <c r="BD83" s="41">
        <f>IF($A83="","",IF(OR($V83&lt;=0,$BB83&lt;=0),0,Util*(GM*365/$V83-$AT83)))</f>
        <v/>
      </c>
      <c r="BE83" s="42">
        <f>IF($A83="","",Util*$AL83*$AN83*(1-$AO83))</f>
        <v/>
      </c>
      <c r="BF83" s="37">
        <f>IF($A83="","",IF($AC83="","0-2",IF($AC83&lt;=2,"0-2",IF($AC83=3,"3",IF($AC83&lt;=5,"4-5","6-7")))))</f>
        <v/>
      </c>
      <c r="BG83" s="40">
        <f>IF($A83="","",$Z83*$AM83*$AN83*(1-$AO83))</f>
        <v/>
      </c>
      <c r="BH83" s="40">
        <f>IF($A83="","",$Z83*(TSOFR3M+$AP83)*$V83/DayBasis)</f>
        <v/>
      </c>
      <c r="BI83" s="43">
        <f>IF($A83="","",$C83+$Z83*1E-13)</f>
        <v/>
      </c>
    </row>
    <row r="84">
      <c r="B84" s="32" t="n"/>
      <c r="C84" s="33" t="n"/>
      <c r="E84" s="33" t="n"/>
      <c r="H84" s="34" t="n"/>
      <c r="X84" s="35" t="n"/>
      <c r="Y84" s="35" t="n"/>
      <c r="Z84" s="35" t="n"/>
      <c r="AA84" s="35" t="n"/>
      <c r="AB84" s="35" t="n"/>
      <c r="AD84" s="36" t="n"/>
      <c r="AE84" s="36" t="n"/>
      <c r="AF84" s="36" t="n"/>
      <c r="AK84" s="37">
        <f>IF($A84="","",IF(GradeRule="quantile",$I84,$F84))</f>
        <v/>
      </c>
      <c r="AL84" s="38">
        <f>IF($A84="","",CHOOSE(MATCH($AK84,{"S","A","B","C"},0),PD_S,PD_A,PD_B,PD_C))</f>
        <v/>
      </c>
      <c r="AM84" s="38">
        <f>IF($A84="","",IF($AH84=1,1,$AL84))</f>
        <v/>
      </c>
      <c r="AN84" s="38">
        <f>IF($A84="","",IF(OR($U84="LC_SIGHT",$U84="LC_USANCE"),LGD_LC,LGD))</f>
        <v/>
      </c>
      <c r="AO84" s="38">
        <f>IF($A84="","",IF($W84="Y",Cov,0))</f>
        <v/>
      </c>
      <c r="AP84" s="38">
        <f>IF($A84="","",CHOOSE(MATCH($AK84,{"S","A","B","C"},0),Spread_S,Spread_A,Spread_B,Spread_C))</f>
        <v/>
      </c>
      <c r="AQ84" s="38">
        <f>IF($A84="","",CHOOSE(MATCH($AK84,{"S","A","B","C"},0),Prem_S,Prem_A,Prem_B,Prem_C))</f>
        <v/>
      </c>
      <c r="AR84" s="39">
        <f>IF(OR($A84="",$V84&lt;=0),"",TSOFR3M+$AP84+$AL84*$AN84)</f>
        <v/>
      </c>
      <c r="AS84" s="39">
        <f>IF(OR($A84="",$V84&lt;=0),"",TSOFR3M+$AP84+$AQ84*365/$V84+$AL84*$AN84*(1-Cov))</f>
        <v/>
      </c>
      <c r="AT84" s="39">
        <f>IF(OR($A84="",$V84&lt;=0),"",IF($W84="Y",$AS84,$AR84))</f>
        <v/>
      </c>
      <c r="AU84" s="37">
        <f>IF(OR($A84="",$V84&lt;=0),"",IF($AS84&lt;$AR84,"부보 유리","무보험 유리"))</f>
        <v/>
      </c>
      <c r="AV84" s="40">
        <f>IF($A84="","",$Y84*($V84+Grace)/30)</f>
        <v/>
      </c>
      <c r="AW84" s="40">
        <f>IF($A84="","",CHOOSE(MATCH($AK84,{"S","A","B","C"},0),$AV84,Cap_A,Cap_B,Cap_C_OA))</f>
        <v/>
      </c>
      <c r="AX84" s="40">
        <f>IF($A84="","",IF($W84="Y",$X84,0))</f>
        <v/>
      </c>
      <c r="AY84" s="40">
        <f>IF($A84="","",Equity_USD*CHOOSE(MATCH($AK84,{"S","A","B","C"},0),s_S,s_A,s_B,s_C))</f>
        <v/>
      </c>
      <c r="AZ84" s="37">
        <f>IF($A84="","",'13_EarlyWarning'!$AH87)</f>
        <v/>
      </c>
      <c r="BA84" s="37">
        <f>IF($A84="","",IF(OR($U84="LC_SIGHT",$U84="LC_USANCE",$U84="TT_ADV"),"대상 아님","대상"))</f>
        <v/>
      </c>
      <c r="BB84" s="40">
        <f>IF($A84="","",IF(OR($BA84="대상 아님",$AZ84&lt;&gt;"",$AH84=1),0,MIN($AV84,$AW84,$AX84+$AY84)))</f>
        <v/>
      </c>
      <c r="BC84" s="40">
        <f>IF($A84="","",IF($AG84=1,MIN(StratMin*$AB84,$BB84),0))</f>
        <v/>
      </c>
      <c r="BD84" s="41">
        <f>IF($A84="","",IF(OR($V84&lt;=0,$BB84&lt;=0),0,Util*(GM*365/$V84-$AT84)))</f>
        <v/>
      </c>
      <c r="BE84" s="42">
        <f>IF($A84="","",Util*$AL84*$AN84*(1-$AO84))</f>
        <v/>
      </c>
      <c r="BF84" s="37">
        <f>IF($A84="","",IF($AC84="","0-2",IF($AC84&lt;=2,"0-2",IF($AC84=3,"3",IF($AC84&lt;=5,"4-5","6-7")))))</f>
        <v/>
      </c>
      <c r="BG84" s="40">
        <f>IF($A84="","",$Z84*$AM84*$AN84*(1-$AO84))</f>
        <v/>
      </c>
      <c r="BH84" s="40">
        <f>IF($A84="","",$Z84*(TSOFR3M+$AP84)*$V84/DayBasis)</f>
        <v/>
      </c>
      <c r="BI84" s="43">
        <f>IF($A84="","",$C84+$Z84*1E-13)</f>
        <v/>
      </c>
    </row>
    <row r="85">
      <c r="B85" s="32" t="n"/>
      <c r="C85" s="33" t="n"/>
      <c r="E85" s="33" t="n"/>
      <c r="H85" s="34" t="n"/>
      <c r="X85" s="35" t="n"/>
      <c r="Y85" s="35" t="n"/>
      <c r="Z85" s="35" t="n"/>
      <c r="AA85" s="35" t="n"/>
      <c r="AB85" s="35" t="n"/>
      <c r="AD85" s="36" t="n"/>
      <c r="AE85" s="36" t="n"/>
      <c r="AF85" s="36" t="n"/>
      <c r="AK85" s="37">
        <f>IF($A85="","",IF(GradeRule="quantile",$I85,$F85))</f>
        <v/>
      </c>
      <c r="AL85" s="38">
        <f>IF($A85="","",CHOOSE(MATCH($AK85,{"S","A","B","C"},0),PD_S,PD_A,PD_B,PD_C))</f>
        <v/>
      </c>
      <c r="AM85" s="38">
        <f>IF($A85="","",IF($AH85=1,1,$AL85))</f>
        <v/>
      </c>
      <c r="AN85" s="38">
        <f>IF($A85="","",IF(OR($U85="LC_SIGHT",$U85="LC_USANCE"),LGD_LC,LGD))</f>
        <v/>
      </c>
      <c r="AO85" s="38">
        <f>IF($A85="","",IF($W85="Y",Cov,0))</f>
        <v/>
      </c>
      <c r="AP85" s="38">
        <f>IF($A85="","",CHOOSE(MATCH($AK85,{"S","A","B","C"},0),Spread_S,Spread_A,Spread_B,Spread_C))</f>
        <v/>
      </c>
      <c r="AQ85" s="38">
        <f>IF($A85="","",CHOOSE(MATCH($AK85,{"S","A","B","C"},0),Prem_S,Prem_A,Prem_B,Prem_C))</f>
        <v/>
      </c>
      <c r="AR85" s="39">
        <f>IF(OR($A85="",$V85&lt;=0),"",TSOFR3M+$AP85+$AL85*$AN85)</f>
        <v/>
      </c>
      <c r="AS85" s="39">
        <f>IF(OR($A85="",$V85&lt;=0),"",TSOFR3M+$AP85+$AQ85*365/$V85+$AL85*$AN85*(1-Cov))</f>
        <v/>
      </c>
      <c r="AT85" s="39">
        <f>IF(OR($A85="",$V85&lt;=0),"",IF($W85="Y",$AS85,$AR85))</f>
        <v/>
      </c>
      <c r="AU85" s="37">
        <f>IF(OR($A85="",$V85&lt;=0),"",IF($AS85&lt;$AR85,"부보 유리","무보험 유리"))</f>
        <v/>
      </c>
      <c r="AV85" s="40">
        <f>IF($A85="","",$Y85*($V85+Grace)/30)</f>
        <v/>
      </c>
      <c r="AW85" s="40">
        <f>IF($A85="","",CHOOSE(MATCH($AK85,{"S","A","B","C"},0),$AV85,Cap_A,Cap_B,Cap_C_OA))</f>
        <v/>
      </c>
      <c r="AX85" s="40">
        <f>IF($A85="","",IF($W85="Y",$X85,0))</f>
        <v/>
      </c>
      <c r="AY85" s="40">
        <f>IF($A85="","",Equity_USD*CHOOSE(MATCH($AK85,{"S","A","B","C"},0),s_S,s_A,s_B,s_C))</f>
        <v/>
      </c>
      <c r="AZ85" s="37">
        <f>IF($A85="","",'13_EarlyWarning'!$AH88)</f>
        <v/>
      </c>
      <c r="BA85" s="37">
        <f>IF($A85="","",IF(OR($U85="LC_SIGHT",$U85="LC_USANCE",$U85="TT_ADV"),"대상 아님","대상"))</f>
        <v/>
      </c>
      <c r="BB85" s="40">
        <f>IF($A85="","",IF(OR($BA85="대상 아님",$AZ85&lt;&gt;"",$AH85=1),0,MIN($AV85,$AW85,$AX85+$AY85)))</f>
        <v/>
      </c>
      <c r="BC85" s="40">
        <f>IF($A85="","",IF($AG85=1,MIN(StratMin*$AB85,$BB85),0))</f>
        <v/>
      </c>
      <c r="BD85" s="41">
        <f>IF($A85="","",IF(OR($V85&lt;=0,$BB85&lt;=0),0,Util*(GM*365/$V85-$AT85)))</f>
        <v/>
      </c>
      <c r="BE85" s="42">
        <f>IF($A85="","",Util*$AL85*$AN85*(1-$AO85))</f>
        <v/>
      </c>
      <c r="BF85" s="37">
        <f>IF($A85="","",IF($AC85="","0-2",IF($AC85&lt;=2,"0-2",IF($AC85=3,"3",IF($AC85&lt;=5,"4-5","6-7")))))</f>
        <v/>
      </c>
      <c r="BG85" s="40">
        <f>IF($A85="","",$Z85*$AM85*$AN85*(1-$AO85))</f>
        <v/>
      </c>
      <c r="BH85" s="40">
        <f>IF($A85="","",$Z85*(TSOFR3M+$AP85)*$V85/DayBasis)</f>
        <v/>
      </c>
      <c r="BI85" s="43">
        <f>IF($A85="","",$C85+$Z85*1E-13)</f>
        <v/>
      </c>
    </row>
    <row r="86">
      <c r="B86" s="32" t="n"/>
      <c r="C86" s="33" t="n"/>
      <c r="E86" s="33" t="n"/>
      <c r="H86" s="34" t="n"/>
      <c r="X86" s="35" t="n"/>
      <c r="Y86" s="35" t="n"/>
      <c r="Z86" s="35" t="n"/>
      <c r="AA86" s="35" t="n"/>
      <c r="AB86" s="35" t="n"/>
      <c r="AD86" s="36" t="n"/>
      <c r="AE86" s="36" t="n"/>
      <c r="AF86" s="36" t="n"/>
      <c r="AK86" s="37">
        <f>IF($A86="","",IF(GradeRule="quantile",$I86,$F86))</f>
        <v/>
      </c>
      <c r="AL86" s="38">
        <f>IF($A86="","",CHOOSE(MATCH($AK86,{"S","A","B","C"},0),PD_S,PD_A,PD_B,PD_C))</f>
        <v/>
      </c>
      <c r="AM86" s="38">
        <f>IF($A86="","",IF($AH86=1,1,$AL86))</f>
        <v/>
      </c>
      <c r="AN86" s="38">
        <f>IF($A86="","",IF(OR($U86="LC_SIGHT",$U86="LC_USANCE"),LGD_LC,LGD))</f>
        <v/>
      </c>
      <c r="AO86" s="38">
        <f>IF($A86="","",IF($W86="Y",Cov,0))</f>
        <v/>
      </c>
      <c r="AP86" s="38">
        <f>IF($A86="","",CHOOSE(MATCH($AK86,{"S","A","B","C"},0),Spread_S,Spread_A,Spread_B,Spread_C))</f>
        <v/>
      </c>
      <c r="AQ86" s="38">
        <f>IF($A86="","",CHOOSE(MATCH($AK86,{"S","A","B","C"},0),Prem_S,Prem_A,Prem_B,Prem_C))</f>
        <v/>
      </c>
      <c r="AR86" s="39">
        <f>IF(OR($A86="",$V86&lt;=0),"",TSOFR3M+$AP86+$AL86*$AN86)</f>
        <v/>
      </c>
      <c r="AS86" s="39">
        <f>IF(OR($A86="",$V86&lt;=0),"",TSOFR3M+$AP86+$AQ86*365/$V86+$AL86*$AN86*(1-Cov))</f>
        <v/>
      </c>
      <c r="AT86" s="39">
        <f>IF(OR($A86="",$V86&lt;=0),"",IF($W86="Y",$AS86,$AR86))</f>
        <v/>
      </c>
      <c r="AU86" s="37">
        <f>IF(OR($A86="",$V86&lt;=0),"",IF($AS86&lt;$AR86,"부보 유리","무보험 유리"))</f>
        <v/>
      </c>
      <c r="AV86" s="40">
        <f>IF($A86="","",$Y86*($V86+Grace)/30)</f>
        <v/>
      </c>
      <c r="AW86" s="40">
        <f>IF($A86="","",CHOOSE(MATCH($AK86,{"S","A","B","C"},0),$AV86,Cap_A,Cap_B,Cap_C_OA))</f>
        <v/>
      </c>
      <c r="AX86" s="40">
        <f>IF($A86="","",IF($W86="Y",$X86,0))</f>
        <v/>
      </c>
      <c r="AY86" s="40">
        <f>IF($A86="","",Equity_USD*CHOOSE(MATCH($AK86,{"S","A","B","C"},0),s_S,s_A,s_B,s_C))</f>
        <v/>
      </c>
      <c r="AZ86" s="37">
        <f>IF($A86="","",'13_EarlyWarning'!$AH89)</f>
        <v/>
      </c>
      <c r="BA86" s="37">
        <f>IF($A86="","",IF(OR($U86="LC_SIGHT",$U86="LC_USANCE",$U86="TT_ADV"),"대상 아님","대상"))</f>
        <v/>
      </c>
      <c r="BB86" s="40">
        <f>IF($A86="","",IF(OR($BA86="대상 아님",$AZ86&lt;&gt;"",$AH86=1),0,MIN($AV86,$AW86,$AX86+$AY86)))</f>
        <v/>
      </c>
      <c r="BC86" s="40">
        <f>IF($A86="","",IF($AG86=1,MIN(StratMin*$AB86,$BB86),0))</f>
        <v/>
      </c>
      <c r="BD86" s="41">
        <f>IF($A86="","",IF(OR($V86&lt;=0,$BB86&lt;=0),0,Util*(GM*365/$V86-$AT86)))</f>
        <v/>
      </c>
      <c r="BE86" s="42">
        <f>IF($A86="","",Util*$AL86*$AN86*(1-$AO86))</f>
        <v/>
      </c>
      <c r="BF86" s="37">
        <f>IF($A86="","",IF($AC86="","0-2",IF($AC86&lt;=2,"0-2",IF($AC86=3,"3",IF($AC86&lt;=5,"4-5","6-7")))))</f>
        <v/>
      </c>
      <c r="BG86" s="40">
        <f>IF($A86="","",$Z86*$AM86*$AN86*(1-$AO86))</f>
        <v/>
      </c>
      <c r="BH86" s="40">
        <f>IF($A86="","",$Z86*(TSOFR3M+$AP86)*$V86/DayBasis)</f>
        <v/>
      </c>
      <c r="BI86" s="43">
        <f>IF($A86="","",$C86+$Z86*1E-13)</f>
        <v/>
      </c>
    </row>
    <row r="87">
      <c r="B87" s="32" t="n"/>
      <c r="C87" s="33" t="n"/>
      <c r="E87" s="33" t="n"/>
      <c r="H87" s="34" t="n"/>
      <c r="X87" s="35" t="n"/>
      <c r="Y87" s="35" t="n"/>
      <c r="Z87" s="35" t="n"/>
      <c r="AA87" s="35" t="n"/>
      <c r="AB87" s="35" t="n"/>
      <c r="AD87" s="36" t="n"/>
      <c r="AE87" s="36" t="n"/>
      <c r="AF87" s="36" t="n"/>
      <c r="AK87" s="37">
        <f>IF($A87="","",IF(GradeRule="quantile",$I87,$F87))</f>
        <v/>
      </c>
      <c r="AL87" s="38">
        <f>IF($A87="","",CHOOSE(MATCH($AK87,{"S","A","B","C"},0),PD_S,PD_A,PD_B,PD_C))</f>
        <v/>
      </c>
      <c r="AM87" s="38">
        <f>IF($A87="","",IF($AH87=1,1,$AL87))</f>
        <v/>
      </c>
      <c r="AN87" s="38">
        <f>IF($A87="","",IF(OR($U87="LC_SIGHT",$U87="LC_USANCE"),LGD_LC,LGD))</f>
        <v/>
      </c>
      <c r="AO87" s="38">
        <f>IF($A87="","",IF($W87="Y",Cov,0))</f>
        <v/>
      </c>
      <c r="AP87" s="38">
        <f>IF($A87="","",CHOOSE(MATCH($AK87,{"S","A","B","C"},0),Spread_S,Spread_A,Spread_B,Spread_C))</f>
        <v/>
      </c>
      <c r="AQ87" s="38">
        <f>IF($A87="","",CHOOSE(MATCH($AK87,{"S","A","B","C"},0),Prem_S,Prem_A,Prem_B,Prem_C))</f>
        <v/>
      </c>
      <c r="AR87" s="39">
        <f>IF(OR($A87="",$V87&lt;=0),"",TSOFR3M+$AP87+$AL87*$AN87)</f>
        <v/>
      </c>
      <c r="AS87" s="39">
        <f>IF(OR($A87="",$V87&lt;=0),"",TSOFR3M+$AP87+$AQ87*365/$V87+$AL87*$AN87*(1-Cov))</f>
        <v/>
      </c>
      <c r="AT87" s="39">
        <f>IF(OR($A87="",$V87&lt;=0),"",IF($W87="Y",$AS87,$AR87))</f>
        <v/>
      </c>
      <c r="AU87" s="37">
        <f>IF(OR($A87="",$V87&lt;=0),"",IF($AS87&lt;$AR87,"부보 유리","무보험 유리"))</f>
        <v/>
      </c>
      <c r="AV87" s="40">
        <f>IF($A87="","",$Y87*($V87+Grace)/30)</f>
        <v/>
      </c>
      <c r="AW87" s="40">
        <f>IF($A87="","",CHOOSE(MATCH($AK87,{"S","A","B","C"},0),$AV87,Cap_A,Cap_B,Cap_C_OA))</f>
        <v/>
      </c>
      <c r="AX87" s="40">
        <f>IF($A87="","",IF($W87="Y",$X87,0))</f>
        <v/>
      </c>
      <c r="AY87" s="40">
        <f>IF($A87="","",Equity_USD*CHOOSE(MATCH($AK87,{"S","A","B","C"},0),s_S,s_A,s_B,s_C))</f>
        <v/>
      </c>
      <c r="AZ87" s="37">
        <f>IF($A87="","",'13_EarlyWarning'!$AH90)</f>
        <v/>
      </c>
      <c r="BA87" s="37">
        <f>IF($A87="","",IF(OR($U87="LC_SIGHT",$U87="LC_USANCE",$U87="TT_ADV"),"대상 아님","대상"))</f>
        <v/>
      </c>
      <c r="BB87" s="40">
        <f>IF($A87="","",IF(OR($BA87="대상 아님",$AZ87&lt;&gt;"",$AH87=1),0,MIN($AV87,$AW87,$AX87+$AY87)))</f>
        <v/>
      </c>
      <c r="BC87" s="40">
        <f>IF($A87="","",IF($AG87=1,MIN(StratMin*$AB87,$BB87),0))</f>
        <v/>
      </c>
      <c r="BD87" s="41">
        <f>IF($A87="","",IF(OR($V87&lt;=0,$BB87&lt;=0),0,Util*(GM*365/$V87-$AT87)))</f>
        <v/>
      </c>
      <c r="BE87" s="42">
        <f>IF($A87="","",Util*$AL87*$AN87*(1-$AO87))</f>
        <v/>
      </c>
      <c r="BF87" s="37">
        <f>IF($A87="","",IF($AC87="","0-2",IF($AC87&lt;=2,"0-2",IF($AC87=3,"3",IF($AC87&lt;=5,"4-5","6-7")))))</f>
        <v/>
      </c>
      <c r="BG87" s="40">
        <f>IF($A87="","",$Z87*$AM87*$AN87*(1-$AO87))</f>
        <v/>
      </c>
      <c r="BH87" s="40">
        <f>IF($A87="","",$Z87*(TSOFR3M+$AP87)*$V87/DayBasis)</f>
        <v/>
      </c>
      <c r="BI87" s="43">
        <f>IF($A87="","",$C87+$Z87*1E-13)</f>
        <v/>
      </c>
    </row>
    <row r="88">
      <c r="B88" s="32" t="n"/>
      <c r="C88" s="33" t="n"/>
      <c r="E88" s="33" t="n"/>
      <c r="H88" s="34" t="n"/>
      <c r="X88" s="35" t="n"/>
      <c r="Y88" s="35" t="n"/>
      <c r="Z88" s="35" t="n"/>
      <c r="AA88" s="35" t="n"/>
      <c r="AB88" s="35" t="n"/>
      <c r="AD88" s="36" t="n"/>
      <c r="AE88" s="36" t="n"/>
      <c r="AF88" s="36" t="n"/>
      <c r="AK88" s="37">
        <f>IF($A88="","",IF(GradeRule="quantile",$I88,$F88))</f>
        <v/>
      </c>
      <c r="AL88" s="38">
        <f>IF($A88="","",CHOOSE(MATCH($AK88,{"S","A","B","C"},0),PD_S,PD_A,PD_B,PD_C))</f>
        <v/>
      </c>
      <c r="AM88" s="38">
        <f>IF($A88="","",IF($AH88=1,1,$AL88))</f>
        <v/>
      </c>
      <c r="AN88" s="38">
        <f>IF($A88="","",IF(OR($U88="LC_SIGHT",$U88="LC_USANCE"),LGD_LC,LGD))</f>
        <v/>
      </c>
      <c r="AO88" s="38">
        <f>IF($A88="","",IF($W88="Y",Cov,0))</f>
        <v/>
      </c>
      <c r="AP88" s="38">
        <f>IF($A88="","",CHOOSE(MATCH($AK88,{"S","A","B","C"},0),Spread_S,Spread_A,Spread_B,Spread_C))</f>
        <v/>
      </c>
      <c r="AQ88" s="38">
        <f>IF($A88="","",CHOOSE(MATCH($AK88,{"S","A","B","C"},0),Prem_S,Prem_A,Prem_B,Prem_C))</f>
        <v/>
      </c>
      <c r="AR88" s="39">
        <f>IF(OR($A88="",$V88&lt;=0),"",TSOFR3M+$AP88+$AL88*$AN88)</f>
        <v/>
      </c>
      <c r="AS88" s="39">
        <f>IF(OR($A88="",$V88&lt;=0),"",TSOFR3M+$AP88+$AQ88*365/$V88+$AL88*$AN88*(1-Cov))</f>
        <v/>
      </c>
      <c r="AT88" s="39">
        <f>IF(OR($A88="",$V88&lt;=0),"",IF($W88="Y",$AS88,$AR88))</f>
        <v/>
      </c>
      <c r="AU88" s="37">
        <f>IF(OR($A88="",$V88&lt;=0),"",IF($AS88&lt;$AR88,"부보 유리","무보험 유리"))</f>
        <v/>
      </c>
      <c r="AV88" s="40">
        <f>IF($A88="","",$Y88*($V88+Grace)/30)</f>
        <v/>
      </c>
      <c r="AW88" s="40">
        <f>IF($A88="","",CHOOSE(MATCH($AK88,{"S","A","B","C"},0),$AV88,Cap_A,Cap_B,Cap_C_OA))</f>
        <v/>
      </c>
      <c r="AX88" s="40">
        <f>IF($A88="","",IF($W88="Y",$X88,0))</f>
        <v/>
      </c>
      <c r="AY88" s="40">
        <f>IF($A88="","",Equity_USD*CHOOSE(MATCH($AK88,{"S","A","B","C"},0),s_S,s_A,s_B,s_C))</f>
        <v/>
      </c>
      <c r="AZ88" s="37">
        <f>IF($A88="","",'13_EarlyWarning'!$AH91)</f>
        <v/>
      </c>
      <c r="BA88" s="37">
        <f>IF($A88="","",IF(OR($U88="LC_SIGHT",$U88="LC_USANCE",$U88="TT_ADV"),"대상 아님","대상"))</f>
        <v/>
      </c>
      <c r="BB88" s="40">
        <f>IF($A88="","",IF(OR($BA88="대상 아님",$AZ88&lt;&gt;"",$AH88=1),0,MIN($AV88,$AW88,$AX88+$AY88)))</f>
        <v/>
      </c>
      <c r="BC88" s="40">
        <f>IF($A88="","",IF($AG88=1,MIN(StratMin*$AB88,$BB88),0))</f>
        <v/>
      </c>
      <c r="BD88" s="41">
        <f>IF($A88="","",IF(OR($V88&lt;=0,$BB88&lt;=0),0,Util*(GM*365/$V88-$AT88)))</f>
        <v/>
      </c>
      <c r="BE88" s="42">
        <f>IF($A88="","",Util*$AL88*$AN88*(1-$AO88))</f>
        <v/>
      </c>
      <c r="BF88" s="37">
        <f>IF($A88="","",IF($AC88="","0-2",IF($AC88&lt;=2,"0-2",IF($AC88=3,"3",IF($AC88&lt;=5,"4-5","6-7")))))</f>
        <v/>
      </c>
      <c r="BG88" s="40">
        <f>IF($A88="","",$Z88*$AM88*$AN88*(1-$AO88))</f>
        <v/>
      </c>
      <c r="BH88" s="40">
        <f>IF($A88="","",$Z88*(TSOFR3M+$AP88)*$V88/DayBasis)</f>
        <v/>
      </c>
      <c r="BI88" s="43">
        <f>IF($A88="","",$C88+$Z88*1E-13)</f>
        <v/>
      </c>
    </row>
    <row r="89">
      <c r="B89" s="32" t="n"/>
      <c r="C89" s="33" t="n"/>
      <c r="E89" s="33" t="n"/>
      <c r="H89" s="34" t="n"/>
      <c r="X89" s="35" t="n"/>
      <c r="Y89" s="35" t="n"/>
      <c r="Z89" s="35" t="n"/>
      <c r="AA89" s="35" t="n"/>
      <c r="AB89" s="35" t="n"/>
      <c r="AD89" s="36" t="n"/>
      <c r="AE89" s="36" t="n"/>
      <c r="AF89" s="36" t="n"/>
      <c r="AK89" s="37">
        <f>IF($A89="","",IF(GradeRule="quantile",$I89,$F89))</f>
        <v/>
      </c>
      <c r="AL89" s="38">
        <f>IF($A89="","",CHOOSE(MATCH($AK89,{"S","A","B","C"},0),PD_S,PD_A,PD_B,PD_C))</f>
        <v/>
      </c>
      <c r="AM89" s="38">
        <f>IF($A89="","",IF($AH89=1,1,$AL89))</f>
        <v/>
      </c>
      <c r="AN89" s="38">
        <f>IF($A89="","",IF(OR($U89="LC_SIGHT",$U89="LC_USANCE"),LGD_LC,LGD))</f>
        <v/>
      </c>
      <c r="AO89" s="38">
        <f>IF($A89="","",IF($W89="Y",Cov,0))</f>
        <v/>
      </c>
      <c r="AP89" s="38">
        <f>IF($A89="","",CHOOSE(MATCH($AK89,{"S","A","B","C"},0),Spread_S,Spread_A,Spread_B,Spread_C))</f>
        <v/>
      </c>
      <c r="AQ89" s="38">
        <f>IF($A89="","",CHOOSE(MATCH($AK89,{"S","A","B","C"},0),Prem_S,Prem_A,Prem_B,Prem_C))</f>
        <v/>
      </c>
      <c r="AR89" s="39">
        <f>IF(OR($A89="",$V89&lt;=0),"",TSOFR3M+$AP89+$AL89*$AN89)</f>
        <v/>
      </c>
      <c r="AS89" s="39">
        <f>IF(OR($A89="",$V89&lt;=0),"",TSOFR3M+$AP89+$AQ89*365/$V89+$AL89*$AN89*(1-Cov))</f>
        <v/>
      </c>
      <c r="AT89" s="39">
        <f>IF(OR($A89="",$V89&lt;=0),"",IF($W89="Y",$AS89,$AR89))</f>
        <v/>
      </c>
      <c r="AU89" s="37">
        <f>IF(OR($A89="",$V89&lt;=0),"",IF($AS89&lt;$AR89,"부보 유리","무보험 유리"))</f>
        <v/>
      </c>
      <c r="AV89" s="40">
        <f>IF($A89="","",$Y89*($V89+Grace)/30)</f>
        <v/>
      </c>
      <c r="AW89" s="40">
        <f>IF($A89="","",CHOOSE(MATCH($AK89,{"S","A","B","C"},0),$AV89,Cap_A,Cap_B,Cap_C_OA))</f>
        <v/>
      </c>
      <c r="AX89" s="40">
        <f>IF($A89="","",IF($W89="Y",$X89,0))</f>
        <v/>
      </c>
      <c r="AY89" s="40">
        <f>IF($A89="","",Equity_USD*CHOOSE(MATCH($AK89,{"S","A","B","C"},0),s_S,s_A,s_B,s_C))</f>
        <v/>
      </c>
      <c r="AZ89" s="37">
        <f>IF($A89="","",'13_EarlyWarning'!$AH92)</f>
        <v/>
      </c>
      <c r="BA89" s="37">
        <f>IF($A89="","",IF(OR($U89="LC_SIGHT",$U89="LC_USANCE",$U89="TT_ADV"),"대상 아님","대상"))</f>
        <v/>
      </c>
      <c r="BB89" s="40">
        <f>IF($A89="","",IF(OR($BA89="대상 아님",$AZ89&lt;&gt;"",$AH89=1),0,MIN($AV89,$AW89,$AX89+$AY89)))</f>
        <v/>
      </c>
      <c r="BC89" s="40">
        <f>IF($A89="","",IF($AG89=1,MIN(StratMin*$AB89,$BB89),0))</f>
        <v/>
      </c>
      <c r="BD89" s="41">
        <f>IF($A89="","",IF(OR($V89&lt;=0,$BB89&lt;=0),0,Util*(GM*365/$V89-$AT89)))</f>
        <v/>
      </c>
      <c r="BE89" s="42">
        <f>IF($A89="","",Util*$AL89*$AN89*(1-$AO89))</f>
        <v/>
      </c>
      <c r="BF89" s="37">
        <f>IF($A89="","",IF($AC89="","0-2",IF($AC89&lt;=2,"0-2",IF($AC89=3,"3",IF($AC89&lt;=5,"4-5","6-7")))))</f>
        <v/>
      </c>
      <c r="BG89" s="40">
        <f>IF($A89="","",$Z89*$AM89*$AN89*(1-$AO89))</f>
        <v/>
      </c>
      <c r="BH89" s="40">
        <f>IF($A89="","",$Z89*(TSOFR3M+$AP89)*$V89/DayBasis)</f>
        <v/>
      </c>
      <c r="BI89" s="43">
        <f>IF($A89="","",$C89+$Z89*1E-13)</f>
        <v/>
      </c>
    </row>
    <row r="90">
      <c r="B90" s="32" t="n"/>
      <c r="C90" s="33" t="n"/>
      <c r="E90" s="33" t="n"/>
      <c r="H90" s="34" t="n"/>
      <c r="X90" s="35" t="n"/>
      <c r="Y90" s="35" t="n"/>
      <c r="Z90" s="35" t="n"/>
      <c r="AA90" s="35" t="n"/>
      <c r="AB90" s="35" t="n"/>
      <c r="AD90" s="36" t="n"/>
      <c r="AE90" s="36" t="n"/>
      <c r="AF90" s="36" t="n"/>
      <c r="AK90" s="37">
        <f>IF($A90="","",IF(GradeRule="quantile",$I90,$F90))</f>
        <v/>
      </c>
      <c r="AL90" s="38">
        <f>IF($A90="","",CHOOSE(MATCH($AK90,{"S","A","B","C"},0),PD_S,PD_A,PD_B,PD_C))</f>
        <v/>
      </c>
      <c r="AM90" s="38">
        <f>IF($A90="","",IF($AH90=1,1,$AL90))</f>
        <v/>
      </c>
      <c r="AN90" s="38">
        <f>IF($A90="","",IF(OR($U90="LC_SIGHT",$U90="LC_USANCE"),LGD_LC,LGD))</f>
        <v/>
      </c>
      <c r="AO90" s="38">
        <f>IF($A90="","",IF($W90="Y",Cov,0))</f>
        <v/>
      </c>
      <c r="AP90" s="38">
        <f>IF($A90="","",CHOOSE(MATCH($AK90,{"S","A","B","C"},0),Spread_S,Spread_A,Spread_B,Spread_C))</f>
        <v/>
      </c>
      <c r="AQ90" s="38">
        <f>IF($A90="","",CHOOSE(MATCH($AK90,{"S","A","B","C"},0),Prem_S,Prem_A,Prem_B,Prem_C))</f>
        <v/>
      </c>
      <c r="AR90" s="39">
        <f>IF(OR($A90="",$V90&lt;=0),"",TSOFR3M+$AP90+$AL90*$AN90)</f>
        <v/>
      </c>
      <c r="AS90" s="39">
        <f>IF(OR($A90="",$V90&lt;=0),"",TSOFR3M+$AP90+$AQ90*365/$V90+$AL90*$AN90*(1-Cov))</f>
        <v/>
      </c>
      <c r="AT90" s="39">
        <f>IF(OR($A90="",$V90&lt;=0),"",IF($W90="Y",$AS90,$AR90))</f>
        <v/>
      </c>
      <c r="AU90" s="37">
        <f>IF(OR($A90="",$V90&lt;=0),"",IF($AS90&lt;$AR90,"부보 유리","무보험 유리"))</f>
        <v/>
      </c>
      <c r="AV90" s="40">
        <f>IF($A90="","",$Y90*($V90+Grace)/30)</f>
        <v/>
      </c>
      <c r="AW90" s="40">
        <f>IF($A90="","",CHOOSE(MATCH($AK90,{"S","A","B","C"},0),$AV90,Cap_A,Cap_B,Cap_C_OA))</f>
        <v/>
      </c>
      <c r="AX90" s="40">
        <f>IF($A90="","",IF($W90="Y",$X90,0))</f>
        <v/>
      </c>
      <c r="AY90" s="40">
        <f>IF($A90="","",Equity_USD*CHOOSE(MATCH($AK90,{"S","A","B","C"},0),s_S,s_A,s_B,s_C))</f>
        <v/>
      </c>
      <c r="AZ90" s="37">
        <f>IF($A90="","",'13_EarlyWarning'!$AH93)</f>
        <v/>
      </c>
      <c r="BA90" s="37">
        <f>IF($A90="","",IF(OR($U90="LC_SIGHT",$U90="LC_USANCE",$U90="TT_ADV"),"대상 아님","대상"))</f>
        <v/>
      </c>
      <c r="BB90" s="40">
        <f>IF($A90="","",IF(OR($BA90="대상 아님",$AZ90&lt;&gt;"",$AH90=1),0,MIN($AV90,$AW90,$AX90+$AY90)))</f>
        <v/>
      </c>
      <c r="BC90" s="40">
        <f>IF($A90="","",IF($AG90=1,MIN(StratMin*$AB90,$BB90),0))</f>
        <v/>
      </c>
      <c r="BD90" s="41">
        <f>IF($A90="","",IF(OR($V90&lt;=0,$BB90&lt;=0),0,Util*(GM*365/$V90-$AT90)))</f>
        <v/>
      </c>
      <c r="BE90" s="42">
        <f>IF($A90="","",Util*$AL90*$AN90*(1-$AO90))</f>
        <v/>
      </c>
      <c r="BF90" s="37">
        <f>IF($A90="","",IF($AC90="","0-2",IF($AC90&lt;=2,"0-2",IF($AC90=3,"3",IF($AC90&lt;=5,"4-5","6-7")))))</f>
        <v/>
      </c>
      <c r="BG90" s="40">
        <f>IF($A90="","",$Z90*$AM90*$AN90*(1-$AO90))</f>
        <v/>
      </c>
      <c r="BH90" s="40">
        <f>IF($A90="","",$Z90*(TSOFR3M+$AP90)*$V90/DayBasis)</f>
        <v/>
      </c>
      <c r="BI90" s="43">
        <f>IF($A90="","",$C90+$Z90*1E-13)</f>
        <v/>
      </c>
    </row>
    <row r="91">
      <c r="B91" s="32" t="n"/>
      <c r="C91" s="33" t="n"/>
      <c r="E91" s="33" t="n"/>
      <c r="H91" s="34" t="n"/>
      <c r="X91" s="35" t="n"/>
      <c r="Y91" s="35" t="n"/>
      <c r="Z91" s="35" t="n"/>
      <c r="AA91" s="35" t="n"/>
      <c r="AB91" s="35" t="n"/>
      <c r="AD91" s="36" t="n"/>
      <c r="AE91" s="36" t="n"/>
      <c r="AF91" s="36" t="n"/>
      <c r="AK91" s="37">
        <f>IF($A91="","",IF(GradeRule="quantile",$I91,$F91))</f>
        <v/>
      </c>
      <c r="AL91" s="38">
        <f>IF($A91="","",CHOOSE(MATCH($AK91,{"S","A","B","C"},0),PD_S,PD_A,PD_B,PD_C))</f>
        <v/>
      </c>
      <c r="AM91" s="38">
        <f>IF($A91="","",IF($AH91=1,1,$AL91))</f>
        <v/>
      </c>
      <c r="AN91" s="38">
        <f>IF($A91="","",IF(OR($U91="LC_SIGHT",$U91="LC_USANCE"),LGD_LC,LGD))</f>
        <v/>
      </c>
      <c r="AO91" s="38">
        <f>IF($A91="","",IF($W91="Y",Cov,0))</f>
        <v/>
      </c>
      <c r="AP91" s="38">
        <f>IF($A91="","",CHOOSE(MATCH($AK91,{"S","A","B","C"},0),Spread_S,Spread_A,Spread_B,Spread_C))</f>
        <v/>
      </c>
      <c r="AQ91" s="38">
        <f>IF($A91="","",CHOOSE(MATCH($AK91,{"S","A","B","C"},0),Prem_S,Prem_A,Prem_B,Prem_C))</f>
        <v/>
      </c>
      <c r="AR91" s="39">
        <f>IF(OR($A91="",$V91&lt;=0),"",TSOFR3M+$AP91+$AL91*$AN91)</f>
        <v/>
      </c>
      <c r="AS91" s="39">
        <f>IF(OR($A91="",$V91&lt;=0),"",TSOFR3M+$AP91+$AQ91*365/$V91+$AL91*$AN91*(1-Cov))</f>
        <v/>
      </c>
      <c r="AT91" s="39">
        <f>IF(OR($A91="",$V91&lt;=0),"",IF($W91="Y",$AS91,$AR91))</f>
        <v/>
      </c>
      <c r="AU91" s="37">
        <f>IF(OR($A91="",$V91&lt;=0),"",IF($AS91&lt;$AR91,"부보 유리","무보험 유리"))</f>
        <v/>
      </c>
      <c r="AV91" s="40">
        <f>IF($A91="","",$Y91*($V91+Grace)/30)</f>
        <v/>
      </c>
      <c r="AW91" s="40">
        <f>IF($A91="","",CHOOSE(MATCH($AK91,{"S","A","B","C"},0),$AV91,Cap_A,Cap_B,Cap_C_OA))</f>
        <v/>
      </c>
      <c r="AX91" s="40">
        <f>IF($A91="","",IF($W91="Y",$X91,0))</f>
        <v/>
      </c>
      <c r="AY91" s="40">
        <f>IF($A91="","",Equity_USD*CHOOSE(MATCH($AK91,{"S","A","B","C"},0),s_S,s_A,s_B,s_C))</f>
        <v/>
      </c>
      <c r="AZ91" s="37">
        <f>IF($A91="","",'13_EarlyWarning'!$AH94)</f>
        <v/>
      </c>
      <c r="BA91" s="37">
        <f>IF($A91="","",IF(OR($U91="LC_SIGHT",$U91="LC_USANCE",$U91="TT_ADV"),"대상 아님","대상"))</f>
        <v/>
      </c>
      <c r="BB91" s="40">
        <f>IF($A91="","",IF(OR($BA91="대상 아님",$AZ91&lt;&gt;"",$AH91=1),0,MIN($AV91,$AW91,$AX91+$AY91)))</f>
        <v/>
      </c>
      <c r="BC91" s="40">
        <f>IF($A91="","",IF($AG91=1,MIN(StratMin*$AB91,$BB91),0))</f>
        <v/>
      </c>
      <c r="BD91" s="41">
        <f>IF($A91="","",IF(OR($V91&lt;=0,$BB91&lt;=0),0,Util*(GM*365/$V91-$AT91)))</f>
        <v/>
      </c>
      <c r="BE91" s="42">
        <f>IF($A91="","",Util*$AL91*$AN91*(1-$AO91))</f>
        <v/>
      </c>
      <c r="BF91" s="37">
        <f>IF($A91="","",IF($AC91="","0-2",IF($AC91&lt;=2,"0-2",IF($AC91=3,"3",IF($AC91&lt;=5,"4-5","6-7")))))</f>
        <v/>
      </c>
      <c r="BG91" s="40">
        <f>IF($A91="","",$Z91*$AM91*$AN91*(1-$AO91))</f>
        <v/>
      </c>
      <c r="BH91" s="40">
        <f>IF($A91="","",$Z91*(TSOFR3M+$AP91)*$V91/DayBasis)</f>
        <v/>
      </c>
      <c r="BI91" s="43">
        <f>IF($A91="","",$C91+$Z91*1E-13)</f>
        <v/>
      </c>
    </row>
    <row r="92">
      <c r="B92" s="32" t="n"/>
      <c r="C92" s="33" t="n"/>
      <c r="E92" s="33" t="n"/>
      <c r="H92" s="34" t="n"/>
      <c r="X92" s="35" t="n"/>
      <c r="Y92" s="35" t="n"/>
      <c r="Z92" s="35" t="n"/>
      <c r="AA92" s="35" t="n"/>
      <c r="AB92" s="35" t="n"/>
      <c r="AD92" s="36" t="n"/>
      <c r="AE92" s="36" t="n"/>
      <c r="AF92" s="36" t="n"/>
      <c r="AK92" s="37">
        <f>IF($A92="","",IF(GradeRule="quantile",$I92,$F92))</f>
        <v/>
      </c>
      <c r="AL92" s="38">
        <f>IF($A92="","",CHOOSE(MATCH($AK92,{"S","A","B","C"},0),PD_S,PD_A,PD_B,PD_C))</f>
        <v/>
      </c>
      <c r="AM92" s="38">
        <f>IF($A92="","",IF($AH92=1,1,$AL92))</f>
        <v/>
      </c>
      <c r="AN92" s="38">
        <f>IF($A92="","",IF(OR($U92="LC_SIGHT",$U92="LC_USANCE"),LGD_LC,LGD))</f>
        <v/>
      </c>
      <c r="AO92" s="38">
        <f>IF($A92="","",IF($W92="Y",Cov,0))</f>
        <v/>
      </c>
      <c r="AP92" s="38">
        <f>IF($A92="","",CHOOSE(MATCH($AK92,{"S","A","B","C"},0),Spread_S,Spread_A,Spread_B,Spread_C))</f>
        <v/>
      </c>
      <c r="AQ92" s="38">
        <f>IF($A92="","",CHOOSE(MATCH($AK92,{"S","A","B","C"},0),Prem_S,Prem_A,Prem_B,Prem_C))</f>
        <v/>
      </c>
      <c r="AR92" s="39">
        <f>IF(OR($A92="",$V92&lt;=0),"",TSOFR3M+$AP92+$AL92*$AN92)</f>
        <v/>
      </c>
      <c r="AS92" s="39">
        <f>IF(OR($A92="",$V92&lt;=0),"",TSOFR3M+$AP92+$AQ92*365/$V92+$AL92*$AN92*(1-Cov))</f>
        <v/>
      </c>
      <c r="AT92" s="39">
        <f>IF(OR($A92="",$V92&lt;=0),"",IF($W92="Y",$AS92,$AR92))</f>
        <v/>
      </c>
      <c r="AU92" s="37">
        <f>IF(OR($A92="",$V92&lt;=0),"",IF($AS92&lt;$AR92,"부보 유리","무보험 유리"))</f>
        <v/>
      </c>
      <c r="AV92" s="40">
        <f>IF($A92="","",$Y92*($V92+Grace)/30)</f>
        <v/>
      </c>
      <c r="AW92" s="40">
        <f>IF($A92="","",CHOOSE(MATCH($AK92,{"S","A","B","C"},0),$AV92,Cap_A,Cap_B,Cap_C_OA))</f>
        <v/>
      </c>
      <c r="AX92" s="40">
        <f>IF($A92="","",IF($W92="Y",$X92,0))</f>
        <v/>
      </c>
      <c r="AY92" s="40">
        <f>IF($A92="","",Equity_USD*CHOOSE(MATCH($AK92,{"S","A","B","C"},0),s_S,s_A,s_B,s_C))</f>
        <v/>
      </c>
      <c r="AZ92" s="37">
        <f>IF($A92="","",'13_EarlyWarning'!$AH95)</f>
        <v/>
      </c>
      <c r="BA92" s="37">
        <f>IF($A92="","",IF(OR($U92="LC_SIGHT",$U92="LC_USANCE",$U92="TT_ADV"),"대상 아님","대상"))</f>
        <v/>
      </c>
      <c r="BB92" s="40">
        <f>IF($A92="","",IF(OR($BA92="대상 아님",$AZ92&lt;&gt;"",$AH92=1),0,MIN($AV92,$AW92,$AX92+$AY92)))</f>
        <v/>
      </c>
      <c r="BC92" s="40">
        <f>IF($A92="","",IF($AG92=1,MIN(StratMin*$AB92,$BB92),0))</f>
        <v/>
      </c>
      <c r="BD92" s="41">
        <f>IF($A92="","",IF(OR($V92&lt;=0,$BB92&lt;=0),0,Util*(GM*365/$V92-$AT92)))</f>
        <v/>
      </c>
      <c r="BE92" s="42">
        <f>IF($A92="","",Util*$AL92*$AN92*(1-$AO92))</f>
        <v/>
      </c>
      <c r="BF92" s="37">
        <f>IF($A92="","",IF($AC92="","0-2",IF($AC92&lt;=2,"0-2",IF($AC92=3,"3",IF($AC92&lt;=5,"4-5","6-7")))))</f>
        <v/>
      </c>
      <c r="BG92" s="40">
        <f>IF($A92="","",$Z92*$AM92*$AN92*(1-$AO92))</f>
        <v/>
      </c>
      <c r="BH92" s="40">
        <f>IF($A92="","",$Z92*(TSOFR3M+$AP92)*$V92/DayBasis)</f>
        <v/>
      </c>
      <c r="BI92" s="43">
        <f>IF($A92="","",$C92+$Z92*1E-13)</f>
        <v/>
      </c>
    </row>
    <row r="93">
      <c r="B93" s="32" t="n"/>
      <c r="C93" s="33" t="n"/>
      <c r="E93" s="33" t="n"/>
      <c r="H93" s="34" t="n"/>
      <c r="X93" s="35" t="n"/>
      <c r="Y93" s="35" t="n"/>
      <c r="Z93" s="35" t="n"/>
      <c r="AA93" s="35" t="n"/>
      <c r="AB93" s="35" t="n"/>
      <c r="AD93" s="36" t="n"/>
      <c r="AE93" s="36" t="n"/>
      <c r="AF93" s="36" t="n"/>
      <c r="AK93" s="37">
        <f>IF($A93="","",IF(GradeRule="quantile",$I93,$F93))</f>
        <v/>
      </c>
      <c r="AL93" s="38">
        <f>IF($A93="","",CHOOSE(MATCH($AK93,{"S","A","B","C"},0),PD_S,PD_A,PD_B,PD_C))</f>
        <v/>
      </c>
      <c r="AM93" s="38">
        <f>IF($A93="","",IF($AH93=1,1,$AL93))</f>
        <v/>
      </c>
      <c r="AN93" s="38">
        <f>IF($A93="","",IF(OR($U93="LC_SIGHT",$U93="LC_USANCE"),LGD_LC,LGD))</f>
        <v/>
      </c>
      <c r="AO93" s="38">
        <f>IF($A93="","",IF($W93="Y",Cov,0))</f>
        <v/>
      </c>
      <c r="AP93" s="38">
        <f>IF($A93="","",CHOOSE(MATCH($AK93,{"S","A","B","C"},0),Spread_S,Spread_A,Spread_B,Spread_C))</f>
        <v/>
      </c>
      <c r="AQ93" s="38">
        <f>IF($A93="","",CHOOSE(MATCH($AK93,{"S","A","B","C"},0),Prem_S,Prem_A,Prem_B,Prem_C))</f>
        <v/>
      </c>
      <c r="AR93" s="39">
        <f>IF(OR($A93="",$V93&lt;=0),"",TSOFR3M+$AP93+$AL93*$AN93)</f>
        <v/>
      </c>
      <c r="AS93" s="39">
        <f>IF(OR($A93="",$V93&lt;=0),"",TSOFR3M+$AP93+$AQ93*365/$V93+$AL93*$AN93*(1-Cov))</f>
        <v/>
      </c>
      <c r="AT93" s="39">
        <f>IF(OR($A93="",$V93&lt;=0),"",IF($W93="Y",$AS93,$AR93))</f>
        <v/>
      </c>
      <c r="AU93" s="37">
        <f>IF(OR($A93="",$V93&lt;=0),"",IF($AS93&lt;$AR93,"부보 유리","무보험 유리"))</f>
        <v/>
      </c>
      <c r="AV93" s="40">
        <f>IF($A93="","",$Y93*($V93+Grace)/30)</f>
        <v/>
      </c>
      <c r="AW93" s="40">
        <f>IF($A93="","",CHOOSE(MATCH($AK93,{"S","A","B","C"},0),$AV93,Cap_A,Cap_B,Cap_C_OA))</f>
        <v/>
      </c>
      <c r="AX93" s="40">
        <f>IF($A93="","",IF($W93="Y",$X93,0))</f>
        <v/>
      </c>
      <c r="AY93" s="40">
        <f>IF($A93="","",Equity_USD*CHOOSE(MATCH($AK93,{"S","A","B","C"},0),s_S,s_A,s_B,s_C))</f>
        <v/>
      </c>
      <c r="AZ93" s="37">
        <f>IF($A93="","",'13_EarlyWarning'!$AH96)</f>
        <v/>
      </c>
      <c r="BA93" s="37">
        <f>IF($A93="","",IF(OR($U93="LC_SIGHT",$U93="LC_USANCE",$U93="TT_ADV"),"대상 아님","대상"))</f>
        <v/>
      </c>
      <c r="BB93" s="40">
        <f>IF($A93="","",IF(OR($BA93="대상 아님",$AZ93&lt;&gt;"",$AH93=1),0,MIN($AV93,$AW93,$AX93+$AY93)))</f>
        <v/>
      </c>
      <c r="BC93" s="40">
        <f>IF($A93="","",IF($AG93=1,MIN(StratMin*$AB93,$BB93),0))</f>
        <v/>
      </c>
      <c r="BD93" s="41">
        <f>IF($A93="","",IF(OR($V93&lt;=0,$BB93&lt;=0),0,Util*(GM*365/$V93-$AT93)))</f>
        <v/>
      </c>
      <c r="BE93" s="42">
        <f>IF($A93="","",Util*$AL93*$AN93*(1-$AO93))</f>
        <v/>
      </c>
      <c r="BF93" s="37">
        <f>IF($A93="","",IF($AC93="","0-2",IF($AC93&lt;=2,"0-2",IF($AC93=3,"3",IF($AC93&lt;=5,"4-5","6-7")))))</f>
        <v/>
      </c>
      <c r="BG93" s="40">
        <f>IF($A93="","",$Z93*$AM93*$AN93*(1-$AO93))</f>
        <v/>
      </c>
      <c r="BH93" s="40">
        <f>IF($A93="","",$Z93*(TSOFR3M+$AP93)*$V93/DayBasis)</f>
        <v/>
      </c>
      <c r="BI93" s="43">
        <f>IF($A93="","",$C93+$Z93*1E-13)</f>
        <v/>
      </c>
    </row>
    <row r="94">
      <c r="B94" s="32" t="n"/>
      <c r="C94" s="33" t="n"/>
      <c r="E94" s="33" t="n"/>
      <c r="H94" s="34" t="n"/>
      <c r="X94" s="35" t="n"/>
      <c r="Y94" s="35" t="n"/>
      <c r="Z94" s="35" t="n"/>
      <c r="AA94" s="35" t="n"/>
      <c r="AB94" s="35" t="n"/>
      <c r="AD94" s="36" t="n"/>
      <c r="AE94" s="36" t="n"/>
      <c r="AF94" s="36" t="n"/>
      <c r="AK94" s="37">
        <f>IF($A94="","",IF(GradeRule="quantile",$I94,$F94))</f>
        <v/>
      </c>
      <c r="AL94" s="38">
        <f>IF($A94="","",CHOOSE(MATCH($AK94,{"S","A","B","C"},0),PD_S,PD_A,PD_B,PD_C))</f>
        <v/>
      </c>
      <c r="AM94" s="38">
        <f>IF($A94="","",IF($AH94=1,1,$AL94))</f>
        <v/>
      </c>
      <c r="AN94" s="38">
        <f>IF($A94="","",IF(OR($U94="LC_SIGHT",$U94="LC_USANCE"),LGD_LC,LGD))</f>
        <v/>
      </c>
      <c r="AO94" s="38">
        <f>IF($A94="","",IF($W94="Y",Cov,0))</f>
        <v/>
      </c>
      <c r="AP94" s="38">
        <f>IF($A94="","",CHOOSE(MATCH($AK94,{"S","A","B","C"},0),Spread_S,Spread_A,Spread_B,Spread_C))</f>
        <v/>
      </c>
      <c r="AQ94" s="38">
        <f>IF($A94="","",CHOOSE(MATCH($AK94,{"S","A","B","C"},0),Prem_S,Prem_A,Prem_B,Prem_C))</f>
        <v/>
      </c>
      <c r="AR94" s="39">
        <f>IF(OR($A94="",$V94&lt;=0),"",TSOFR3M+$AP94+$AL94*$AN94)</f>
        <v/>
      </c>
      <c r="AS94" s="39">
        <f>IF(OR($A94="",$V94&lt;=0),"",TSOFR3M+$AP94+$AQ94*365/$V94+$AL94*$AN94*(1-Cov))</f>
        <v/>
      </c>
      <c r="AT94" s="39">
        <f>IF(OR($A94="",$V94&lt;=0),"",IF($W94="Y",$AS94,$AR94))</f>
        <v/>
      </c>
      <c r="AU94" s="37">
        <f>IF(OR($A94="",$V94&lt;=0),"",IF($AS94&lt;$AR94,"부보 유리","무보험 유리"))</f>
        <v/>
      </c>
      <c r="AV94" s="40">
        <f>IF($A94="","",$Y94*($V94+Grace)/30)</f>
        <v/>
      </c>
      <c r="AW94" s="40">
        <f>IF($A94="","",CHOOSE(MATCH($AK94,{"S","A","B","C"},0),$AV94,Cap_A,Cap_B,Cap_C_OA))</f>
        <v/>
      </c>
      <c r="AX94" s="40">
        <f>IF($A94="","",IF($W94="Y",$X94,0))</f>
        <v/>
      </c>
      <c r="AY94" s="40">
        <f>IF($A94="","",Equity_USD*CHOOSE(MATCH($AK94,{"S","A","B","C"},0),s_S,s_A,s_B,s_C))</f>
        <v/>
      </c>
      <c r="AZ94" s="37">
        <f>IF($A94="","",'13_EarlyWarning'!$AH97)</f>
        <v/>
      </c>
      <c r="BA94" s="37">
        <f>IF($A94="","",IF(OR($U94="LC_SIGHT",$U94="LC_USANCE",$U94="TT_ADV"),"대상 아님","대상"))</f>
        <v/>
      </c>
      <c r="BB94" s="40">
        <f>IF($A94="","",IF(OR($BA94="대상 아님",$AZ94&lt;&gt;"",$AH94=1),0,MIN($AV94,$AW94,$AX94+$AY94)))</f>
        <v/>
      </c>
      <c r="BC94" s="40">
        <f>IF($A94="","",IF($AG94=1,MIN(StratMin*$AB94,$BB94),0))</f>
        <v/>
      </c>
      <c r="BD94" s="41">
        <f>IF($A94="","",IF(OR($V94&lt;=0,$BB94&lt;=0),0,Util*(GM*365/$V94-$AT94)))</f>
        <v/>
      </c>
      <c r="BE94" s="42">
        <f>IF($A94="","",Util*$AL94*$AN94*(1-$AO94))</f>
        <v/>
      </c>
      <c r="BF94" s="37">
        <f>IF($A94="","",IF($AC94="","0-2",IF($AC94&lt;=2,"0-2",IF($AC94=3,"3",IF($AC94&lt;=5,"4-5","6-7")))))</f>
        <v/>
      </c>
      <c r="BG94" s="40">
        <f>IF($A94="","",$Z94*$AM94*$AN94*(1-$AO94))</f>
        <v/>
      </c>
      <c r="BH94" s="40">
        <f>IF($A94="","",$Z94*(TSOFR3M+$AP94)*$V94/DayBasis)</f>
        <v/>
      </c>
      <c r="BI94" s="43">
        <f>IF($A94="","",$C94+$Z94*1E-13)</f>
        <v/>
      </c>
    </row>
    <row r="95">
      <c r="B95" s="32" t="n"/>
      <c r="C95" s="33" t="n"/>
      <c r="E95" s="33" t="n"/>
      <c r="H95" s="34" t="n"/>
      <c r="X95" s="35" t="n"/>
      <c r="Y95" s="35" t="n"/>
      <c r="Z95" s="35" t="n"/>
      <c r="AA95" s="35" t="n"/>
      <c r="AB95" s="35" t="n"/>
      <c r="AD95" s="36" t="n"/>
      <c r="AE95" s="36" t="n"/>
      <c r="AF95" s="36" t="n"/>
      <c r="AK95" s="37">
        <f>IF($A95="","",IF(GradeRule="quantile",$I95,$F95))</f>
        <v/>
      </c>
      <c r="AL95" s="38">
        <f>IF($A95="","",CHOOSE(MATCH($AK95,{"S","A","B","C"},0),PD_S,PD_A,PD_B,PD_C))</f>
        <v/>
      </c>
      <c r="AM95" s="38">
        <f>IF($A95="","",IF($AH95=1,1,$AL95))</f>
        <v/>
      </c>
      <c r="AN95" s="38">
        <f>IF($A95="","",IF(OR($U95="LC_SIGHT",$U95="LC_USANCE"),LGD_LC,LGD))</f>
        <v/>
      </c>
      <c r="AO95" s="38">
        <f>IF($A95="","",IF($W95="Y",Cov,0))</f>
        <v/>
      </c>
      <c r="AP95" s="38">
        <f>IF($A95="","",CHOOSE(MATCH($AK95,{"S","A","B","C"},0),Spread_S,Spread_A,Spread_B,Spread_C))</f>
        <v/>
      </c>
      <c r="AQ95" s="38">
        <f>IF($A95="","",CHOOSE(MATCH($AK95,{"S","A","B","C"},0),Prem_S,Prem_A,Prem_B,Prem_C))</f>
        <v/>
      </c>
      <c r="AR95" s="39">
        <f>IF(OR($A95="",$V95&lt;=0),"",TSOFR3M+$AP95+$AL95*$AN95)</f>
        <v/>
      </c>
      <c r="AS95" s="39">
        <f>IF(OR($A95="",$V95&lt;=0),"",TSOFR3M+$AP95+$AQ95*365/$V95+$AL95*$AN95*(1-Cov))</f>
        <v/>
      </c>
      <c r="AT95" s="39">
        <f>IF(OR($A95="",$V95&lt;=0),"",IF($W95="Y",$AS95,$AR95))</f>
        <v/>
      </c>
      <c r="AU95" s="37">
        <f>IF(OR($A95="",$V95&lt;=0),"",IF($AS95&lt;$AR95,"부보 유리","무보험 유리"))</f>
        <v/>
      </c>
      <c r="AV95" s="40">
        <f>IF($A95="","",$Y95*($V95+Grace)/30)</f>
        <v/>
      </c>
      <c r="AW95" s="40">
        <f>IF($A95="","",CHOOSE(MATCH($AK95,{"S","A","B","C"},0),$AV95,Cap_A,Cap_B,Cap_C_OA))</f>
        <v/>
      </c>
      <c r="AX95" s="40">
        <f>IF($A95="","",IF($W95="Y",$X95,0))</f>
        <v/>
      </c>
      <c r="AY95" s="40">
        <f>IF($A95="","",Equity_USD*CHOOSE(MATCH($AK95,{"S","A","B","C"},0),s_S,s_A,s_B,s_C))</f>
        <v/>
      </c>
      <c r="AZ95" s="37">
        <f>IF($A95="","",'13_EarlyWarning'!$AH98)</f>
        <v/>
      </c>
      <c r="BA95" s="37">
        <f>IF($A95="","",IF(OR($U95="LC_SIGHT",$U95="LC_USANCE",$U95="TT_ADV"),"대상 아님","대상"))</f>
        <v/>
      </c>
      <c r="BB95" s="40">
        <f>IF($A95="","",IF(OR($BA95="대상 아님",$AZ95&lt;&gt;"",$AH95=1),0,MIN($AV95,$AW95,$AX95+$AY95)))</f>
        <v/>
      </c>
      <c r="BC95" s="40">
        <f>IF($A95="","",IF($AG95=1,MIN(StratMin*$AB95,$BB95),0))</f>
        <v/>
      </c>
      <c r="BD95" s="41">
        <f>IF($A95="","",IF(OR($V95&lt;=0,$BB95&lt;=0),0,Util*(GM*365/$V95-$AT95)))</f>
        <v/>
      </c>
      <c r="BE95" s="42">
        <f>IF($A95="","",Util*$AL95*$AN95*(1-$AO95))</f>
        <v/>
      </c>
      <c r="BF95" s="37">
        <f>IF($A95="","",IF($AC95="","0-2",IF($AC95&lt;=2,"0-2",IF($AC95=3,"3",IF($AC95&lt;=5,"4-5","6-7")))))</f>
        <v/>
      </c>
      <c r="BG95" s="40">
        <f>IF($A95="","",$Z95*$AM95*$AN95*(1-$AO95))</f>
        <v/>
      </c>
      <c r="BH95" s="40">
        <f>IF($A95="","",$Z95*(TSOFR3M+$AP95)*$V95/DayBasis)</f>
        <v/>
      </c>
      <c r="BI95" s="43">
        <f>IF($A95="","",$C95+$Z95*1E-13)</f>
        <v/>
      </c>
    </row>
    <row r="96">
      <c r="B96" s="32" t="n"/>
      <c r="C96" s="33" t="n"/>
      <c r="E96" s="33" t="n"/>
      <c r="H96" s="34" t="n"/>
      <c r="X96" s="35" t="n"/>
      <c r="Y96" s="35" t="n"/>
      <c r="Z96" s="35" t="n"/>
      <c r="AA96" s="35" t="n"/>
      <c r="AB96" s="35" t="n"/>
      <c r="AD96" s="36" t="n"/>
      <c r="AE96" s="36" t="n"/>
      <c r="AF96" s="36" t="n"/>
      <c r="AK96" s="37">
        <f>IF($A96="","",IF(GradeRule="quantile",$I96,$F96))</f>
        <v/>
      </c>
      <c r="AL96" s="38">
        <f>IF($A96="","",CHOOSE(MATCH($AK96,{"S","A","B","C"},0),PD_S,PD_A,PD_B,PD_C))</f>
        <v/>
      </c>
      <c r="AM96" s="38">
        <f>IF($A96="","",IF($AH96=1,1,$AL96))</f>
        <v/>
      </c>
      <c r="AN96" s="38">
        <f>IF($A96="","",IF(OR($U96="LC_SIGHT",$U96="LC_USANCE"),LGD_LC,LGD))</f>
        <v/>
      </c>
      <c r="AO96" s="38">
        <f>IF($A96="","",IF($W96="Y",Cov,0))</f>
        <v/>
      </c>
      <c r="AP96" s="38">
        <f>IF($A96="","",CHOOSE(MATCH($AK96,{"S","A","B","C"},0),Spread_S,Spread_A,Spread_B,Spread_C))</f>
        <v/>
      </c>
      <c r="AQ96" s="38">
        <f>IF($A96="","",CHOOSE(MATCH($AK96,{"S","A","B","C"},0),Prem_S,Prem_A,Prem_B,Prem_C))</f>
        <v/>
      </c>
      <c r="AR96" s="39">
        <f>IF(OR($A96="",$V96&lt;=0),"",TSOFR3M+$AP96+$AL96*$AN96)</f>
        <v/>
      </c>
      <c r="AS96" s="39">
        <f>IF(OR($A96="",$V96&lt;=0),"",TSOFR3M+$AP96+$AQ96*365/$V96+$AL96*$AN96*(1-Cov))</f>
        <v/>
      </c>
      <c r="AT96" s="39">
        <f>IF(OR($A96="",$V96&lt;=0),"",IF($W96="Y",$AS96,$AR96))</f>
        <v/>
      </c>
      <c r="AU96" s="37">
        <f>IF(OR($A96="",$V96&lt;=0),"",IF($AS96&lt;$AR96,"부보 유리","무보험 유리"))</f>
        <v/>
      </c>
      <c r="AV96" s="40">
        <f>IF($A96="","",$Y96*($V96+Grace)/30)</f>
        <v/>
      </c>
      <c r="AW96" s="40">
        <f>IF($A96="","",CHOOSE(MATCH($AK96,{"S","A","B","C"},0),$AV96,Cap_A,Cap_B,Cap_C_OA))</f>
        <v/>
      </c>
      <c r="AX96" s="40">
        <f>IF($A96="","",IF($W96="Y",$X96,0))</f>
        <v/>
      </c>
      <c r="AY96" s="40">
        <f>IF($A96="","",Equity_USD*CHOOSE(MATCH($AK96,{"S","A","B","C"},0),s_S,s_A,s_B,s_C))</f>
        <v/>
      </c>
      <c r="AZ96" s="37">
        <f>IF($A96="","",'13_EarlyWarning'!$AH99)</f>
        <v/>
      </c>
      <c r="BA96" s="37">
        <f>IF($A96="","",IF(OR($U96="LC_SIGHT",$U96="LC_USANCE",$U96="TT_ADV"),"대상 아님","대상"))</f>
        <v/>
      </c>
      <c r="BB96" s="40">
        <f>IF($A96="","",IF(OR($BA96="대상 아님",$AZ96&lt;&gt;"",$AH96=1),0,MIN($AV96,$AW96,$AX96+$AY96)))</f>
        <v/>
      </c>
      <c r="BC96" s="40">
        <f>IF($A96="","",IF($AG96=1,MIN(StratMin*$AB96,$BB96),0))</f>
        <v/>
      </c>
      <c r="BD96" s="41">
        <f>IF($A96="","",IF(OR($V96&lt;=0,$BB96&lt;=0),0,Util*(GM*365/$V96-$AT96)))</f>
        <v/>
      </c>
      <c r="BE96" s="42">
        <f>IF($A96="","",Util*$AL96*$AN96*(1-$AO96))</f>
        <v/>
      </c>
      <c r="BF96" s="37">
        <f>IF($A96="","",IF($AC96="","0-2",IF($AC96&lt;=2,"0-2",IF($AC96=3,"3",IF($AC96&lt;=5,"4-5","6-7")))))</f>
        <v/>
      </c>
      <c r="BG96" s="40">
        <f>IF($A96="","",$Z96*$AM96*$AN96*(1-$AO96))</f>
        <v/>
      </c>
      <c r="BH96" s="40">
        <f>IF($A96="","",$Z96*(TSOFR3M+$AP96)*$V96/DayBasis)</f>
        <v/>
      </c>
      <c r="BI96" s="43">
        <f>IF($A96="","",$C96+$Z96*1E-13)</f>
        <v/>
      </c>
    </row>
    <row r="97">
      <c r="B97" s="32" t="n"/>
      <c r="C97" s="33" t="n"/>
      <c r="E97" s="33" t="n"/>
      <c r="H97" s="34" t="n"/>
      <c r="X97" s="35" t="n"/>
      <c r="Y97" s="35" t="n"/>
      <c r="Z97" s="35" t="n"/>
      <c r="AA97" s="35" t="n"/>
      <c r="AB97" s="35" t="n"/>
      <c r="AD97" s="36" t="n"/>
      <c r="AE97" s="36" t="n"/>
      <c r="AF97" s="36" t="n"/>
      <c r="AK97" s="37">
        <f>IF($A97="","",IF(GradeRule="quantile",$I97,$F97))</f>
        <v/>
      </c>
      <c r="AL97" s="38">
        <f>IF($A97="","",CHOOSE(MATCH($AK97,{"S","A","B","C"},0),PD_S,PD_A,PD_B,PD_C))</f>
        <v/>
      </c>
      <c r="AM97" s="38">
        <f>IF($A97="","",IF($AH97=1,1,$AL97))</f>
        <v/>
      </c>
      <c r="AN97" s="38">
        <f>IF($A97="","",IF(OR($U97="LC_SIGHT",$U97="LC_USANCE"),LGD_LC,LGD))</f>
        <v/>
      </c>
      <c r="AO97" s="38">
        <f>IF($A97="","",IF($W97="Y",Cov,0))</f>
        <v/>
      </c>
      <c r="AP97" s="38">
        <f>IF($A97="","",CHOOSE(MATCH($AK97,{"S","A","B","C"},0),Spread_S,Spread_A,Spread_B,Spread_C))</f>
        <v/>
      </c>
      <c r="AQ97" s="38">
        <f>IF($A97="","",CHOOSE(MATCH($AK97,{"S","A","B","C"},0),Prem_S,Prem_A,Prem_B,Prem_C))</f>
        <v/>
      </c>
      <c r="AR97" s="39">
        <f>IF(OR($A97="",$V97&lt;=0),"",TSOFR3M+$AP97+$AL97*$AN97)</f>
        <v/>
      </c>
      <c r="AS97" s="39">
        <f>IF(OR($A97="",$V97&lt;=0),"",TSOFR3M+$AP97+$AQ97*365/$V97+$AL97*$AN97*(1-Cov))</f>
        <v/>
      </c>
      <c r="AT97" s="39">
        <f>IF(OR($A97="",$V97&lt;=0),"",IF($W97="Y",$AS97,$AR97))</f>
        <v/>
      </c>
      <c r="AU97" s="37">
        <f>IF(OR($A97="",$V97&lt;=0),"",IF($AS97&lt;$AR97,"부보 유리","무보험 유리"))</f>
        <v/>
      </c>
      <c r="AV97" s="40">
        <f>IF($A97="","",$Y97*($V97+Grace)/30)</f>
        <v/>
      </c>
      <c r="AW97" s="40">
        <f>IF($A97="","",CHOOSE(MATCH($AK97,{"S","A","B","C"},0),$AV97,Cap_A,Cap_B,Cap_C_OA))</f>
        <v/>
      </c>
      <c r="AX97" s="40">
        <f>IF($A97="","",IF($W97="Y",$X97,0))</f>
        <v/>
      </c>
      <c r="AY97" s="40">
        <f>IF($A97="","",Equity_USD*CHOOSE(MATCH($AK97,{"S","A","B","C"},0),s_S,s_A,s_B,s_C))</f>
        <v/>
      </c>
      <c r="AZ97" s="37">
        <f>IF($A97="","",'13_EarlyWarning'!$AH100)</f>
        <v/>
      </c>
      <c r="BA97" s="37">
        <f>IF($A97="","",IF(OR($U97="LC_SIGHT",$U97="LC_USANCE",$U97="TT_ADV"),"대상 아님","대상"))</f>
        <v/>
      </c>
      <c r="BB97" s="40">
        <f>IF($A97="","",IF(OR($BA97="대상 아님",$AZ97&lt;&gt;"",$AH97=1),0,MIN($AV97,$AW97,$AX97+$AY97)))</f>
        <v/>
      </c>
      <c r="BC97" s="40">
        <f>IF($A97="","",IF($AG97=1,MIN(StratMin*$AB97,$BB97),0))</f>
        <v/>
      </c>
      <c r="BD97" s="41">
        <f>IF($A97="","",IF(OR($V97&lt;=0,$BB97&lt;=0),0,Util*(GM*365/$V97-$AT97)))</f>
        <v/>
      </c>
      <c r="BE97" s="42">
        <f>IF($A97="","",Util*$AL97*$AN97*(1-$AO97))</f>
        <v/>
      </c>
      <c r="BF97" s="37">
        <f>IF($A97="","",IF($AC97="","0-2",IF($AC97&lt;=2,"0-2",IF($AC97=3,"3",IF($AC97&lt;=5,"4-5","6-7")))))</f>
        <v/>
      </c>
      <c r="BG97" s="40">
        <f>IF($A97="","",$Z97*$AM97*$AN97*(1-$AO97))</f>
        <v/>
      </c>
      <c r="BH97" s="40">
        <f>IF($A97="","",$Z97*(TSOFR3M+$AP97)*$V97/DayBasis)</f>
        <v/>
      </c>
      <c r="BI97" s="43">
        <f>IF($A97="","",$C97+$Z97*1E-13)</f>
        <v/>
      </c>
    </row>
    <row r="98">
      <c r="B98" s="32" t="n"/>
      <c r="C98" s="33" t="n"/>
      <c r="E98" s="33" t="n"/>
      <c r="H98" s="34" t="n"/>
      <c r="X98" s="35" t="n"/>
      <c r="Y98" s="35" t="n"/>
      <c r="Z98" s="35" t="n"/>
      <c r="AA98" s="35" t="n"/>
      <c r="AB98" s="35" t="n"/>
      <c r="AD98" s="36" t="n"/>
      <c r="AE98" s="36" t="n"/>
      <c r="AF98" s="36" t="n"/>
      <c r="AK98" s="37">
        <f>IF($A98="","",IF(GradeRule="quantile",$I98,$F98))</f>
        <v/>
      </c>
      <c r="AL98" s="38">
        <f>IF($A98="","",CHOOSE(MATCH($AK98,{"S","A","B","C"},0),PD_S,PD_A,PD_B,PD_C))</f>
        <v/>
      </c>
      <c r="AM98" s="38">
        <f>IF($A98="","",IF($AH98=1,1,$AL98))</f>
        <v/>
      </c>
      <c r="AN98" s="38">
        <f>IF($A98="","",IF(OR($U98="LC_SIGHT",$U98="LC_USANCE"),LGD_LC,LGD))</f>
        <v/>
      </c>
      <c r="AO98" s="38">
        <f>IF($A98="","",IF($W98="Y",Cov,0))</f>
        <v/>
      </c>
      <c r="AP98" s="38">
        <f>IF($A98="","",CHOOSE(MATCH($AK98,{"S","A","B","C"},0),Spread_S,Spread_A,Spread_B,Spread_C))</f>
        <v/>
      </c>
      <c r="AQ98" s="38">
        <f>IF($A98="","",CHOOSE(MATCH($AK98,{"S","A","B","C"},0),Prem_S,Prem_A,Prem_B,Prem_C))</f>
        <v/>
      </c>
      <c r="AR98" s="39">
        <f>IF(OR($A98="",$V98&lt;=0),"",TSOFR3M+$AP98+$AL98*$AN98)</f>
        <v/>
      </c>
      <c r="AS98" s="39">
        <f>IF(OR($A98="",$V98&lt;=0),"",TSOFR3M+$AP98+$AQ98*365/$V98+$AL98*$AN98*(1-Cov))</f>
        <v/>
      </c>
      <c r="AT98" s="39">
        <f>IF(OR($A98="",$V98&lt;=0),"",IF($W98="Y",$AS98,$AR98))</f>
        <v/>
      </c>
      <c r="AU98" s="37">
        <f>IF(OR($A98="",$V98&lt;=0),"",IF($AS98&lt;$AR98,"부보 유리","무보험 유리"))</f>
        <v/>
      </c>
      <c r="AV98" s="40">
        <f>IF($A98="","",$Y98*($V98+Grace)/30)</f>
        <v/>
      </c>
      <c r="AW98" s="40">
        <f>IF($A98="","",CHOOSE(MATCH($AK98,{"S","A","B","C"},0),$AV98,Cap_A,Cap_B,Cap_C_OA))</f>
        <v/>
      </c>
      <c r="AX98" s="40">
        <f>IF($A98="","",IF($W98="Y",$X98,0))</f>
        <v/>
      </c>
      <c r="AY98" s="40">
        <f>IF($A98="","",Equity_USD*CHOOSE(MATCH($AK98,{"S","A","B","C"},0),s_S,s_A,s_B,s_C))</f>
        <v/>
      </c>
      <c r="AZ98" s="37">
        <f>IF($A98="","",'13_EarlyWarning'!$AH101)</f>
        <v/>
      </c>
      <c r="BA98" s="37">
        <f>IF($A98="","",IF(OR($U98="LC_SIGHT",$U98="LC_USANCE",$U98="TT_ADV"),"대상 아님","대상"))</f>
        <v/>
      </c>
      <c r="BB98" s="40">
        <f>IF($A98="","",IF(OR($BA98="대상 아님",$AZ98&lt;&gt;"",$AH98=1),0,MIN($AV98,$AW98,$AX98+$AY98)))</f>
        <v/>
      </c>
      <c r="BC98" s="40">
        <f>IF($A98="","",IF($AG98=1,MIN(StratMin*$AB98,$BB98),0))</f>
        <v/>
      </c>
      <c r="BD98" s="41">
        <f>IF($A98="","",IF(OR($V98&lt;=0,$BB98&lt;=0),0,Util*(GM*365/$V98-$AT98)))</f>
        <v/>
      </c>
      <c r="BE98" s="42">
        <f>IF($A98="","",Util*$AL98*$AN98*(1-$AO98))</f>
        <v/>
      </c>
      <c r="BF98" s="37">
        <f>IF($A98="","",IF($AC98="","0-2",IF($AC98&lt;=2,"0-2",IF($AC98=3,"3",IF($AC98&lt;=5,"4-5","6-7")))))</f>
        <v/>
      </c>
      <c r="BG98" s="40">
        <f>IF($A98="","",$Z98*$AM98*$AN98*(1-$AO98))</f>
        <v/>
      </c>
      <c r="BH98" s="40">
        <f>IF($A98="","",$Z98*(TSOFR3M+$AP98)*$V98/DayBasis)</f>
        <v/>
      </c>
      <c r="BI98" s="43">
        <f>IF($A98="","",$C98+$Z98*1E-13)</f>
        <v/>
      </c>
    </row>
    <row r="99">
      <c r="B99" s="32" t="n"/>
      <c r="C99" s="33" t="n"/>
      <c r="E99" s="33" t="n"/>
      <c r="H99" s="34" t="n"/>
      <c r="X99" s="35" t="n"/>
      <c r="Y99" s="35" t="n"/>
      <c r="Z99" s="35" t="n"/>
      <c r="AA99" s="35" t="n"/>
      <c r="AB99" s="35" t="n"/>
      <c r="AD99" s="36" t="n"/>
      <c r="AE99" s="36" t="n"/>
      <c r="AF99" s="36" t="n"/>
      <c r="AK99" s="37">
        <f>IF($A99="","",IF(GradeRule="quantile",$I99,$F99))</f>
        <v/>
      </c>
      <c r="AL99" s="38">
        <f>IF($A99="","",CHOOSE(MATCH($AK99,{"S","A","B","C"},0),PD_S,PD_A,PD_B,PD_C))</f>
        <v/>
      </c>
      <c r="AM99" s="38">
        <f>IF($A99="","",IF($AH99=1,1,$AL99))</f>
        <v/>
      </c>
      <c r="AN99" s="38">
        <f>IF($A99="","",IF(OR($U99="LC_SIGHT",$U99="LC_USANCE"),LGD_LC,LGD))</f>
        <v/>
      </c>
      <c r="AO99" s="38">
        <f>IF($A99="","",IF($W99="Y",Cov,0))</f>
        <v/>
      </c>
      <c r="AP99" s="38">
        <f>IF($A99="","",CHOOSE(MATCH($AK99,{"S","A","B","C"},0),Spread_S,Spread_A,Spread_B,Spread_C))</f>
        <v/>
      </c>
      <c r="AQ99" s="38">
        <f>IF($A99="","",CHOOSE(MATCH($AK99,{"S","A","B","C"},0),Prem_S,Prem_A,Prem_B,Prem_C))</f>
        <v/>
      </c>
      <c r="AR99" s="39">
        <f>IF(OR($A99="",$V99&lt;=0),"",TSOFR3M+$AP99+$AL99*$AN99)</f>
        <v/>
      </c>
      <c r="AS99" s="39">
        <f>IF(OR($A99="",$V99&lt;=0),"",TSOFR3M+$AP99+$AQ99*365/$V99+$AL99*$AN99*(1-Cov))</f>
        <v/>
      </c>
      <c r="AT99" s="39">
        <f>IF(OR($A99="",$V99&lt;=0),"",IF($W99="Y",$AS99,$AR99))</f>
        <v/>
      </c>
      <c r="AU99" s="37">
        <f>IF(OR($A99="",$V99&lt;=0),"",IF($AS99&lt;$AR99,"부보 유리","무보험 유리"))</f>
        <v/>
      </c>
      <c r="AV99" s="40">
        <f>IF($A99="","",$Y99*($V99+Grace)/30)</f>
        <v/>
      </c>
      <c r="AW99" s="40">
        <f>IF($A99="","",CHOOSE(MATCH($AK99,{"S","A","B","C"},0),$AV99,Cap_A,Cap_B,Cap_C_OA))</f>
        <v/>
      </c>
      <c r="AX99" s="40">
        <f>IF($A99="","",IF($W99="Y",$X99,0))</f>
        <v/>
      </c>
      <c r="AY99" s="40">
        <f>IF($A99="","",Equity_USD*CHOOSE(MATCH($AK99,{"S","A","B","C"},0),s_S,s_A,s_B,s_C))</f>
        <v/>
      </c>
      <c r="AZ99" s="37">
        <f>IF($A99="","",'13_EarlyWarning'!$AH102)</f>
        <v/>
      </c>
      <c r="BA99" s="37">
        <f>IF($A99="","",IF(OR($U99="LC_SIGHT",$U99="LC_USANCE",$U99="TT_ADV"),"대상 아님","대상"))</f>
        <v/>
      </c>
      <c r="BB99" s="40">
        <f>IF($A99="","",IF(OR($BA99="대상 아님",$AZ99&lt;&gt;"",$AH99=1),0,MIN($AV99,$AW99,$AX99+$AY99)))</f>
        <v/>
      </c>
      <c r="BC99" s="40">
        <f>IF($A99="","",IF($AG99=1,MIN(StratMin*$AB99,$BB99),0))</f>
        <v/>
      </c>
      <c r="BD99" s="41">
        <f>IF($A99="","",IF(OR($V99&lt;=0,$BB99&lt;=0),0,Util*(GM*365/$V99-$AT99)))</f>
        <v/>
      </c>
      <c r="BE99" s="42">
        <f>IF($A99="","",Util*$AL99*$AN99*(1-$AO99))</f>
        <v/>
      </c>
      <c r="BF99" s="37">
        <f>IF($A99="","",IF($AC99="","0-2",IF($AC99&lt;=2,"0-2",IF($AC99=3,"3",IF($AC99&lt;=5,"4-5","6-7")))))</f>
        <v/>
      </c>
      <c r="BG99" s="40">
        <f>IF($A99="","",$Z99*$AM99*$AN99*(1-$AO99))</f>
        <v/>
      </c>
      <c r="BH99" s="40">
        <f>IF($A99="","",$Z99*(TSOFR3M+$AP99)*$V99/DayBasis)</f>
        <v/>
      </c>
      <c r="BI99" s="43">
        <f>IF($A99="","",$C99+$Z99*1E-13)</f>
        <v/>
      </c>
    </row>
    <row r="100">
      <c r="B100" s="32" t="n"/>
      <c r="C100" s="33" t="n"/>
      <c r="E100" s="33" t="n"/>
      <c r="H100" s="34" t="n"/>
      <c r="X100" s="35" t="n"/>
      <c r="Y100" s="35" t="n"/>
      <c r="Z100" s="35" t="n"/>
      <c r="AA100" s="35" t="n"/>
      <c r="AB100" s="35" t="n"/>
      <c r="AD100" s="36" t="n"/>
      <c r="AE100" s="36" t="n"/>
      <c r="AF100" s="36" t="n"/>
      <c r="AK100" s="37">
        <f>IF($A100="","",IF(GradeRule="quantile",$I100,$F100))</f>
        <v/>
      </c>
      <c r="AL100" s="38">
        <f>IF($A100="","",CHOOSE(MATCH($AK100,{"S","A","B","C"},0),PD_S,PD_A,PD_B,PD_C))</f>
        <v/>
      </c>
      <c r="AM100" s="38">
        <f>IF($A100="","",IF($AH100=1,1,$AL100))</f>
        <v/>
      </c>
      <c r="AN100" s="38">
        <f>IF($A100="","",IF(OR($U100="LC_SIGHT",$U100="LC_USANCE"),LGD_LC,LGD))</f>
        <v/>
      </c>
      <c r="AO100" s="38">
        <f>IF($A100="","",IF($W100="Y",Cov,0))</f>
        <v/>
      </c>
      <c r="AP100" s="38">
        <f>IF($A100="","",CHOOSE(MATCH($AK100,{"S","A","B","C"},0),Spread_S,Spread_A,Spread_B,Spread_C))</f>
        <v/>
      </c>
      <c r="AQ100" s="38">
        <f>IF($A100="","",CHOOSE(MATCH($AK100,{"S","A","B","C"},0),Prem_S,Prem_A,Prem_B,Prem_C))</f>
        <v/>
      </c>
      <c r="AR100" s="39">
        <f>IF(OR($A100="",$V100&lt;=0),"",TSOFR3M+$AP100+$AL100*$AN100)</f>
        <v/>
      </c>
      <c r="AS100" s="39">
        <f>IF(OR($A100="",$V100&lt;=0),"",TSOFR3M+$AP100+$AQ100*365/$V100+$AL100*$AN100*(1-Cov))</f>
        <v/>
      </c>
      <c r="AT100" s="39">
        <f>IF(OR($A100="",$V100&lt;=0),"",IF($W100="Y",$AS100,$AR100))</f>
        <v/>
      </c>
      <c r="AU100" s="37">
        <f>IF(OR($A100="",$V100&lt;=0),"",IF($AS100&lt;$AR100,"부보 유리","무보험 유리"))</f>
        <v/>
      </c>
      <c r="AV100" s="40">
        <f>IF($A100="","",$Y100*($V100+Grace)/30)</f>
        <v/>
      </c>
      <c r="AW100" s="40">
        <f>IF($A100="","",CHOOSE(MATCH($AK100,{"S","A","B","C"},0),$AV100,Cap_A,Cap_B,Cap_C_OA))</f>
        <v/>
      </c>
      <c r="AX100" s="40">
        <f>IF($A100="","",IF($W100="Y",$X100,0))</f>
        <v/>
      </c>
      <c r="AY100" s="40">
        <f>IF($A100="","",Equity_USD*CHOOSE(MATCH($AK100,{"S","A","B","C"},0),s_S,s_A,s_B,s_C))</f>
        <v/>
      </c>
      <c r="AZ100" s="37">
        <f>IF($A100="","",'13_EarlyWarning'!$AH103)</f>
        <v/>
      </c>
      <c r="BA100" s="37">
        <f>IF($A100="","",IF(OR($U100="LC_SIGHT",$U100="LC_USANCE",$U100="TT_ADV"),"대상 아님","대상"))</f>
        <v/>
      </c>
      <c r="BB100" s="40">
        <f>IF($A100="","",IF(OR($BA100="대상 아님",$AZ100&lt;&gt;"",$AH100=1),0,MIN($AV100,$AW100,$AX100+$AY100)))</f>
        <v/>
      </c>
      <c r="BC100" s="40">
        <f>IF($A100="","",IF($AG100=1,MIN(StratMin*$AB100,$BB100),0))</f>
        <v/>
      </c>
      <c r="BD100" s="41">
        <f>IF($A100="","",IF(OR($V100&lt;=0,$BB100&lt;=0),0,Util*(GM*365/$V100-$AT100)))</f>
        <v/>
      </c>
      <c r="BE100" s="42">
        <f>IF($A100="","",Util*$AL100*$AN100*(1-$AO100))</f>
        <v/>
      </c>
      <c r="BF100" s="37">
        <f>IF($A100="","",IF($AC100="","0-2",IF($AC100&lt;=2,"0-2",IF($AC100=3,"3",IF($AC100&lt;=5,"4-5","6-7")))))</f>
        <v/>
      </c>
      <c r="BG100" s="40">
        <f>IF($A100="","",$Z100*$AM100*$AN100*(1-$AO100))</f>
        <v/>
      </c>
      <c r="BH100" s="40">
        <f>IF($A100="","",$Z100*(TSOFR3M+$AP100)*$V100/DayBasis)</f>
        <v/>
      </c>
      <c r="BI100" s="43">
        <f>IF($A100="","",$C100+$Z100*1E-13)</f>
        <v/>
      </c>
    </row>
    <row r="101">
      <c r="B101" s="32" t="n"/>
      <c r="C101" s="33" t="n"/>
      <c r="E101" s="33" t="n"/>
      <c r="H101" s="34" t="n"/>
      <c r="X101" s="35" t="n"/>
      <c r="Y101" s="35" t="n"/>
      <c r="Z101" s="35" t="n"/>
      <c r="AA101" s="35" t="n"/>
      <c r="AB101" s="35" t="n"/>
      <c r="AD101" s="36" t="n"/>
      <c r="AE101" s="36" t="n"/>
      <c r="AF101" s="36" t="n"/>
      <c r="AK101" s="37">
        <f>IF($A101="","",IF(GradeRule="quantile",$I101,$F101))</f>
        <v/>
      </c>
      <c r="AL101" s="38">
        <f>IF($A101="","",CHOOSE(MATCH($AK101,{"S","A","B","C"},0),PD_S,PD_A,PD_B,PD_C))</f>
        <v/>
      </c>
      <c r="AM101" s="38">
        <f>IF($A101="","",IF($AH101=1,1,$AL101))</f>
        <v/>
      </c>
      <c r="AN101" s="38">
        <f>IF($A101="","",IF(OR($U101="LC_SIGHT",$U101="LC_USANCE"),LGD_LC,LGD))</f>
        <v/>
      </c>
      <c r="AO101" s="38">
        <f>IF($A101="","",IF($W101="Y",Cov,0))</f>
        <v/>
      </c>
      <c r="AP101" s="38">
        <f>IF($A101="","",CHOOSE(MATCH($AK101,{"S","A","B","C"},0),Spread_S,Spread_A,Spread_B,Spread_C))</f>
        <v/>
      </c>
      <c r="AQ101" s="38">
        <f>IF($A101="","",CHOOSE(MATCH($AK101,{"S","A","B","C"},0),Prem_S,Prem_A,Prem_B,Prem_C))</f>
        <v/>
      </c>
      <c r="AR101" s="39">
        <f>IF(OR($A101="",$V101&lt;=0),"",TSOFR3M+$AP101+$AL101*$AN101)</f>
        <v/>
      </c>
      <c r="AS101" s="39">
        <f>IF(OR($A101="",$V101&lt;=0),"",TSOFR3M+$AP101+$AQ101*365/$V101+$AL101*$AN101*(1-Cov))</f>
        <v/>
      </c>
      <c r="AT101" s="39">
        <f>IF(OR($A101="",$V101&lt;=0),"",IF($W101="Y",$AS101,$AR101))</f>
        <v/>
      </c>
      <c r="AU101" s="37">
        <f>IF(OR($A101="",$V101&lt;=0),"",IF($AS101&lt;$AR101,"부보 유리","무보험 유리"))</f>
        <v/>
      </c>
      <c r="AV101" s="40">
        <f>IF($A101="","",$Y101*($V101+Grace)/30)</f>
        <v/>
      </c>
      <c r="AW101" s="40">
        <f>IF($A101="","",CHOOSE(MATCH($AK101,{"S","A","B","C"},0),$AV101,Cap_A,Cap_B,Cap_C_OA))</f>
        <v/>
      </c>
      <c r="AX101" s="40">
        <f>IF($A101="","",IF($W101="Y",$X101,0))</f>
        <v/>
      </c>
      <c r="AY101" s="40">
        <f>IF($A101="","",Equity_USD*CHOOSE(MATCH($AK101,{"S","A","B","C"},0),s_S,s_A,s_B,s_C))</f>
        <v/>
      </c>
      <c r="AZ101" s="37">
        <f>IF($A101="","",'13_EarlyWarning'!$AH104)</f>
        <v/>
      </c>
      <c r="BA101" s="37">
        <f>IF($A101="","",IF(OR($U101="LC_SIGHT",$U101="LC_USANCE",$U101="TT_ADV"),"대상 아님","대상"))</f>
        <v/>
      </c>
      <c r="BB101" s="40">
        <f>IF($A101="","",IF(OR($BA101="대상 아님",$AZ101&lt;&gt;"",$AH101=1),0,MIN($AV101,$AW101,$AX101+$AY101)))</f>
        <v/>
      </c>
      <c r="BC101" s="40">
        <f>IF($A101="","",IF($AG101=1,MIN(StratMin*$AB101,$BB101),0))</f>
        <v/>
      </c>
      <c r="BD101" s="41">
        <f>IF($A101="","",IF(OR($V101&lt;=0,$BB101&lt;=0),0,Util*(GM*365/$V101-$AT101)))</f>
        <v/>
      </c>
      <c r="BE101" s="42">
        <f>IF($A101="","",Util*$AL101*$AN101*(1-$AO101))</f>
        <v/>
      </c>
      <c r="BF101" s="37">
        <f>IF($A101="","",IF($AC101="","0-2",IF($AC101&lt;=2,"0-2",IF($AC101=3,"3",IF($AC101&lt;=5,"4-5","6-7")))))</f>
        <v/>
      </c>
      <c r="BG101" s="40">
        <f>IF($A101="","",$Z101*$AM101*$AN101*(1-$AO101))</f>
        <v/>
      </c>
      <c r="BH101" s="40">
        <f>IF($A101="","",$Z101*(TSOFR3M+$AP101)*$V101/DayBasis)</f>
        <v/>
      </c>
      <c r="BI101" s="43">
        <f>IF($A101="","",$C101+$Z101*1E-13)</f>
        <v/>
      </c>
    </row>
    <row r="102">
      <c r="B102" s="32" t="n"/>
      <c r="C102" s="33" t="n"/>
      <c r="E102" s="33" t="n"/>
      <c r="H102" s="34" t="n"/>
      <c r="X102" s="35" t="n"/>
      <c r="Y102" s="35" t="n"/>
      <c r="Z102" s="35" t="n"/>
      <c r="AA102" s="35" t="n"/>
      <c r="AB102" s="35" t="n"/>
      <c r="AD102" s="36" t="n"/>
      <c r="AE102" s="36" t="n"/>
      <c r="AF102" s="36" t="n"/>
      <c r="AK102" s="37">
        <f>IF($A102="","",IF(GradeRule="quantile",$I102,$F102))</f>
        <v/>
      </c>
      <c r="AL102" s="38">
        <f>IF($A102="","",CHOOSE(MATCH($AK102,{"S","A","B","C"},0),PD_S,PD_A,PD_B,PD_C))</f>
        <v/>
      </c>
      <c r="AM102" s="38">
        <f>IF($A102="","",IF($AH102=1,1,$AL102))</f>
        <v/>
      </c>
      <c r="AN102" s="38">
        <f>IF($A102="","",IF(OR($U102="LC_SIGHT",$U102="LC_USANCE"),LGD_LC,LGD))</f>
        <v/>
      </c>
      <c r="AO102" s="38">
        <f>IF($A102="","",IF($W102="Y",Cov,0))</f>
        <v/>
      </c>
      <c r="AP102" s="38">
        <f>IF($A102="","",CHOOSE(MATCH($AK102,{"S","A","B","C"},0),Spread_S,Spread_A,Spread_B,Spread_C))</f>
        <v/>
      </c>
      <c r="AQ102" s="38">
        <f>IF($A102="","",CHOOSE(MATCH($AK102,{"S","A","B","C"},0),Prem_S,Prem_A,Prem_B,Prem_C))</f>
        <v/>
      </c>
      <c r="AR102" s="39">
        <f>IF(OR($A102="",$V102&lt;=0),"",TSOFR3M+$AP102+$AL102*$AN102)</f>
        <v/>
      </c>
      <c r="AS102" s="39">
        <f>IF(OR($A102="",$V102&lt;=0),"",TSOFR3M+$AP102+$AQ102*365/$V102+$AL102*$AN102*(1-Cov))</f>
        <v/>
      </c>
      <c r="AT102" s="39">
        <f>IF(OR($A102="",$V102&lt;=0),"",IF($W102="Y",$AS102,$AR102))</f>
        <v/>
      </c>
      <c r="AU102" s="37">
        <f>IF(OR($A102="",$V102&lt;=0),"",IF($AS102&lt;$AR102,"부보 유리","무보험 유리"))</f>
        <v/>
      </c>
      <c r="AV102" s="40">
        <f>IF($A102="","",$Y102*($V102+Grace)/30)</f>
        <v/>
      </c>
      <c r="AW102" s="40">
        <f>IF($A102="","",CHOOSE(MATCH($AK102,{"S","A","B","C"},0),$AV102,Cap_A,Cap_B,Cap_C_OA))</f>
        <v/>
      </c>
      <c r="AX102" s="40">
        <f>IF($A102="","",IF($W102="Y",$X102,0))</f>
        <v/>
      </c>
      <c r="AY102" s="40">
        <f>IF($A102="","",Equity_USD*CHOOSE(MATCH($AK102,{"S","A","B","C"},0),s_S,s_A,s_B,s_C))</f>
        <v/>
      </c>
      <c r="AZ102" s="37">
        <f>IF($A102="","",'13_EarlyWarning'!$AH105)</f>
        <v/>
      </c>
      <c r="BA102" s="37">
        <f>IF($A102="","",IF(OR($U102="LC_SIGHT",$U102="LC_USANCE",$U102="TT_ADV"),"대상 아님","대상"))</f>
        <v/>
      </c>
      <c r="BB102" s="40">
        <f>IF($A102="","",IF(OR($BA102="대상 아님",$AZ102&lt;&gt;"",$AH102=1),0,MIN($AV102,$AW102,$AX102+$AY102)))</f>
        <v/>
      </c>
      <c r="BC102" s="40">
        <f>IF($A102="","",IF($AG102=1,MIN(StratMin*$AB102,$BB102),0))</f>
        <v/>
      </c>
      <c r="BD102" s="41">
        <f>IF($A102="","",IF(OR($V102&lt;=0,$BB102&lt;=0),0,Util*(GM*365/$V102-$AT102)))</f>
        <v/>
      </c>
      <c r="BE102" s="42">
        <f>IF($A102="","",Util*$AL102*$AN102*(1-$AO102))</f>
        <v/>
      </c>
      <c r="BF102" s="37">
        <f>IF($A102="","",IF($AC102="","0-2",IF($AC102&lt;=2,"0-2",IF($AC102=3,"3",IF($AC102&lt;=5,"4-5","6-7")))))</f>
        <v/>
      </c>
      <c r="BG102" s="40">
        <f>IF($A102="","",$Z102*$AM102*$AN102*(1-$AO102))</f>
        <v/>
      </c>
      <c r="BH102" s="40">
        <f>IF($A102="","",$Z102*(TSOFR3M+$AP102)*$V102/DayBasis)</f>
        <v/>
      </c>
      <c r="BI102" s="43">
        <f>IF($A102="","",$C102+$Z102*1E-13)</f>
        <v/>
      </c>
    </row>
    <row r="103">
      <c r="B103" s="32" t="n"/>
      <c r="C103" s="33" t="n"/>
      <c r="E103" s="33" t="n"/>
      <c r="H103" s="34" t="n"/>
      <c r="X103" s="35" t="n"/>
      <c r="Y103" s="35" t="n"/>
      <c r="Z103" s="35" t="n"/>
      <c r="AA103" s="35" t="n"/>
      <c r="AB103" s="35" t="n"/>
      <c r="AD103" s="36" t="n"/>
      <c r="AE103" s="36" t="n"/>
      <c r="AF103" s="36" t="n"/>
      <c r="AK103" s="37">
        <f>IF($A103="","",IF(GradeRule="quantile",$I103,$F103))</f>
        <v/>
      </c>
      <c r="AL103" s="38">
        <f>IF($A103="","",CHOOSE(MATCH($AK103,{"S","A","B","C"},0),PD_S,PD_A,PD_B,PD_C))</f>
        <v/>
      </c>
      <c r="AM103" s="38">
        <f>IF($A103="","",IF($AH103=1,1,$AL103))</f>
        <v/>
      </c>
      <c r="AN103" s="38">
        <f>IF($A103="","",IF(OR($U103="LC_SIGHT",$U103="LC_USANCE"),LGD_LC,LGD))</f>
        <v/>
      </c>
      <c r="AO103" s="38">
        <f>IF($A103="","",IF($W103="Y",Cov,0))</f>
        <v/>
      </c>
      <c r="AP103" s="38">
        <f>IF($A103="","",CHOOSE(MATCH($AK103,{"S","A","B","C"},0),Spread_S,Spread_A,Spread_B,Spread_C))</f>
        <v/>
      </c>
      <c r="AQ103" s="38">
        <f>IF($A103="","",CHOOSE(MATCH($AK103,{"S","A","B","C"},0),Prem_S,Prem_A,Prem_B,Prem_C))</f>
        <v/>
      </c>
      <c r="AR103" s="39">
        <f>IF(OR($A103="",$V103&lt;=0),"",TSOFR3M+$AP103+$AL103*$AN103)</f>
        <v/>
      </c>
      <c r="AS103" s="39">
        <f>IF(OR($A103="",$V103&lt;=0),"",TSOFR3M+$AP103+$AQ103*365/$V103+$AL103*$AN103*(1-Cov))</f>
        <v/>
      </c>
      <c r="AT103" s="39">
        <f>IF(OR($A103="",$V103&lt;=0),"",IF($W103="Y",$AS103,$AR103))</f>
        <v/>
      </c>
      <c r="AU103" s="37">
        <f>IF(OR($A103="",$V103&lt;=0),"",IF($AS103&lt;$AR103,"부보 유리","무보험 유리"))</f>
        <v/>
      </c>
      <c r="AV103" s="40">
        <f>IF($A103="","",$Y103*($V103+Grace)/30)</f>
        <v/>
      </c>
      <c r="AW103" s="40">
        <f>IF($A103="","",CHOOSE(MATCH($AK103,{"S","A","B","C"},0),$AV103,Cap_A,Cap_B,Cap_C_OA))</f>
        <v/>
      </c>
      <c r="AX103" s="40">
        <f>IF($A103="","",IF($W103="Y",$X103,0))</f>
        <v/>
      </c>
      <c r="AY103" s="40">
        <f>IF($A103="","",Equity_USD*CHOOSE(MATCH($AK103,{"S","A","B","C"},0),s_S,s_A,s_B,s_C))</f>
        <v/>
      </c>
      <c r="AZ103" s="37">
        <f>IF($A103="","",'13_EarlyWarning'!$AH106)</f>
        <v/>
      </c>
      <c r="BA103" s="37">
        <f>IF($A103="","",IF(OR($U103="LC_SIGHT",$U103="LC_USANCE",$U103="TT_ADV"),"대상 아님","대상"))</f>
        <v/>
      </c>
      <c r="BB103" s="40">
        <f>IF($A103="","",IF(OR($BA103="대상 아님",$AZ103&lt;&gt;"",$AH103=1),0,MIN($AV103,$AW103,$AX103+$AY103)))</f>
        <v/>
      </c>
      <c r="BC103" s="40">
        <f>IF($A103="","",IF($AG103=1,MIN(StratMin*$AB103,$BB103),0))</f>
        <v/>
      </c>
      <c r="BD103" s="41">
        <f>IF($A103="","",IF(OR($V103&lt;=0,$BB103&lt;=0),0,Util*(GM*365/$V103-$AT103)))</f>
        <v/>
      </c>
      <c r="BE103" s="42">
        <f>IF($A103="","",Util*$AL103*$AN103*(1-$AO103))</f>
        <v/>
      </c>
      <c r="BF103" s="37">
        <f>IF($A103="","",IF($AC103="","0-2",IF($AC103&lt;=2,"0-2",IF($AC103=3,"3",IF($AC103&lt;=5,"4-5","6-7")))))</f>
        <v/>
      </c>
      <c r="BG103" s="40">
        <f>IF($A103="","",$Z103*$AM103*$AN103*(1-$AO103))</f>
        <v/>
      </c>
      <c r="BH103" s="40">
        <f>IF($A103="","",$Z103*(TSOFR3M+$AP103)*$V103/DayBasis)</f>
        <v/>
      </c>
      <c r="BI103" s="43">
        <f>IF($A103="","",$C103+$Z103*1E-13)</f>
        <v/>
      </c>
    </row>
    <row r="104">
      <c r="B104" s="32" t="n"/>
      <c r="C104" s="33" t="n"/>
      <c r="E104" s="33" t="n"/>
      <c r="H104" s="34" t="n"/>
      <c r="X104" s="35" t="n"/>
      <c r="Y104" s="35" t="n"/>
      <c r="Z104" s="35" t="n"/>
      <c r="AA104" s="35" t="n"/>
      <c r="AB104" s="35" t="n"/>
      <c r="AD104" s="36" t="n"/>
      <c r="AE104" s="36" t="n"/>
      <c r="AF104" s="36" t="n"/>
      <c r="AK104" s="37">
        <f>IF($A104="","",IF(GradeRule="quantile",$I104,$F104))</f>
        <v/>
      </c>
      <c r="AL104" s="38">
        <f>IF($A104="","",CHOOSE(MATCH($AK104,{"S","A","B","C"},0),PD_S,PD_A,PD_B,PD_C))</f>
        <v/>
      </c>
      <c r="AM104" s="38">
        <f>IF($A104="","",IF($AH104=1,1,$AL104))</f>
        <v/>
      </c>
      <c r="AN104" s="38">
        <f>IF($A104="","",IF(OR($U104="LC_SIGHT",$U104="LC_USANCE"),LGD_LC,LGD))</f>
        <v/>
      </c>
      <c r="AO104" s="38">
        <f>IF($A104="","",IF($W104="Y",Cov,0))</f>
        <v/>
      </c>
      <c r="AP104" s="38">
        <f>IF($A104="","",CHOOSE(MATCH($AK104,{"S","A","B","C"},0),Spread_S,Spread_A,Spread_B,Spread_C))</f>
        <v/>
      </c>
      <c r="AQ104" s="38">
        <f>IF($A104="","",CHOOSE(MATCH($AK104,{"S","A","B","C"},0),Prem_S,Prem_A,Prem_B,Prem_C))</f>
        <v/>
      </c>
      <c r="AR104" s="39">
        <f>IF(OR($A104="",$V104&lt;=0),"",TSOFR3M+$AP104+$AL104*$AN104)</f>
        <v/>
      </c>
      <c r="AS104" s="39">
        <f>IF(OR($A104="",$V104&lt;=0),"",TSOFR3M+$AP104+$AQ104*365/$V104+$AL104*$AN104*(1-Cov))</f>
        <v/>
      </c>
      <c r="AT104" s="39">
        <f>IF(OR($A104="",$V104&lt;=0),"",IF($W104="Y",$AS104,$AR104))</f>
        <v/>
      </c>
      <c r="AU104" s="37">
        <f>IF(OR($A104="",$V104&lt;=0),"",IF($AS104&lt;$AR104,"부보 유리","무보험 유리"))</f>
        <v/>
      </c>
      <c r="AV104" s="40">
        <f>IF($A104="","",$Y104*($V104+Grace)/30)</f>
        <v/>
      </c>
      <c r="AW104" s="40">
        <f>IF($A104="","",CHOOSE(MATCH($AK104,{"S","A","B","C"},0),$AV104,Cap_A,Cap_B,Cap_C_OA))</f>
        <v/>
      </c>
      <c r="AX104" s="40">
        <f>IF($A104="","",IF($W104="Y",$X104,0))</f>
        <v/>
      </c>
      <c r="AY104" s="40">
        <f>IF($A104="","",Equity_USD*CHOOSE(MATCH($AK104,{"S","A","B","C"},0),s_S,s_A,s_B,s_C))</f>
        <v/>
      </c>
      <c r="AZ104" s="37">
        <f>IF($A104="","",'13_EarlyWarning'!$AH107)</f>
        <v/>
      </c>
      <c r="BA104" s="37">
        <f>IF($A104="","",IF(OR($U104="LC_SIGHT",$U104="LC_USANCE",$U104="TT_ADV"),"대상 아님","대상"))</f>
        <v/>
      </c>
      <c r="BB104" s="40">
        <f>IF($A104="","",IF(OR($BA104="대상 아님",$AZ104&lt;&gt;"",$AH104=1),0,MIN($AV104,$AW104,$AX104+$AY104)))</f>
        <v/>
      </c>
      <c r="BC104" s="40">
        <f>IF($A104="","",IF($AG104=1,MIN(StratMin*$AB104,$BB104),0))</f>
        <v/>
      </c>
      <c r="BD104" s="41">
        <f>IF($A104="","",IF(OR($V104&lt;=0,$BB104&lt;=0),0,Util*(GM*365/$V104-$AT104)))</f>
        <v/>
      </c>
      <c r="BE104" s="42">
        <f>IF($A104="","",Util*$AL104*$AN104*(1-$AO104))</f>
        <v/>
      </c>
      <c r="BF104" s="37">
        <f>IF($A104="","",IF($AC104="","0-2",IF($AC104&lt;=2,"0-2",IF($AC104=3,"3",IF($AC104&lt;=5,"4-5","6-7")))))</f>
        <v/>
      </c>
      <c r="BG104" s="40">
        <f>IF($A104="","",$Z104*$AM104*$AN104*(1-$AO104))</f>
        <v/>
      </c>
      <c r="BH104" s="40">
        <f>IF($A104="","",$Z104*(TSOFR3M+$AP104)*$V104/DayBasis)</f>
        <v/>
      </c>
      <c r="BI104" s="43">
        <f>IF($A104="","",$C104+$Z104*1E-13)</f>
        <v/>
      </c>
    </row>
    <row r="105">
      <c r="B105" s="32" t="n"/>
      <c r="C105" s="33" t="n"/>
      <c r="E105" s="33" t="n"/>
      <c r="H105" s="34" t="n"/>
      <c r="X105" s="35" t="n"/>
      <c r="Y105" s="35" t="n"/>
      <c r="Z105" s="35" t="n"/>
      <c r="AA105" s="35" t="n"/>
      <c r="AB105" s="35" t="n"/>
      <c r="AD105" s="36" t="n"/>
      <c r="AE105" s="36" t="n"/>
      <c r="AF105" s="36" t="n"/>
      <c r="AK105" s="37">
        <f>IF($A105="","",IF(GradeRule="quantile",$I105,$F105))</f>
        <v/>
      </c>
      <c r="AL105" s="38">
        <f>IF($A105="","",CHOOSE(MATCH($AK105,{"S","A","B","C"},0),PD_S,PD_A,PD_B,PD_C))</f>
        <v/>
      </c>
      <c r="AM105" s="38">
        <f>IF($A105="","",IF($AH105=1,1,$AL105))</f>
        <v/>
      </c>
      <c r="AN105" s="38">
        <f>IF($A105="","",IF(OR($U105="LC_SIGHT",$U105="LC_USANCE"),LGD_LC,LGD))</f>
        <v/>
      </c>
      <c r="AO105" s="38">
        <f>IF($A105="","",IF($W105="Y",Cov,0))</f>
        <v/>
      </c>
      <c r="AP105" s="38">
        <f>IF($A105="","",CHOOSE(MATCH($AK105,{"S","A","B","C"},0),Spread_S,Spread_A,Spread_B,Spread_C))</f>
        <v/>
      </c>
      <c r="AQ105" s="38">
        <f>IF($A105="","",CHOOSE(MATCH($AK105,{"S","A","B","C"},0),Prem_S,Prem_A,Prem_B,Prem_C))</f>
        <v/>
      </c>
      <c r="AR105" s="39">
        <f>IF(OR($A105="",$V105&lt;=0),"",TSOFR3M+$AP105+$AL105*$AN105)</f>
        <v/>
      </c>
      <c r="AS105" s="39">
        <f>IF(OR($A105="",$V105&lt;=0),"",TSOFR3M+$AP105+$AQ105*365/$V105+$AL105*$AN105*(1-Cov))</f>
        <v/>
      </c>
      <c r="AT105" s="39">
        <f>IF(OR($A105="",$V105&lt;=0),"",IF($W105="Y",$AS105,$AR105))</f>
        <v/>
      </c>
      <c r="AU105" s="37">
        <f>IF(OR($A105="",$V105&lt;=0),"",IF($AS105&lt;$AR105,"부보 유리","무보험 유리"))</f>
        <v/>
      </c>
      <c r="AV105" s="40">
        <f>IF($A105="","",$Y105*($V105+Grace)/30)</f>
        <v/>
      </c>
      <c r="AW105" s="40">
        <f>IF($A105="","",CHOOSE(MATCH($AK105,{"S","A","B","C"},0),$AV105,Cap_A,Cap_B,Cap_C_OA))</f>
        <v/>
      </c>
      <c r="AX105" s="40">
        <f>IF($A105="","",IF($W105="Y",$X105,0))</f>
        <v/>
      </c>
      <c r="AY105" s="40">
        <f>IF($A105="","",Equity_USD*CHOOSE(MATCH($AK105,{"S","A","B","C"},0),s_S,s_A,s_B,s_C))</f>
        <v/>
      </c>
      <c r="AZ105" s="37">
        <f>IF($A105="","",'13_EarlyWarning'!$AH108)</f>
        <v/>
      </c>
      <c r="BA105" s="37">
        <f>IF($A105="","",IF(OR($U105="LC_SIGHT",$U105="LC_USANCE",$U105="TT_ADV"),"대상 아님","대상"))</f>
        <v/>
      </c>
      <c r="BB105" s="40">
        <f>IF($A105="","",IF(OR($BA105="대상 아님",$AZ105&lt;&gt;"",$AH105=1),0,MIN($AV105,$AW105,$AX105+$AY105)))</f>
        <v/>
      </c>
      <c r="BC105" s="40">
        <f>IF($A105="","",IF($AG105=1,MIN(StratMin*$AB105,$BB105),0))</f>
        <v/>
      </c>
      <c r="BD105" s="41">
        <f>IF($A105="","",IF(OR($V105&lt;=0,$BB105&lt;=0),0,Util*(GM*365/$V105-$AT105)))</f>
        <v/>
      </c>
      <c r="BE105" s="42">
        <f>IF($A105="","",Util*$AL105*$AN105*(1-$AO105))</f>
        <v/>
      </c>
      <c r="BF105" s="37">
        <f>IF($A105="","",IF($AC105="","0-2",IF($AC105&lt;=2,"0-2",IF($AC105=3,"3",IF($AC105&lt;=5,"4-5","6-7")))))</f>
        <v/>
      </c>
      <c r="BG105" s="40">
        <f>IF($A105="","",$Z105*$AM105*$AN105*(1-$AO105))</f>
        <v/>
      </c>
      <c r="BH105" s="40">
        <f>IF($A105="","",$Z105*(TSOFR3M+$AP105)*$V105/DayBasis)</f>
        <v/>
      </c>
      <c r="BI105" s="43">
        <f>IF($A105="","",$C105+$Z105*1E-13)</f>
        <v/>
      </c>
    </row>
    <row r="106">
      <c r="B106" s="32" t="n"/>
      <c r="C106" s="33" t="n"/>
      <c r="E106" s="33" t="n"/>
      <c r="H106" s="34" t="n"/>
      <c r="X106" s="35" t="n"/>
      <c r="Y106" s="35" t="n"/>
      <c r="Z106" s="35" t="n"/>
      <c r="AA106" s="35" t="n"/>
      <c r="AB106" s="35" t="n"/>
      <c r="AD106" s="36" t="n"/>
      <c r="AE106" s="36" t="n"/>
      <c r="AF106" s="36" t="n"/>
      <c r="AK106" s="37">
        <f>IF($A106="","",IF(GradeRule="quantile",$I106,$F106))</f>
        <v/>
      </c>
      <c r="AL106" s="38">
        <f>IF($A106="","",CHOOSE(MATCH($AK106,{"S","A","B","C"},0),PD_S,PD_A,PD_B,PD_C))</f>
        <v/>
      </c>
      <c r="AM106" s="38">
        <f>IF($A106="","",IF($AH106=1,1,$AL106))</f>
        <v/>
      </c>
      <c r="AN106" s="38">
        <f>IF($A106="","",IF(OR($U106="LC_SIGHT",$U106="LC_USANCE"),LGD_LC,LGD))</f>
        <v/>
      </c>
      <c r="AO106" s="38">
        <f>IF($A106="","",IF($W106="Y",Cov,0))</f>
        <v/>
      </c>
      <c r="AP106" s="38">
        <f>IF($A106="","",CHOOSE(MATCH($AK106,{"S","A","B","C"},0),Spread_S,Spread_A,Spread_B,Spread_C))</f>
        <v/>
      </c>
      <c r="AQ106" s="38">
        <f>IF($A106="","",CHOOSE(MATCH($AK106,{"S","A","B","C"},0),Prem_S,Prem_A,Prem_B,Prem_C))</f>
        <v/>
      </c>
      <c r="AR106" s="39">
        <f>IF(OR($A106="",$V106&lt;=0),"",TSOFR3M+$AP106+$AL106*$AN106)</f>
        <v/>
      </c>
      <c r="AS106" s="39">
        <f>IF(OR($A106="",$V106&lt;=0),"",TSOFR3M+$AP106+$AQ106*365/$V106+$AL106*$AN106*(1-Cov))</f>
        <v/>
      </c>
      <c r="AT106" s="39">
        <f>IF(OR($A106="",$V106&lt;=0),"",IF($W106="Y",$AS106,$AR106))</f>
        <v/>
      </c>
      <c r="AU106" s="37">
        <f>IF(OR($A106="",$V106&lt;=0),"",IF($AS106&lt;$AR106,"부보 유리","무보험 유리"))</f>
        <v/>
      </c>
      <c r="AV106" s="40">
        <f>IF($A106="","",$Y106*($V106+Grace)/30)</f>
        <v/>
      </c>
      <c r="AW106" s="40">
        <f>IF($A106="","",CHOOSE(MATCH($AK106,{"S","A","B","C"},0),$AV106,Cap_A,Cap_B,Cap_C_OA))</f>
        <v/>
      </c>
      <c r="AX106" s="40">
        <f>IF($A106="","",IF($W106="Y",$X106,0))</f>
        <v/>
      </c>
      <c r="AY106" s="40">
        <f>IF($A106="","",Equity_USD*CHOOSE(MATCH($AK106,{"S","A","B","C"},0),s_S,s_A,s_B,s_C))</f>
        <v/>
      </c>
      <c r="AZ106" s="37">
        <f>IF($A106="","",'13_EarlyWarning'!$AH109)</f>
        <v/>
      </c>
      <c r="BA106" s="37">
        <f>IF($A106="","",IF(OR($U106="LC_SIGHT",$U106="LC_USANCE",$U106="TT_ADV"),"대상 아님","대상"))</f>
        <v/>
      </c>
      <c r="BB106" s="40">
        <f>IF($A106="","",IF(OR($BA106="대상 아님",$AZ106&lt;&gt;"",$AH106=1),0,MIN($AV106,$AW106,$AX106+$AY106)))</f>
        <v/>
      </c>
      <c r="BC106" s="40">
        <f>IF($A106="","",IF($AG106=1,MIN(StratMin*$AB106,$BB106),0))</f>
        <v/>
      </c>
      <c r="BD106" s="41">
        <f>IF($A106="","",IF(OR($V106&lt;=0,$BB106&lt;=0),0,Util*(GM*365/$V106-$AT106)))</f>
        <v/>
      </c>
      <c r="BE106" s="42">
        <f>IF($A106="","",Util*$AL106*$AN106*(1-$AO106))</f>
        <v/>
      </c>
      <c r="BF106" s="37">
        <f>IF($A106="","",IF($AC106="","0-2",IF($AC106&lt;=2,"0-2",IF($AC106=3,"3",IF($AC106&lt;=5,"4-5","6-7")))))</f>
        <v/>
      </c>
      <c r="BG106" s="40">
        <f>IF($A106="","",$Z106*$AM106*$AN106*(1-$AO106))</f>
        <v/>
      </c>
      <c r="BH106" s="40">
        <f>IF($A106="","",$Z106*(TSOFR3M+$AP106)*$V106/DayBasis)</f>
        <v/>
      </c>
      <c r="BI106" s="43">
        <f>IF($A106="","",$C106+$Z106*1E-13)</f>
        <v/>
      </c>
    </row>
    <row r="107">
      <c r="B107" s="32" t="n"/>
      <c r="C107" s="33" t="n"/>
      <c r="E107" s="33" t="n"/>
      <c r="H107" s="34" t="n"/>
      <c r="X107" s="35" t="n"/>
      <c r="Y107" s="35" t="n"/>
      <c r="Z107" s="35" t="n"/>
      <c r="AA107" s="35" t="n"/>
      <c r="AB107" s="35" t="n"/>
      <c r="AD107" s="36" t="n"/>
      <c r="AE107" s="36" t="n"/>
      <c r="AF107" s="36" t="n"/>
      <c r="AK107" s="37">
        <f>IF($A107="","",IF(GradeRule="quantile",$I107,$F107))</f>
        <v/>
      </c>
      <c r="AL107" s="38">
        <f>IF($A107="","",CHOOSE(MATCH($AK107,{"S","A","B","C"},0),PD_S,PD_A,PD_B,PD_C))</f>
        <v/>
      </c>
      <c r="AM107" s="38">
        <f>IF($A107="","",IF($AH107=1,1,$AL107))</f>
        <v/>
      </c>
      <c r="AN107" s="38">
        <f>IF($A107="","",IF(OR($U107="LC_SIGHT",$U107="LC_USANCE"),LGD_LC,LGD))</f>
        <v/>
      </c>
      <c r="AO107" s="38">
        <f>IF($A107="","",IF($W107="Y",Cov,0))</f>
        <v/>
      </c>
      <c r="AP107" s="38">
        <f>IF($A107="","",CHOOSE(MATCH($AK107,{"S","A","B","C"},0),Spread_S,Spread_A,Spread_B,Spread_C))</f>
        <v/>
      </c>
      <c r="AQ107" s="38">
        <f>IF($A107="","",CHOOSE(MATCH($AK107,{"S","A","B","C"},0),Prem_S,Prem_A,Prem_B,Prem_C))</f>
        <v/>
      </c>
      <c r="AR107" s="39">
        <f>IF(OR($A107="",$V107&lt;=0),"",TSOFR3M+$AP107+$AL107*$AN107)</f>
        <v/>
      </c>
      <c r="AS107" s="39">
        <f>IF(OR($A107="",$V107&lt;=0),"",TSOFR3M+$AP107+$AQ107*365/$V107+$AL107*$AN107*(1-Cov))</f>
        <v/>
      </c>
      <c r="AT107" s="39">
        <f>IF(OR($A107="",$V107&lt;=0),"",IF($W107="Y",$AS107,$AR107))</f>
        <v/>
      </c>
      <c r="AU107" s="37">
        <f>IF(OR($A107="",$V107&lt;=0),"",IF($AS107&lt;$AR107,"부보 유리","무보험 유리"))</f>
        <v/>
      </c>
      <c r="AV107" s="40">
        <f>IF($A107="","",$Y107*($V107+Grace)/30)</f>
        <v/>
      </c>
      <c r="AW107" s="40">
        <f>IF($A107="","",CHOOSE(MATCH($AK107,{"S","A","B","C"},0),$AV107,Cap_A,Cap_B,Cap_C_OA))</f>
        <v/>
      </c>
      <c r="AX107" s="40">
        <f>IF($A107="","",IF($W107="Y",$X107,0))</f>
        <v/>
      </c>
      <c r="AY107" s="40">
        <f>IF($A107="","",Equity_USD*CHOOSE(MATCH($AK107,{"S","A","B","C"},0),s_S,s_A,s_B,s_C))</f>
        <v/>
      </c>
      <c r="AZ107" s="37">
        <f>IF($A107="","",'13_EarlyWarning'!$AH110)</f>
        <v/>
      </c>
      <c r="BA107" s="37">
        <f>IF($A107="","",IF(OR($U107="LC_SIGHT",$U107="LC_USANCE",$U107="TT_ADV"),"대상 아님","대상"))</f>
        <v/>
      </c>
      <c r="BB107" s="40">
        <f>IF($A107="","",IF(OR($BA107="대상 아님",$AZ107&lt;&gt;"",$AH107=1),0,MIN($AV107,$AW107,$AX107+$AY107)))</f>
        <v/>
      </c>
      <c r="BC107" s="40">
        <f>IF($A107="","",IF($AG107=1,MIN(StratMin*$AB107,$BB107),0))</f>
        <v/>
      </c>
      <c r="BD107" s="41">
        <f>IF($A107="","",IF(OR($V107&lt;=0,$BB107&lt;=0),0,Util*(GM*365/$V107-$AT107)))</f>
        <v/>
      </c>
      <c r="BE107" s="42">
        <f>IF($A107="","",Util*$AL107*$AN107*(1-$AO107))</f>
        <v/>
      </c>
      <c r="BF107" s="37">
        <f>IF($A107="","",IF($AC107="","0-2",IF($AC107&lt;=2,"0-2",IF($AC107=3,"3",IF($AC107&lt;=5,"4-5","6-7")))))</f>
        <v/>
      </c>
      <c r="BG107" s="40">
        <f>IF($A107="","",$Z107*$AM107*$AN107*(1-$AO107))</f>
        <v/>
      </c>
      <c r="BH107" s="40">
        <f>IF($A107="","",$Z107*(TSOFR3M+$AP107)*$V107/DayBasis)</f>
        <v/>
      </c>
      <c r="BI107" s="43">
        <f>IF($A107="","",$C107+$Z107*1E-13)</f>
        <v/>
      </c>
    </row>
    <row r="108">
      <c r="B108" s="32" t="n"/>
      <c r="C108" s="33" t="n"/>
      <c r="E108" s="33" t="n"/>
      <c r="H108" s="34" t="n"/>
      <c r="X108" s="35" t="n"/>
      <c r="Y108" s="35" t="n"/>
      <c r="Z108" s="35" t="n"/>
      <c r="AA108" s="35" t="n"/>
      <c r="AB108" s="35" t="n"/>
      <c r="AD108" s="36" t="n"/>
      <c r="AE108" s="36" t="n"/>
      <c r="AF108" s="36" t="n"/>
      <c r="AK108" s="37">
        <f>IF($A108="","",IF(GradeRule="quantile",$I108,$F108))</f>
        <v/>
      </c>
      <c r="AL108" s="38">
        <f>IF($A108="","",CHOOSE(MATCH($AK108,{"S","A","B","C"},0),PD_S,PD_A,PD_B,PD_C))</f>
        <v/>
      </c>
      <c r="AM108" s="38">
        <f>IF($A108="","",IF($AH108=1,1,$AL108))</f>
        <v/>
      </c>
      <c r="AN108" s="38">
        <f>IF($A108="","",IF(OR($U108="LC_SIGHT",$U108="LC_USANCE"),LGD_LC,LGD))</f>
        <v/>
      </c>
      <c r="AO108" s="38">
        <f>IF($A108="","",IF($W108="Y",Cov,0))</f>
        <v/>
      </c>
      <c r="AP108" s="38">
        <f>IF($A108="","",CHOOSE(MATCH($AK108,{"S","A","B","C"},0),Spread_S,Spread_A,Spread_B,Spread_C))</f>
        <v/>
      </c>
      <c r="AQ108" s="38">
        <f>IF($A108="","",CHOOSE(MATCH($AK108,{"S","A","B","C"},0),Prem_S,Prem_A,Prem_B,Prem_C))</f>
        <v/>
      </c>
      <c r="AR108" s="39">
        <f>IF(OR($A108="",$V108&lt;=0),"",TSOFR3M+$AP108+$AL108*$AN108)</f>
        <v/>
      </c>
      <c r="AS108" s="39">
        <f>IF(OR($A108="",$V108&lt;=0),"",TSOFR3M+$AP108+$AQ108*365/$V108+$AL108*$AN108*(1-Cov))</f>
        <v/>
      </c>
      <c r="AT108" s="39">
        <f>IF(OR($A108="",$V108&lt;=0),"",IF($W108="Y",$AS108,$AR108))</f>
        <v/>
      </c>
      <c r="AU108" s="37">
        <f>IF(OR($A108="",$V108&lt;=0),"",IF($AS108&lt;$AR108,"부보 유리","무보험 유리"))</f>
        <v/>
      </c>
      <c r="AV108" s="40">
        <f>IF($A108="","",$Y108*($V108+Grace)/30)</f>
        <v/>
      </c>
      <c r="AW108" s="40">
        <f>IF($A108="","",CHOOSE(MATCH($AK108,{"S","A","B","C"},0),$AV108,Cap_A,Cap_B,Cap_C_OA))</f>
        <v/>
      </c>
      <c r="AX108" s="40">
        <f>IF($A108="","",IF($W108="Y",$X108,0))</f>
        <v/>
      </c>
      <c r="AY108" s="40">
        <f>IF($A108="","",Equity_USD*CHOOSE(MATCH($AK108,{"S","A","B","C"},0),s_S,s_A,s_B,s_C))</f>
        <v/>
      </c>
      <c r="AZ108" s="37">
        <f>IF($A108="","",'13_EarlyWarning'!$AH111)</f>
        <v/>
      </c>
      <c r="BA108" s="37">
        <f>IF($A108="","",IF(OR($U108="LC_SIGHT",$U108="LC_USANCE",$U108="TT_ADV"),"대상 아님","대상"))</f>
        <v/>
      </c>
      <c r="BB108" s="40">
        <f>IF($A108="","",IF(OR($BA108="대상 아님",$AZ108&lt;&gt;"",$AH108=1),0,MIN($AV108,$AW108,$AX108+$AY108)))</f>
        <v/>
      </c>
      <c r="BC108" s="40">
        <f>IF($A108="","",IF($AG108=1,MIN(StratMin*$AB108,$BB108),0))</f>
        <v/>
      </c>
      <c r="BD108" s="41">
        <f>IF($A108="","",IF(OR($V108&lt;=0,$BB108&lt;=0),0,Util*(GM*365/$V108-$AT108)))</f>
        <v/>
      </c>
      <c r="BE108" s="42">
        <f>IF($A108="","",Util*$AL108*$AN108*(1-$AO108))</f>
        <v/>
      </c>
      <c r="BF108" s="37">
        <f>IF($A108="","",IF($AC108="","0-2",IF($AC108&lt;=2,"0-2",IF($AC108=3,"3",IF($AC108&lt;=5,"4-5","6-7")))))</f>
        <v/>
      </c>
      <c r="BG108" s="40">
        <f>IF($A108="","",$Z108*$AM108*$AN108*(1-$AO108))</f>
        <v/>
      </c>
      <c r="BH108" s="40">
        <f>IF($A108="","",$Z108*(TSOFR3M+$AP108)*$V108/DayBasis)</f>
        <v/>
      </c>
      <c r="BI108" s="43">
        <f>IF($A108="","",$C108+$Z108*1E-13)</f>
        <v/>
      </c>
    </row>
    <row r="109">
      <c r="B109" s="32" t="n"/>
      <c r="C109" s="33" t="n"/>
      <c r="E109" s="33" t="n"/>
      <c r="H109" s="34" t="n"/>
      <c r="X109" s="35" t="n"/>
      <c r="Y109" s="35" t="n"/>
      <c r="Z109" s="35" t="n"/>
      <c r="AA109" s="35" t="n"/>
      <c r="AB109" s="35" t="n"/>
      <c r="AD109" s="36" t="n"/>
      <c r="AE109" s="36" t="n"/>
      <c r="AF109" s="36" t="n"/>
      <c r="AK109" s="37">
        <f>IF($A109="","",IF(GradeRule="quantile",$I109,$F109))</f>
        <v/>
      </c>
      <c r="AL109" s="38">
        <f>IF($A109="","",CHOOSE(MATCH($AK109,{"S","A","B","C"},0),PD_S,PD_A,PD_B,PD_C))</f>
        <v/>
      </c>
      <c r="AM109" s="38">
        <f>IF($A109="","",IF($AH109=1,1,$AL109))</f>
        <v/>
      </c>
      <c r="AN109" s="38">
        <f>IF($A109="","",IF(OR($U109="LC_SIGHT",$U109="LC_USANCE"),LGD_LC,LGD))</f>
        <v/>
      </c>
      <c r="AO109" s="38">
        <f>IF($A109="","",IF($W109="Y",Cov,0))</f>
        <v/>
      </c>
      <c r="AP109" s="38">
        <f>IF($A109="","",CHOOSE(MATCH($AK109,{"S","A","B","C"},0),Spread_S,Spread_A,Spread_B,Spread_C))</f>
        <v/>
      </c>
      <c r="AQ109" s="38">
        <f>IF($A109="","",CHOOSE(MATCH($AK109,{"S","A","B","C"},0),Prem_S,Prem_A,Prem_B,Prem_C))</f>
        <v/>
      </c>
      <c r="AR109" s="39">
        <f>IF(OR($A109="",$V109&lt;=0),"",TSOFR3M+$AP109+$AL109*$AN109)</f>
        <v/>
      </c>
      <c r="AS109" s="39">
        <f>IF(OR($A109="",$V109&lt;=0),"",TSOFR3M+$AP109+$AQ109*365/$V109+$AL109*$AN109*(1-Cov))</f>
        <v/>
      </c>
      <c r="AT109" s="39">
        <f>IF(OR($A109="",$V109&lt;=0),"",IF($W109="Y",$AS109,$AR109))</f>
        <v/>
      </c>
      <c r="AU109" s="37">
        <f>IF(OR($A109="",$V109&lt;=0),"",IF($AS109&lt;$AR109,"부보 유리","무보험 유리"))</f>
        <v/>
      </c>
      <c r="AV109" s="40">
        <f>IF($A109="","",$Y109*($V109+Grace)/30)</f>
        <v/>
      </c>
      <c r="AW109" s="40">
        <f>IF($A109="","",CHOOSE(MATCH($AK109,{"S","A","B","C"},0),$AV109,Cap_A,Cap_B,Cap_C_OA))</f>
        <v/>
      </c>
      <c r="AX109" s="40">
        <f>IF($A109="","",IF($W109="Y",$X109,0))</f>
        <v/>
      </c>
      <c r="AY109" s="40">
        <f>IF($A109="","",Equity_USD*CHOOSE(MATCH($AK109,{"S","A","B","C"},0),s_S,s_A,s_B,s_C))</f>
        <v/>
      </c>
      <c r="AZ109" s="37">
        <f>IF($A109="","",'13_EarlyWarning'!$AH112)</f>
        <v/>
      </c>
      <c r="BA109" s="37">
        <f>IF($A109="","",IF(OR($U109="LC_SIGHT",$U109="LC_USANCE",$U109="TT_ADV"),"대상 아님","대상"))</f>
        <v/>
      </c>
      <c r="BB109" s="40">
        <f>IF($A109="","",IF(OR($BA109="대상 아님",$AZ109&lt;&gt;"",$AH109=1),0,MIN($AV109,$AW109,$AX109+$AY109)))</f>
        <v/>
      </c>
      <c r="BC109" s="40">
        <f>IF($A109="","",IF($AG109=1,MIN(StratMin*$AB109,$BB109),0))</f>
        <v/>
      </c>
      <c r="BD109" s="41">
        <f>IF($A109="","",IF(OR($V109&lt;=0,$BB109&lt;=0),0,Util*(GM*365/$V109-$AT109)))</f>
        <v/>
      </c>
      <c r="BE109" s="42">
        <f>IF($A109="","",Util*$AL109*$AN109*(1-$AO109))</f>
        <v/>
      </c>
      <c r="BF109" s="37">
        <f>IF($A109="","",IF($AC109="","0-2",IF($AC109&lt;=2,"0-2",IF($AC109=3,"3",IF($AC109&lt;=5,"4-5","6-7")))))</f>
        <v/>
      </c>
      <c r="BG109" s="40">
        <f>IF($A109="","",$Z109*$AM109*$AN109*(1-$AO109))</f>
        <v/>
      </c>
      <c r="BH109" s="40">
        <f>IF($A109="","",$Z109*(TSOFR3M+$AP109)*$V109/DayBasis)</f>
        <v/>
      </c>
      <c r="BI109" s="43">
        <f>IF($A109="","",$C109+$Z109*1E-13)</f>
        <v/>
      </c>
    </row>
    <row r="110">
      <c r="B110" s="32" t="n"/>
      <c r="C110" s="33" t="n"/>
      <c r="E110" s="33" t="n"/>
      <c r="H110" s="34" t="n"/>
      <c r="X110" s="35" t="n"/>
      <c r="Y110" s="35" t="n"/>
      <c r="Z110" s="35" t="n"/>
      <c r="AA110" s="35" t="n"/>
      <c r="AB110" s="35" t="n"/>
      <c r="AD110" s="36" t="n"/>
      <c r="AE110" s="36" t="n"/>
      <c r="AF110" s="36" t="n"/>
      <c r="AK110" s="37">
        <f>IF($A110="","",IF(GradeRule="quantile",$I110,$F110))</f>
        <v/>
      </c>
      <c r="AL110" s="38">
        <f>IF($A110="","",CHOOSE(MATCH($AK110,{"S","A","B","C"},0),PD_S,PD_A,PD_B,PD_C))</f>
        <v/>
      </c>
      <c r="AM110" s="38">
        <f>IF($A110="","",IF($AH110=1,1,$AL110))</f>
        <v/>
      </c>
      <c r="AN110" s="38">
        <f>IF($A110="","",IF(OR($U110="LC_SIGHT",$U110="LC_USANCE"),LGD_LC,LGD))</f>
        <v/>
      </c>
      <c r="AO110" s="38">
        <f>IF($A110="","",IF($W110="Y",Cov,0))</f>
        <v/>
      </c>
      <c r="AP110" s="38">
        <f>IF($A110="","",CHOOSE(MATCH($AK110,{"S","A","B","C"},0),Spread_S,Spread_A,Spread_B,Spread_C))</f>
        <v/>
      </c>
      <c r="AQ110" s="38">
        <f>IF($A110="","",CHOOSE(MATCH($AK110,{"S","A","B","C"},0),Prem_S,Prem_A,Prem_B,Prem_C))</f>
        <v/>
      </c>
      <c r="AR110" s="39">
        <f>IF(OR($A110="",$V110&lt;=0),"",TSOFR3M+$AP110+$AL110*$AN110)</f>
        <v/>
      </c>
      <c r="AS110" s="39">
        <f>IF(OR($A110="",$V110&lt;=0),"",TSOFR3M+$AP110+$AQ110*365/$V110+$AL110*$AN110*(1-Cov))</f>
        <v/>
      </c>
      <c r="AT110" s="39">
        <f>IF(OR($A110="",$V110&lt;=0),"",IF($W110="Y",$AS110,$AR110))</f>
        <v/>
      </c>
      <c r="AU110" s="37">
        <f>IF(OR($A110="",$V110&lt;=0),"",IF($AS110&lt;$AR110,"부보 유리","무보험 유리"))</f>
        <v/>
      </c>
      <c r="AV110" s="40">
        <f>IF($A110="","",$Y110*($V110+Grace)/30)</f>
        <v/>
      </c>
      <c r="AW110" s="40">
        <f>IF($A110="","",CHOOSE(MATCH($AK110,{"S","A","B","C"},0),$AV110,Cap_A,Cap_B,Cap_C_OA))</f>
        <v/>
      </c>
      <c r="AX110" s="40">
        <f>IF($A110="","",IF($W110="Y",$X110,0))</f>
        <v/>
      </c>
      <c r="AY110" s="40">
        <f>IF($A110="","",Equity_USD*CHOOSE(MATCH($AK110,{"S","A","B","C"},0),s_S,s_A,s_B,s_C))</f>
        <v/>
      </c>
      <c r="AZ110" s="37">
        <f>IF($A110="","",'13_EarlyWarning'!$AH113)</f>
        <v/>
      </c>
      <c r="BA110" s="37">
        <f>IF($A110="","",IF(OR($U110="LC_SIGHT",$U110="LC_USANCE",$U110="TT_ADV"),"대상 아님","대상"))</f>
        <v/>
      </c>
      <c r="BB110" s="40">
        <f>IF($A110="","",IF(OR($BA110="대상 아님",$AZ110&lt;&gt;"",$AH110=1),0,MIN($AV110,$AW110,$AX110+$AY110)))</f>
        <v/>
      </c>
      <c r="BC110" s="40">
        <f>IF($A110="","",IF($AG110=1,MIN(StratMin*$AB110,$BB110),0))</f>
        <v/>
      </c>
      <c r="BD110" s="41">
        <f>IF($A110="","",IF(OR($V110&lt;=0,$BB110&lt;=0),0,Util*(GM*365/$V110-$AT110)))</f>
        <v/>
      </c>
      <c r="BE110" s="42">
        <f>IF($A110="","",Util*$AL110*$AN110*(1-$AO110))</f>
        <v/>
      </c>
      <c r="BF110" s="37">
        <f>IF($A110="","",IF($AC110="","0-2",IF($AC110&lt;=2,"0-2",IF($AC110=3,"3",IF($AC110&lt;=5,"4-5","6-7")))))</f>
        <v/>
      </c>
      <c r="BG110" s="40">
        <f>IF($A110="","",$Z110*$AM110*$AN110*(1-$AO110))</f>
        <v/>
      </c>
      <c r="BH110" s="40">
        <f>IF($A110="","",$Z110*(TSOFR3M+$AP110)*$V110/DayBasis)</f>
        <v/>
      </c>
      <c r="BI110" s="43">
        <f>IF($A110="","",$C110+$Z110*1E-13)</f>
        <v/>
      </c>
    </row>
    <row r="111">
      <c r="B111" s="32" t="n"/>
      <c r="C111" s="33" t="n"/>
      <c r="E111" s="33" t="n"/>
      <c r="H111" s="34" t="n"/>
      <c r="X111" s="35" t="n"/>
      <c r="Y111" s="35" t="n"/>
      <c r="Z111" s="35" t="n"/>
      <c r="AA111" s="35" t="n"/>
      <c r="AB111" s="35" t="n"/>
      <c r="AD111" s="36" t="n"/>
      <c r="AE111" s="36" t="n"/>
      <c r="AF111" s="36" t="n"/>
      <c r="AK111" s="37">
        <f>IF($A111="","",IF(GradeRule="quantile",$I111,$F111))</f>
        <v/>
      </c>
      <c r="AL111" s="38">
        <f>IF($A111="","",CHOOSE(MATCH($AK111,{"S","A","B","C"},0),PD_S,PD_A,PD_B,PD_C))</f>
        <v/>
      </c>
      <c r="AM111" s="38">
        <f>IF($A111="","",IF($AH111=1,1,$AL111))</f>
        <v/>
      </c>
      <c r="AN111" s="38">
        <f>IF($A111="","",IF(OR($U111="LC_SIGHT",$U111="LC_USANCE"),LGD_LC,LGD))</f>
        <v/>
      </c>
      <c r="AO111" s="38">
        <f>IF($A111="","",IF($W111="Y",Cov,0))</f>
        <v/>
      </c>
      <c r="AP111" s="38">
        <f>IF($A111="","",CHOOSE(MATCH($AK111,{"S","A","B","C"},0),Spread_S,Spread_A,Spread_B,Spread_C))</f>
        <v/>
      </c>
      <c r="AQ111" s="38">
        <f>IF($A111="","",CHOOSE(MATCH($AK111,{"S","A","B","C"},0),Prem_S,Prem_A,Prem_B,Prem_C))</f>
        <v/>
      </c>
      <c r="AR111" s="39">
        <f>IF(OR($A111="",$V111&lt;=0),"",TSOFR3M+$AP111+$AL111*$AN111)</f>
        <v/>
      </c>
      <c r="AS111" s="39">
        <f>IF(OR($A111="",$V111&lt;=0),"",TSOFR3M+$AP111+$AQ111*365/$V111+$AL111*$AN111*(1-Cov))</f>
        <v/>
      </c>
      <c r="AT111" s="39">
        <f>IF(OR($A111="",$V111&lt;=0),"",IF($W111="Y",$AS111,$AR111))</f>
        <v/>
      </c>
      <c r="AU111" s="37">
        <f>IF(OR($A111="",$V111&lt;=0),"",IF($AS111&lt;$AR111,"부보 유리","무보험 유리"))</f>
        <v/>
      </c>
      <c r="AV111" s="40">
        <f>IF($A111="","",$Y111*($V111+Grace)/30)</f>
        <v/>
      </c>
      <c r="AW111" s="40">
        <f>IF($A111="","",CHOOSE(MATCH($AK111,{"S","A","B","C"},0),$AV111,Cap_A,Cap_B,Cap_C_OA))</f>
        <v/>
      </c>
      <c r="AX111" s="40">
        <f>IF($A111="","",IF($W111="Y",$X111,0))</f>
        <v/>
      </c>
      <c r="AY111" s="40">
        <f>IF($A111="","",Equity_USD*CHOOSE(MATCH($AK111,{"S","A","B","C"},0),s_S,s_A,s_B,s_C))</f>
        <v/>
      </c>
      <c r="AZ111" s="37">
        <f>IF($A111="","",'13_EarlyWarning'!$AH114)</f>
        <v/>
      </c>
      <c r="BA111" s="37">
        <f>IF($A111="","",IF(OR($U111="LC_SIGHT",$U111="LC_USANCE",$U111="TT_ADV"),"대상 아님","대상"))</f>
        <v/>
      </c>
      <c r="BB111" s="40">
        <f>IF($A111="","",IF(OR($BA111="대상 아님",$AZ111&lt;&gt;"",$AH111=1),0,MIN($AV111,$AW111,$AX111+$AY111)))</f>
        <v/>
      </c>
      <c r="BC111" s="40">
        <f>IF($A111="","",IF($AG111=1,MIN(StratMin*$AB111,$BB111),0))</f>
        <v/>
      </c>
      <c r="BD111" s="41">
        <f>IF($A111="","",IF(OR($V111&lt;=0,$BB111&lt;=0),0,Util*(GM*365/$V111-$AT111)))</f>
        <v/>
      </c>
      <c r="BE111" s="42">
        <f>IF($A111="","",Util*$AL111*$AN111*(1-$AO111))</f>
        <v/>
      </c>
      <c r="BF111" s="37">
        <f>IF($A111="","",IF($AC111="","0-2",IF($AC111&lt;=2,"0-2",IF($AC111=3,"3",IF($AC111&lt;=5,"4-5","6-7")))))</f>
        <v/>
      </c>
      <c r="BG111" s="40">
        <f>IF($A111="","",$Z111*$AM111*$AN111*(1-$AO111))</f>
        <v/>
      </c>
      <c r="BH111" s="40">
        <f>IF($A111="","",$Z111*(TSOFR3M+$AP111)*$V111/DayBasis)</f>
        <v/>
      </c>
      <c r="BI111" s="43">
        <f>IF($A111="","",$C111+$Z111*1E-13)</f>
        <v/>
      </c>
    </row>
    <row r="112">
      <c r="B112" s="32" t="n"/>
      <c r="C112" s="33" t="n"/>
      <c r="E112" s="33" t="n"/>
      <c r="H112" s="34" t="n"/>
      <c r="X112" s="35" t="n"/>
      <c r="Y112" s="35" t="n"/>
      <c r="Z112" s="35" t="n"/>
      <c r="AA112" s="35" t="n"/>
      <c r="AB112" s="35" t="n"/>
      <c r="AD112" s="36" t="n"/>
      <c r="AE112" s="36" t="n"/>
      <c r="AF112" s="36" t="n"/>
      <c r="AK112" s="37">
        <f>IF($A112="","",IF(GradeRule="quantile",$I112,$F112))</f>
        <v/>
      </c>
      <c r="AL112" s="38">
        <f>IF($A112="","",CHOOSE(MATCH($AK112,{"S","A","B","C"},0),PD_S,PD_A,PD_B,PD_C))</f>
        <v/>
      </c>
      <c r="AM112" s="38">
        <f>IF($A112="","",IF($AH112=1,1,$AL112))</f>
        <v/>
      </c>
      <c r="AN112" s="38">
        <f>IF($A112="","",IF(OR($U112="LC_SIGHT",$U112="LC_USANCE"),LGD_LC,LGD))</f>
        <v/>
      </c>
      <c r="AO112" s="38">
        <f>IF($A112="","",IF($W112="Y",Cov,0))</f>
        <v/>
      </c>
      <c r="AP112" s="38">
        <f>IF($A112="","",CHOOSE(MATCH($AK112,{"S","A","B","C"},0),Spread_S,Spread_A,Spread_B,Spread_C))</f>
        <v/>
      </c>
      <c r="AQ112" s="38">
        <f>IF($A112="","",CHOOSE(MATCH($AK112,{"S","A","B","C"},0),Prem_S,Prem_A,Prem_B,Prem_C))</f>
        <v/>
      </c>
      <c r="AR112" s="39">
        <f>IF(OR($A112="",$V112&lt;=0),"",TSOFR3M+$AP112+$AL112*$AN112)</f>
        <v/>
      </c>
      <c r="AS112" s="39">
        <f>IF(OR($A112="",$V112&lt;=0),"",TSOFR3M+$AP112+$AQ112*365/$V112+$AL112*$AN112*(1-Cov))</f>
        <v/>
      </c>
      <c r="AT112" s="39">
        <f>IF(OR($A112="",$V112&lt;=0),"",IF($W112="Y",$AS112,$AR112))</f>
        <v/>
      </c>
      <c r="AU112" s="37">
        <f>IF(OR($A112="",$V112&lt;=0),"",IF($AS112&lt;$AR112,"부보 유리","무보험 유리"))</f>
        <v/>
      </c>
      <c r="AV112" s="40">
        <f>IF($A112="","",$Y112*($V112+Grace)/30)</f>
        <v/>
      </c>
      <c r="AW112" s="40">
        <f>IF($A112="","",CHOOSE(MATCH($AK112,{"S","A","B","C"},0),$AV112,Cap_A,Cap_B,Cap_C_OA))</f>
        <v/>
      </c>
      <c r="AX112" s="40">
        <f>IF($A112="","",IF($W112="Y",$X112,0))</f>
        <v/>
      </c>
      <c r="AY112" s="40">
        <f>IF($A112="","",Equity_USD*CHOOSE(MATCH($AK112,{"S","A","B","C"},0),s_S,s_A,s_B,s_C))</f>
        <v/>
      </c>
      <c r="AZ112" s="37">
        <f>IF($A112="","",'13_EarlyWarning'!$AH115)</f>
        <v/>
      </c>
      <c r="BA112" s="37">
        <f>IF($A112="","",IF(OR($U112="LC_SIGHT",$U112="LC_USANCE",$U112="TT_ADV"),"대상 아님","대상"))</f>
        <v/>
      </c>
      <c r="BB112" s="40">
        <f>IF($A112="","",IF(OR($BA112="대상 아님",$AZ112&lt;&gt;"",$AH112=1),0,MIN($AV112,$AW112,$AX112+$AY112)))</f>
        <v/>
      </c>
      <c r="BC112" s="40">
        <f>IF($A112="","",IF($AG112=1,MIN(StratMin*$AB112,$BB112),0))</f>
        <v/>
      </c>
      <c r="BD112" s="41">
        <f>IF($A112="","",IF(OR($V112&lt;=0,$BB112&lt;=0),0,Util*(GM*365/$V112-$AT112)))</f>
        <v/>
      </c>
      <c r="BE112" s="42">
        <f>IF($A112="","",Util*$AL112*$AN112*(1-$AO112))</f>
        <v/>
      </c>
      <c r="BF112" s="37">
        <f>IF($A112="","",IF($AC112="","0-2",IF($AC112&lt;=2,"0-2",IF($AC112=3,"3",IF($AC112&lt;=5,"4-5","6-7")))))</f>
        <v/>
      </c>
      <c r="BG112" s="40">
        <f>IF($A112="","",$Z112*$AM112*$AN112*(1-$AO112))</f>
        <v/>
      </c>
      <c r="BH112" s="40">
        <f>IF($A112="","",$Z112*(TSOFR3M+$AP112)*$V112/DayBasis)</f>
        <v/>
      </c>
      <c r="BI112" s="43">
        <f>IF($A112="","",$C112+$Z112*1E-13)</f>
        <v/>
      </c>
    </row>
    <row r="113">
      <c r="B113" s="32" t="n"/>
      <c r="C113" s="33" t="n"/>
      <c r="E113" s="33" t="n"/>
      <c r="H113" s="34" t="n"/>
      <c r="X113" s="35" t="n"/>
      <c r="Y113" s="35" t="n"/>
      <c r="Z113" s="35" t="n"/>
      <c r="AA113" s="35" t="n"/>
      <c r="AB113" s="35" t="n"/>
      <c r="AD113" s="36" t="n"/>
      <c r="AE113" s="36" t="n"/>
      <c r="AF113" s="36" t="n"/>
      <c r="AK113" s="37">
        <f>IF($A113="","",IF(GradeRule="quantile",$I113,$F113))</f>
        <v/>
      </c>
      <c r="AL113" s="38">
        <f>IF($A113="","",CHOOSE(MATCH($AK113,{"S","A","B","C"},0),PD_S,PD_A,PD_B,PD_C))</f>
        <v/>
      </c>
      <c r="AM113" s="38">
        <f>IF($A113="","",IF($AH113=1,1,$AL113))</f>
        <v/>
      </c>
      <c r="AN113" s="38">
        <f>IF($A113="","",IF(OR($U113="LC_SIGHT",$U113="LC_USANCE"),LGD_LC,LGD))</f>
        <v/>
      </c>
      <c r="AO113" s="38">
        <f>IF($A113="","",IF($W113="Y",Cov,0))</f>
        <v/>
      </c>
      <c r="AP113" s="38">
        <f>IF($A113="","",CHOOSE(MATCH($AK113,{"S","A","B","C"},0),Spread_S,Spread_A,Spread_B,Spread_C))</f>
        <v/>
      </c>
      <c r="AQ113" s="38">
        <f>IF($A113="","",CHOOSE(MATCH($AK113,{"S","A","B","C"},0),Prem_S,Prem_A,Prem_B,Prem_C))</f>
        <v/>
      </c>
      <c r="AR113" s="39">
        <f>IF(OR($A113="",$V113&lt;=0),"",TSOFR3M+$AP113+$AL113*$AN113)</f>
        <v/>
      </c>
      <c r="AS113" s="39">
        <f>IF(OR($A113="",$V113&lt;=0),"",TSOFR3M+$AP113+$AQ113*365/$V113+$AL113*$AN113*(1-Cov))</f>
        <v/>
      </c>
      <c r="AT113" s="39">
        <f>IF(OR($A113="",$V113&lt;=0),"",IF($W113="Y",$AS113,$AR113))</f>
        <v/>
      </c>
      <c r="AU113" s="37">
        <f>IF(OR($A113="",$V113&lt;=0),"",IF($AS113&lt;$AR113,"부보 유리","무보험 유리"))</f>
        <v/>
      </c>
      <c r="AV113" s="40">
        <f>IF($A113="","",$Y113*($V113+Grace)/30)</f>
        <v/>
      </c>
      <c r="AW113" s="40">
        <f>IF($A113="","",CHOOSE(MATCH($AK113,{"S","A","B","C"},0),$AV113,Cap_A,Cap_B,Cap_C_OA))</f>
        <v/>
      </c>
      <c r="AX113" s="40">
        <f>IF($A113="","",IF($W113="Y",$X113,0))</f>
        <v/>
      </c>
      <c r="AY113" s="40">
        <f>IF($A113="","",Equity_USD*CHOOSE(MATCH($AK113,{"S","A","B","C"},0),s_S,s_A,s_B,s_C))</f>
        <v/>
      </c>
      <c r="AZ113" s="37">
        <f>IF($A113="","",'13_EarlyWarning'!$AH116)</f>
        <v/>
      </c>
      <c r="BA113" s="37">
        <f>IF($A113="","",IF(OR($U113="LC_SIGHT",$U113="LC_USANCE",$U113="TT_ADV"),"대상 아님","대상"))</f>
        <v/>
      </c>
      <c r="BB113" s="40">
        <f>IF($A113="","",IF(OR($BA113="대상 아님",$AZ113&lt;&gt;"",$AH113=1),0,MIN($AV113,$AW113,$AX113+$AY113)))</f>
        <v/>
      </c>
      <c r="BC113" s="40">
        <f>IF($A113="","",IF($AG113=1,MIN(StratMin*$AB113,$BB113),0))</f>
        <v/>
      </c>
      <c r="BD113" s="41">
        <f>IF($A113="","",IF(OR($V113&lt;=0,$BB113&lt;=0),0,Util*(GM*365/$V113-$AT113)))</f>
        <v/>
      </c>
      <c r="BE113" s="42">
        <f>IF($A113="","",Util*$AL113*$AN113*(1-$AO113))</f>
        <v/>
      </c>
      <c r="BF113" s="37">
        <f>IF($A113="","",IF($AC113="","0-2",IF($AC113&lt;=2,"0-2",IF($AC113=3,"3",IF($AC113&lt;=5,"4-5","6-7")))))</f>
        <v/>
      </c>
      <c r="BG113" s="40">
        <f>IF($A113="","",$Z113*$AM113*$AN113*(1-$AO113))</f>
        <v/>
      </c>
      <c r="BH113" s="40">
        <f>IF($A113="","",$Z113*(TSOFR3M+$AP113)*$V113/DayBasis)</f>
        <v/>
      </c>
      <c r="BI113" s="43">
        <f>IF($A113="","",$C113+$Z113*1E-13)</f>
        <v/>
      </c>
    </row>
    <row r="114">
      <c r="B114" s="32" t="n"/>
      <c r="C114" s="33" t="n"/>
      <c r="E114" s="33" t="n"/>
      <c r="H114" s="34" t="n"/>
      <c r="X114" s="35" t="n"/>
      <c r="Y114" s="35" t="n"/>
      <c r="Z114" s="35" t="n"/>
      <c r="AA114" s="35" t="n"/>
      <c r="AB114" s="35" t="n"/>
      <c r="AD114" s="36" t="n"/>
      <c r="AE114" s="36" t="n"/>
      <c r="AF114" s="36" t="n"/>
      <c r="AK114" s="37">
        <f>IF($A114="","",IF(GradeRule="quantile",$I114,$F114))</f>
        <v/>
      </c>
      <c r="AL114" s="38">
        <f>IF($A114="","",CHOOSE(MATCH($AK114,{"S","A","B","C"},0),PD_S,PD_A,PD_B,PD_C))</f>
        <v/>
      </c>
      <c r="AM114" s="38">
        <f>IF($A114="","",IF($AH114=1,1,$AL114))</f>
        <v/>
      </c>
      <c r="AN114" s="38">
        <f>IF($A114="","",IF(OR($U114="LC_SIGHT",$U114="LC_USANCE"),LGD_LC,LGD))</f>
        <v/>
      </c>
      <c r="AO114" s="38">
        <f>IF($A114="","",IF($W114="Y",Cov,0))</f>
        <v/>
      </c>
      <c r="AP114" s="38">
        <f>IF($A114="","",CHOOSE(MATCH($AK114,{"S","A","B","C"},0),Spread_S,Spread_A,Spread_B,Spread_C))</f>
        <v/>
      </c>
      <c r="AQ114" s="38">
        <f>IF($A114="","",CHOOSE(MATCH($AK114,{"S","A","B","C"},0),Prem_S,Prem_A,Prem_B,Prem_C))</f>
        <v/>
      </c>
      <c r="AR114" s="39">
        <f>IF(OR($A114="",$V114&lt;=0),"",TSOFR3M+$AP114+$AL114*$AN114)</f>
        <v/>
      </c>
      <c r="AS114" s="39">
        <f>IF(OR($A114="",$V114&lt;=0),"",TSOFR3M+$AP114+$AQ114*365/$V114+$AL114*$AN114*(1-Cov))</f>
        <v/>
      </c>
      <c r="AT114" s="39">
        <f>IF(OR($A114="",$V114&lt;=0),"",IF($W114="Y",$AS114,$AR114))</f>
        <v/>
      </c>
      <c r="AU114" s="37">
        <f>IF(OR($A114="",$V114&lt;=0),"",IF($AS114&lt;$AR114,"부보 유리","무보험 유리"))</f>
        <v/>
      </c>
      <c r="AV114" s="40">
        <f>IF($A114="","",$Y114*($V114+Grace)/30)</f>
        <v/>
      </c>
      <c r="AW114" s="40">
        <f>IF($A114="","",CHOOSE(MATCH($AK114,{"S","A","B","C"},0),$AV114,Cap_A,Cap_B,Cap_C_OA))</f>
        <v/>
      </c>
      <c r="AX114" s="40">
        <f>IF($A114="","",IF($W114="Y",$X114,0))</f>
        <v/>
      </c>
      <c r="AY114" s="40">
        <f>IF($A114="","",Equity_USD*CHOOSE(MATCH($AK114,{"S","A","B","C"},0),s_S,s_A,s_B,s_C))</f>
        <v/>
      </c>
      <c r="AZ114" s="37">
        <f>IF($A114="","",'13_EarlyWarning'!$AH117)</f>
        <v/>
      </c>
      <c r="BA114" s="37">
        <f>IF($A114="","",IF(OR($U114="LC_SIGHT",$U114="LC_USANCE",$U114="TT_ADV"),"대상 아님","대상"))</f>
        <v/>
      </c>
      <c r="BB114" s="40">
        <f>IF($A114="","",IF(OR($BA114="대상 아님",$AZ114&lt;&gt;"",$AH114=1),0,MIN($AV114,$AW114,$AX114+$AY114)))</f>
        <v/>
      </c>
      <c r="BC114" s="40">
        <f>IF($A114="","",IF($AG114=1,MIN(StratMin*$AB114,$BB114),0))</f>
        <v/>
      </c>
      <c r="BD114" s="41">
        <f>IF($A114="","",IF(OR($V114&lt;=0,$BB114&lt;=0),0,Util*(GM*365/$V114-$AT114)))</f>
        <v/>
      </c>
      <c r="BE114" s="42">
        <f>IF($A114="","",Util*$AL114*$AN114*(1-$AO114))</f>
        <v/>
      </c>
      <c r="BF114" s="37">
        <f>IF($A114="","",IF($AC114="","0-2",IF($AC114&lt;=2,"0-2",IF($AC114=3,"3",IF($AC114&lt;=5,"4-5","6-7")))))</f>
        <v/>
      </c>
      <c r="BG114" s="40">
        <f>IF($A114="","",$Z114*$AM114*$AN114*(1-$AO114))</f>
        <v/>
      </c>
      <c r="BH114" s="40">
        <f>IF($A114="","",$Z114*(TSOFR3M+$AP114)*$V114/DayBasis)</f>
        <v/>
      </c>
      <c r="BI114" s="43">
        <f>IF($A114="","",$C114+$Z114*1E-13)</f>
        <v/>
      </c>
    </row>
    <row r="115">
      <c r="B115" s="32" t="n"/>
      <c r="C115" s="33" t="n"/>
      <c r="E115" s="33" t="n"/>
      <c r="H115" s="34" t="n"/>
      <c r="X115" s="35" t="n"/>
      <c r="Y115" s="35" t="n"/>
      <c r="Z115" s="35" t="n"/>
      <c r="AA115" s="35" t="n"/>
      <c r="AB115" s="35" t="n"/>
      <c r="AD115" s="36" t="n"/>
      <c r="AE115" s="36" t="n"/>
      <c r="AF115" s="36" t="n"/>
      <c r="AK115" s="37">
        <f>IF($A115="","",IF(GradeRule="quantile",$I115,$F115))</f>
        <v/>
      </c>
      <c r="AL115" s="38">
        <f>IF($A115="","",CHOOSE(MATCH($AK115,{"S","A","B","C"},0),PD_S,PD_A,PD_B,PD_C))</f>
        <v/>
      </c>
      <c r="AM115" s="38">
        <f>IF($A115="","",IF($AH115=1,1,$AL115))</f>
        <v/>
      </c>
      <c r="AN115" s="38">
        <f>IF($A115="","",IF(OR($U115="LC_SIGHT",$U115="LC_USANCE"),LGD_LC,LGD))</f>
        <v/>
      </c>
      <c r="AO115" s="38">
        <f>IF($A115="","",IF($W115="Y",Cov,0))</f>
        <v/>
      </c>
      <c r="AP115" s="38">
        <f>IF($A115="","",CHOOSE(MATCH($AK115,{"S","A","B","C"},0),Spread_S,Spread_A,Spread_B,Spread_C))</f>
        <v/>
      </c>
      <c r="AQ115" s="38">
        <f>IF($A115="","",CHOOSE(MATCH($AK115,{"S","A","B","C"},0),Prem_S,Prem_A,Prem_B,Prem_C))</f>
        <v/>
      </c>
      <c r="AR115" s="39">
        <f>IF(OR($A115="",$V115&lt;=0),"",TSOFR3M+$AP115+$AL115*$AN115)</f>
        <v/>
      </c>
      <c r="AS115" s="39">
        <f>IF(OR($A115="",$V115&lt;=0),"",TSOFR3M+$AP115+$AQ115*365/$V115+$AL115*$AN115*(1-Cov))</f>
        <v/>
      </c>
      <c r="AT115" s="39">
        <f>IF(OR($A115="",$V115&lt;=0),"",IF($W115="Y",$AS115,$AR115))</f>
        <v/>
      </c>
      <c r="AU115" s="37">
        <f>IF(OR($A115="",$V115&lt;=0),"",IF($AS115&lt;$AR115,"부보 유리","무보험 유리"))</f>
        <v/>
      </c>
      <c r="AV115" s="40">
        <f>IF($A115="","",$Y115*($V115+Grace)/30)</f>
        <v/>
      </c>
      <c r="AW115" s="40">
        <f>IF($A115="","",CHOOSE(MATCH($AK115,{"S","A","B","C"},0),$AV115,Cap_A,Cap_B,Cap_C_OA))</f>
        <v/>
      </c>
      <c r="AX115" s="40">
        <f>IF($A115="","",IF($W115="Y",$X115,0))</f>
        <v/>
      </c>
      <c r="AY115" s="40">
        <f>IF($A115="","",Equity_USD*CHOOSE(MATCH($AK115,{"S","A","B","C"},0),s_S,s_A,s_B,s_C))</f>
        <v/>
      </c>
      <c r="AZ115" s="37">
        <f>IF($A115="","",'13_EarlyWarning'!$AH118)</f>
        <v/>
      </c>
      <c r="BA115" s="37">
        <f>IF($A115="","",IF(OR($U115="LC_SIGHT",$U115="LC_USANCE",$U115="TT_ADV"),"대상 아님","대상"))</f>
        <v/>
      </c>
      <c r="BB115" s="40">
        <f>IF($A115="","",IF(OR($BA115="대상 아님",$AZ115&lt;&gt;"",$AH115=1),0,MIN($AV115,$AW115,$AX115+$AY115)))</f>
        <v/>
      </c>
      <c r="BC115" s="40">
        <f>IF($A115="","",IF($AG115=1,MIN(StratMin*$AB115,$BB115),0))</f>
        <v/>
      </c>
      <c r="BD115" s="41">
        <f>IF($A115="","",IF(OR($V115&lt;=0,$BB115&lt;=0),0,Util*(GM*365/$V115-$AT115)))</f>
        <v/>
      </c>
      <c r="BE115" s="42">
        <f>IF($A115="","",Util*$AL115*$AN115*(1-$AO115))</f>
        <v/>
      </c>
      <c r="BF115" s="37">
        <f>IF($A115="","",IF($AC115="","0-2",IF($AC115&lt;=2,"0-2",IF($AC115=3,"3",IF($AC115&lt;=5,"4-5","6-7")))))</f>
        <v/>
      </c>
      <c r="BG115" s="40">
        <f>IF($A115="","",$Z115*$AM115*$AN115*(1-$AO115))</f>
        <v/>
      </c>
      <c r="BH115" s="40">
        <f>IF($A115="","",$Z115*(TSOFR3M+$AP115)*$V115/DayBasis)</f>
        <v/>
      </c>
      <c r="BI115" s="43">
        <f>IF($A115="","",$C115+$Z115*1E-13)</f>
        <v/>
      </c>
    </row>
    <row r="116">
      <c r="B116" s="32" t="n"/>
      <c r="C116" s="33" t="n"/>
      <c r="E116" s="33" t="n"/>
      <c r="H116" s="34" t="n"/>
      <c r="X116" s="35" t="n"/>
      <c r="Y116" s="35" t="n"/>
      <c r="Z116" s="35" t="n"/>
      <c r="AA116" s="35" t="n"/>
      <c r="AB116" s="35" t="n"/>
      <c r="AD116" s="36" t="n"/>
      <c r="AE116" s="36" t="n"/>
      <c r="AF116" s="36" t="n"/>
      <c r="AK116" s="37">
        <f>IF($A116="","",IF(GradeRule="quantile",$I116,$F116))</f>
        <v/>
      </c>
      <c r="AL116" s="38">
        <f>IF($A116="","",CHOOSE(MATCH($AK116,{"S","A","B","C"},0),PD_S,PD_A,PD_B,PD_C))</f>
        <v/>
      </c>
      <c r="AM116" s="38">
        <f>IF($A116="","",IF($AH116=1,1,$AL116))</f>
        <v/>
      </c>
      <c r="AN116" s="38">
        <f>IF($A116="","",IF(OR($U116="LC_SIGHT",$U116="LC_USANCE"),LGD_LC,LGD))</f>
        <v/>
      </c>
      <c r="AO116" s="38">
        <f>IF($A116="","",IF($W116="Y",Cov,0))</f>
        <v/>
      </c>
      <c r="AP116" s="38">
        <f>IF($A116="","",CHOOSE(MATCH($AK116,{"S","A","B","C"},0),Spread_S,Spread_A,Spread_B,Spread_C))</f>
        <v/>
      </c>
      <c r="AQ116" s="38">
        <f>IF($A116="","",CHOOSE(MATCH($AK116,{"S","A","B","C"},0),Prem_S,Prem_A,Prem_B,Prem_C))</f>
        <v/>
      </c>
      <c r="AR116" s="39">
        <f>IF(OR($A116="",$V116&lt;=0),"",TSOFR3M+$AP116+$AL116*$AN116)</f>
        <v/>
      </c>
      <c r="AS116" s="39">
        <f>IF(OR($A116="",$V116&lt;=0),"",TSOFR3M+$AP116+$AQ116*365/$V116+$AL116*$AN116*(1-Cov))</f>
        <v/>
      </c>
      <c r="AT116" s="39">
        <f>IF(OR($A116="",$V116&lt;=0),"",IF($W116="Y",$AS116,$AR116))</f>
        <v/>
      </c>
      <c r="AU116" s="37">
        <f>IF(OR($A116="",$V116&lt;=0),"",IF($AS116&lt;$AR116,"부보 유리","무보험 유리"))</f>
        <v/>
      </c>
      <c r="AV116" s="40">
        <f>IF($A116="","",$Y116*($V116+Grace)/30)</f>
        <v/>
      </c>
      <c r="AW116" s="40">
        <f>IF($A116="","",CHOOSE(MATCH($AK116,{"S","A","B","C"},0),$AV116,Cap_A,Cap_B,Cap_C_OA))</f>
        <v/>
      </c>
      <c r="AX116" s="40">
        <f>IF($A116="","",IF($W116="Y",$X116,0))</f>
        <v/>
      </c>
      <c r="AY116" s="40">
        <f>IF($A116="","",Equity_USD*CHOOSE(MATCH($AK116,{"S","A","B","C"},0),s_S,s_A,s_B,s_C))</f>
        <v/>
      </c>
      <c r="AZ116" s="37">
        <f>IF($A116="","",'13_EarlyWarning'!$AH119)</f>
        <v/>
      </c>
      <c r="BA116" s="37">
        <f>IF($A116="","",IF(OR($U116="LC_SIGHT",$U116="LC_USANCE",$U116="TT_ADV"),"대상 아님","대상"))</f>
        <v/>
      </c>
      <c r="BB116" s="40">
        <f>IF($A116="","",IF(OR($BA116="대상 아님",$AZ116&lt;&gt;"",$AH116=1),0,MIN($AV116,$AW116,$AX116+$AY116)))</f>
        <v/>
      </c>
      <c r="BC116" s="40">
        <f>IF($A116="","",IF($AG116=1,MIN(StratMin*$AB116,$BB116),0))</f>
        <v/>
      </c>
      <c r="BD116" s="41">
        <f>IF($A116="","",IF(OR($V116&lt;=0,$BB116&lt;=0),0,Util*(GM*365/$V116-$AT116)))</f>
        <v/>
      </c>
      <c r="BE116" s="42">
        <f>IF($A116="","",Util*$AL116*$AN116*(1-$AO116))</f>
        <v/>
      </c>
      <c r="BF116" s="37">
        <f>IF($A116="","",IF($AC116="","0-2",IF($AC116&lt;=2,"0-2",IF($AC116=3,"3",IF($AC116&lt;=5,"4-5","6-7")))))</f>
        <v/>
      </c>
      <c r="BG116" s="40">
        <f>IF($A116="","",$Z116*$AM116*$AN116*(1-$AO116))</f>
        <v/>
      </c>
      <c r="BH116" s="40">
        <f>IF($A116="","",$Z116*(TSOFR3M+$AP116)*$V116/DayBasis)</f>
        <v/>
      </c>
      <c r="BI116" s="43">
        <f>IF($A116="","",$C116+$Z116*1E-13)</f>
        <v/>
      </c>
    </row>
    <row r="117">
      <c r="B117" s="32" t="n"/>
      <c r="C117" s="33" t="n"/>
      <c r="E117" s="33" t="n"/>
      <c r="H117" s="34" t="n"/>
      <c r="X117" s="35" t="n"/>
      <c r="Y117" s="35" t="n"/>
      <c r="Z117" s="35" t="n"/>
      <c r="AA117" s="35" t="n"/>
      <c r="AB117" s="35" t="n"/>
      <c r="AD117" s="36" t="n"/>
      <c r="AE117" s="36" t="n"/>
      <c r="AF117" s="36" t="n"/>
      <c r="AK117" s="37">
        <f>IF($A117="","",IF(GradeRule="quantile",$I117,$F117))</f>
        <v/>
      </c>
      <c r="AL117" s="38">
        <f>IF($A117="","",CHOOSE(MATCH($AK117,{"S","A","B","C"},0),PD_S,PD_A,PD_B,PD_C))</f>
        <v/>
      </c>
      <c r="AM117" s="38">
        <f>IF($A117="","",IF($AH117=1,1,$AL117))</f>
        <v/>
      </c>
      <c r="AN117" s="38">
        <f>IF($A117="","",IF(OR($U117="LC_SIGHT",$U117="LC_USANCE"),LGD_LC,LGD))</f>
        <v/>
      </c>
      <c r="AO117" s="38">
        <f>IF($A117="","",IF($W117="Y",Cov,0))</f>
        <v/>
      </c>
      <c r="AP117" s="38">
        <f>IF($A117="","",CHOOSE(MATCH($AK117,{"S","A","B","C"},0),Spread_S,Spread_A,Spread_B,Spread_C))</f>
        <v/>
      </c>
      <c r="AQ117" s="38">
        <f>IF($A117="","",CHOOSE(MATCH($AK117,{"S","A","B","C"},0),Prem_S,Prem_A,Prem_B,Prem_C))</f>
        <v/>
      </c>
      <c r="AR117" s="39">
        <f>IF(OR($A117="",$V117&lt;=0),"",TSOFR3M+$AP117+$AL117*$AN117)</f>
        <v/>
      </c>
      <c r="AS117" s="39">
        <f>IF(OR($A117="",$V117&lt;=0),"",TSOFR3M+$AP117+$AQ117*365/$V117+$AL117*$AN117*(1-Cov))</f>
        <v/>
      </c>
      <c r="AT117" s="39">
        <f>IF(OR($A117="",$V117&lt;=0),"",IF($W117="Y",$AS117,$AR117))</f>
        <v/>
      </c>
      <c r="AU117" s="37">
        <f>IF(OR($A117="",$V117&lt;=0),"",IF($AS117&lt;$AR117,"부보 유리","무보험 유리"))</f>
        <v/>
      </c>
      <c r="AV117" s="40">
        <f>IF($A117="","",$Y117*($V117+Grace)/30)</f>
        <v/>
      </c>
      <c r="AW117" s="40">
        <f>IF($A117="","",CHOOSE(MATCH($AK117,{"S","A","B","C"},0),$AV117,Cap_A,Cap_B,Cap_C_OA))</f>
        <v/>
      </c>
      <c r="AX117" s="40">
        <f>IF($A117="","",IF($W117="Y",$X117,0))</f>
        <v/>
      </c>
      <c r="AY117" s="40">
        <f>IF($A117="","",Equity_USD*CHOOSE(MATCH($AK117,{"S","A","B","C"},0),s_S,s_A,s_B,s_C))</f>
        <v/>
      </c>
      <c r="AZ117" s="37">
        <f>IF($A117="","",'13_EarlyWarning'!$AH120)</f>
        <v/>
      </c>
      <c r="BA117" s="37">
        <f>IF($A117="","",IF(OR($U117="LC_SIGHT",$U117="LC_USANCE",$U117="TT_ADV"),"대상 아님","대상"))</f>
        <v/>
      </c>
      <c r="BB117" s="40">
        <f>IF($A117="","",IF(OR($BA117="대상 아님",$AZ117&lt;&gt;"",$AH117=1),0,MIN($AV117,$AW117,$AX117+$AY117)))</f>
        <v/>
      </c>
      <c r="BC117" s="40">
        <f>IF($A117="","",IF($AG117=1,MIN(StratMin*$AB117,$BB117),0))</f>
        <v/>
      </c>
      <c r="BD117" s="41">
        <f>IF($A117="","",IF(OR($V117&lt;=0,$BB117&lt;=0),0,Util*(GM*365/$V117-$AT117)))</f>
        <v/>
      </c>
      <c r="BE117" s="42">
        <f>IF($A117="","",Util*$AL117*$AN117*(1-$AO117))</f>
        <v/>
      </c>
      <c r="BF117" s="37">
        <f>IF($A117="","",IF($AC117="","0-2",IF($AC117&lt;=2,"0-2",IF($AC117=3,"3",IF($AC117&lt;=5,"4-5","6-7")))))</f>
        <v/>
      </c>
      <c r="BG117" s="40">
        <f>IF($A117="","",$Z117*$AM117*$AN117*(1-$AO117))</f>
        <v/>
      </c>
      <c r="BH117" s="40">
        <f>IF($A117="","",$Z117*(TSOFR3M+$AP117)*$V117/DayBasis)</f>
        <v/>
      </c>
      <c r="BI117" s="43">
        <f>IF($A117="","",$C117+$Z117*1E-13)</f>
        <v/>
      </c>
    </row>
    <row r="118">
      <c r="B118" s="32" t="n"/>
      <c r="C118" s="33" t="n"/>
      <c r="E118" s="33" t="n"/>
      <c r="H118" s="34" t="n"/>
      <c r="X118" s="35" t="n"/>
      <c r="Y118" s="35" t="n"/>
      <c r="Z118" s="35" t="n"/>
      <c r="AA118" s="35" t="n"/>
      <c r="AB118" s="35" t="n"/>
      <c r="AD118" s="36" t="n"/>
      <c r="AE118" s="36" t="n"/>
      <c r="AF118" s="36" t="n"/>
      <c r="AK118" s="37">
        <f>IF($A118="","",IF(GradeRule="quantile",$I118,$F118))</f>
        <v/>
      </c>
      <c r="AL118" s="38">
        <f>IF($A118="","",CHOOSE(MATCH($AK118,{"S","A","B","C"},0),PD_S,PD_A,PD_B,PD_C))</f>
        <v/>
      </c>
      <c r="AM118" s="38">
        <f>IF($A118="","",IF($AH118=1,1,$AL118))</f>
        <v/>
      </c>
      <c r="AN118" s="38">
        <f>IF($A118="","",IF(OR($U118="LC_SIGHT",$U118="LC_USANCE"),LGD_LC,LGD))</f>
        <v/>
      </c>
      <c r="AO118" s="38">
        <f>IF($A118="","",IF($W118="Y",Cov,0))</f>
        <v/>
      </c>
      <c r="AP118" s="38">
        <f>IF($A118="","",CHOOSE(MATCH($AK118,{"S","A","B","C"},0),Spread_S,Spread_A,Spread_B,Spread_C))</f>
        <v/>
      </c>
      <c r="AQ118" s="38">
        <f>IF($A118="","",CHOOSE(MATCH($AK118,{"S","A","B","C"},0),Prem_S,Prem_A,Prem_B,Prem_C))</f>
        <v/>
      </c>
      <c r="AR118" s="39">
        <f>IF(OR($A118="",$V118&lt;=0),"",TSOFR3M+$AP118+$AL118*$AN118)</f>
        <v/>
      </c>
      <c r="AS118" s="39">
        <f>IF(OR($A118="",$V118&lt;=0),"",TSOFR3M+$AP118+$AQ118*365/$V118+$AL118*$AN118*(1-Cov))</f>
        <v/>
      </c>
      <c r="AT118" s="39">
        <f>IF(OR($A118="",$V118&lt;=0),"",IF($W118="Y",$AS118,$AR118))</f>
        <v/>
      </c>
      <c r="AU118" s="37">
        <f>IF(OR($A118="",$V118&lt;=0),"",IF($AS118&lt;$AR118,"부보 유리","무보험 유리"))</f>
        <v/>
      </c>
      <c r="AV118" s="40">
        <f>IF($A118="","",$Y118*($V118+Grace)/30)</f>
        <v/>
      </c>
      <c r="AW118" s="40">
        <f>IF($A118="","",CHOOSE(MATCH($AK118,{"S","A","B","C"},0),$AV118,Cap_A,Cap_B,Cap_C_OA))</f>
        <v/>
      </c>
      <c r="AX118" s="40">
        <f>IF($A118="","",IF($W118="Y",$X118,0))</f>
        <v/>
      </c>
      <c r="AY118" s="40">
        <f>IF($A118="","",Equity_USD*CHOOSE(MATCH($AK118,{"S","A","B","C"},0),s_S,s_A,s_B,s_C))</f>
        <v/>
      </c>
      <c r="AZ118" s="37">
        <f>IF($A118="","",'13_EarlyWarning'!$AH121)</f>
        <v/>
      </c>
      <c r="BA118" s="37">
        <f>IF($A118="","",IF(OR($U118="LC_SIGHT",$U118="LC_USANCE",$U118="TT_ADV"),"대상 아님","대상"))</f>
        <v/>
      </c>
      <c r="BB118" s="40">
        <f>IF($A118="","",IF(OR($BA118="대상 아님",$AZ118&lt;&gt;"",$AH118=1),0,MIN($AV118,$AW118,$AX118+$AY118)))</f>
        <v/>
      </c>
      <c r="BC118" s="40">
        <f>IF($A118="","",IF($AG118=1,MIN(StratMin*$AB118,$BB118),0))</f>
        <v/>
      </c>
      <c r="BD118" s="41">
        <f>IF($A118="","",IF(OR($V118&lt;=0,$BB118&lt;=0),0,Util*(GM*365/$V118-$AT118)))</f>
        <v/>
      </c>
      <c r="BE118" s="42">
        <f>IF($A118="","",Util*$AL118*$AN118*(1-$AO118))</f>
        <v/>
      </c>
      <c r="BF118" s="37">
        <f>IF($A118="","",IF($AC118="","0-2",IF($AC118&lt;=2,"0-2",IF($AC118=3,"3",IF($AC118&lt;=5,"4-5","6-7")))))</f>
        <v/>
      </c>
      <c r="BG118" s="40">
        <f>IF($A118="","",$Z118*$AM118*$AN118*(1-$AO118))</f>
        <v/>
      </c>
      <c r="BH118" s="40">
        <f>IF($A118="","",$Z118*(TSOFR3M+$AP118)*$V118/DayBasis)</f>
        <v/>
      </c>
      <c r="BI118" s="43">
        <f>IF($A118="","",$C118+$Z118*1E-13)</f>
        <v/>
      </c>
    </row>
    <row r="119">
      <c r="B119" s="32" t="n"/>
      <c r="C119" s="33" t="n"/>
      <c r="E119" s="33" t="n"/>
      <c r="H119" s="34" t="n"/>
      <c r="X119" s="35" t="n"/>
      <c r="Y119" s="35" t="n"/>
      <c r="Z119" s="35" t="n"/>
      <c r="AA119" s="35" t="n"/>
      <c r="AB119" s="35" t="n"/>
      <c r="AD119" s="36" t="n"/>
      <c r="AE119" s="36" t="n"/>
      <c r="AF119" s="36" t="n"/>
      <c r="AK119" s="37">
        <f>IF($A119="","",IF(GradeRule="quantile",$I119,$F119))</f>
        <v/>
      </c>
      <c r="AL119" s="38">
        <f>IF($A119="","",CHOOSE(MATCH($AK119,{"S","A","B","C"},0),PD_S,PD_A,PD_B,PD_C))</f>
        <v/>
      </c>
      <c r="AM119" s="38">
        <f>IF($A119="","",IF($AH119=1,1,$AL119))</f>
        <v/>
      </c>
      <c r="AN119" s="38">
        <f>IF($A119="","",IF(OR($U119="LC_SIGHT",$U119="LC_USANCE"),LGD_LC,LGD))</f>
        <v/>
      </c>
      <c r="AO119" s="38">
        <f>IF($A119="","",IF($W119="Y",Cov,0))</f>
        <v/>
      </c>
      <c r="AP119" s="38">
        <f>IF($A119="","",CHOOSE(MATCH($AK119,{"S","A","B","C"},0),Spread_S,Spread_A,Spread_B,Spread_C))</f>
        <v/>
      </c>
      <c r="AQ119" s="38">
        <f>IF($A119="","",CHOOSE(MATCH($AK119,{"S","A","B","C"},0),Prem_S,Prem_A,Prem_B,Prem_C))</f>
        <v/>
      </c>
      <c r="AR119" s="39">
        <f>IF(OR($A119="",$V119&lt;=0),"",TSOFR3M+$AP119+$AL119*$AN119)</f>
        <v/>
      </c>
      <c r="AS119" s="39">
        <f>IF(OR($A119="",$V119&lt;=0),"",TSOFR3M+$AP119+$AQ119*365/$V119+$AL119*$AN119*(1-Cov))</f>
        <v/>
      </c>
      <c r="AT119" s="39">
        <f>IF(OR($A119="",$V119&lt;=0),"",IF($W119="Y",$AS119,$AR119))</f>
        <v/>
      </c>
      <c r="AU119" s="37">
        <f>IF(OR($A119="",$V119&lt;=0),"",IF($AS119&lt;$AR119,"부보 유리","무보험 유리"))</f>
        <v/>
      </c>
      <c r="AV119" s="40">
        <f>IF($A119="","",$Y119*($V119+Grace)/30)</f>
        <v/>
      </c>
      <c r="AW119" s="40">
        <f>IF($A119="","",CHOOSE(MATCH($AK119,{"S","A","B","C"},0),$AV119,Cap_A,Cap_B,Cap_C_OA))</f>
        <v/>
      </c>
      <c r="AX119" s="40">
        <f>IF($A119="","",IF($W119="Y",$X119,0))</f>
        <v/>
      </c>
      <c r="AY119" s="40">
        <f>IF($A119="","",Equity_USD*CHOOSE(MATCH($AK119,{"S","A","B","C"},0),s_S,s_A,s_B,s_C))</f>
        <v/>
      </c>
      <c r="AZ119" s="37">
        <f>IF($A119="","",'13_EarlyWarning'!$AH122)</f>
        <v/>
      </c>
      <c r="BA119" s="37">
        <f>IF($A119="","",IF(OR($U119="LC_SIGHT",$U119="LC_USANCE",$U119="TT_ADV"),"대상 아님","대상"))</f>
        <v/>
      </c>
      <c r="BB119" s="40">
        <f>IF($A119="","",IF(OR($BA119="대상 아님",$AZ119&lt;&gt;"",$AH119=1),0,MIN($AV119,$AW119,$AX119+$AY119)))</f>
        <v/>
      </c>
      <c r="BC119" s="40">
        <f>IF($A119="","",IF($AG119=1,MIN(StratMin*$AB119,$BB119),0))</f>
        <v/>
      </c>
      <c r="BD119" s="41">
        <f>IF($A119="","",IF(OR($V119&lt;=0,$BB119&lt;=0),0,Util*(GM*365/$V119-$AT119)))</f>
        <v/>
      </c>
      <c r="BE119" s="42">
        <f>IF($A119="","",Util*$AL119*$AN119*(1-$AO119))</f>
        <v/>
      </c>
      <c r="BF119" s="37">
        <f>IF($A119="","",IF($AC119="","0-2",IF($AC119&lt;=2,"0-2",IF($AC119=3,"3",IF($AC119&lt;=5,"4-5","6-7")))))</f>
        <v/>
      </c>
      <c r="BG119" s="40">
        <f>IF($A119="","",$Z119*$AM119*$AN119*(1-$AO119))</f>
        <v/>
      </c>
      <c r="BH119" s="40">
        <f>IF($A119="","",$Z119*(TSOFR3M+$AP119)*$V119/DayBasis)</f>
        <v/>
      </c>
      <c r="BI119" s="43">
        <f>IF($A119="","",$C119+$Z119*1E-13)</f>
        <v/>
      </c>
    </row>
    <row r="120">
      <c r="B120" s="32" t="n"/>
      <c r="C120" s="33" t="n"/>
      <c r="E120" s="33" t="n"/>
      <c r="H120" s="34" t="n"/>
      <c r="X120" s="35" t="n"/>
      <c r="Y120" s="35" t="n"/>
      <c r="Z120" s="35" t="n"/>
      <c r="AA120" s="35" t="n"/>
      <c r="AB120" s="35" t="n"/>
      <c r="AD120" s="36" t="n"/>
      <c r="AE120" s="36" t="n"/>
      <c r="AF120" s="36" t="n"/>
      <c r="AK120" s="37">
        <f>IF($A120="","",IF(GradeRule="quantile",$I120,$F120))</f>
        <v/>
      </c>
      <c r="AL120" s="38">
        <f>IF($A120="","",CHOOSE(MATCH($AK120,{"S","A","B","C"},0),PD_S,PD_A,PD_B,PD_C))</f>
        <v/>
      </c>
      <c r="AM120" s="38">
        <f>IF($A120="","",IF($AH120=1,1,$AL120))</f>
        <v/>
      </c>
      <c r="AN120" s="38">
        <f>IF($A120="","",IF(OR($U120="LC_SIGHT",$U120="LC_USANCE"),LGD_LC,LGD))</f>
        <v/>
      </c>
      <c r="AO120" s="38">
        <f>IF($A120="","",IF($W120="Y",Cov,0))</f>
        <v/>
      </c>
      <c r="AP120" s="38">
        <f>IF($A120="","",CHOOSE(MATCH($AK120,{"S","A","B","C"},0),Spread_S,Spread_A,Spread_B,Spread_C))</f>
        <v/>
      </c>
      <c r="AQ120" s="38">
        <f>IF($A120="","",CHOOSE(MATCH($AK120,{"S","A","B","C"},0),Prem_S,Prem_A,Prem_B,Prem_C))</f>
        <v/>
      </c>
      <c r="AR120" s="39">
        <f>IF(OR($A120="",$V120&lt;=0),"",TSOFR3M+$AP120+$AL120*$AN120)</f>
        <v/>
      </c>
      <c r="AS120" s="39">
        <f>IF(OR($A120="",$V120&lt;=0),"",TSOFR3M+$AP120+$AQ120*365/$V120+$AL120*$AN120*(1-Cov))</f>
        <v/>
      </c>
      <c r="AT120" s="39">
        <f>IF(OR($A120="",$V120&lt;=0),"",IF($W120="Y",$AS120,$AR120))</f>
        <v/>
      </c>
      <c r="AU120" s="37">
        <f>IF(OR($A120="",$V120&lt;=0),"",IF($AS120&lt;$AR120,"부보 유리","무보험 유리"))</f>
        <v/>
      </c>
      <c r="AV120" s="40">
        <f>IF($A120="","",$Y120*($V120+Grace)/30)</f>
        <v/>
      </c>
      <c r="AW120" s="40">
        <f>IF($A120="","",CHOOSE(MATCH($AK120,{"S","A","B","C"},0),$AV120,Cap_A,Cap_B,Cap_C_OA))</f>
        <v/>
      </c>
      <c r="AX120" s="40">
        <f>IF($A120="","",IF($W120="Y",$X120,0))</f>
        <v/>
      </c>
      <c r="AY120" s="40">
        <f>IF($A120="","",Equity_USD*CHOOSE(MATCH($AK120,{"S","A","B","C"},0),s_S,s_A,s_B,s_C))</f>
        <v/>
      </c>
      <c r="AZ120" s="37">
        <f>IF($A120="","",'13_EarlyWarning'!$AH123)</f>
        <v/>
      </c>
      <c r="BA120" s="37">
        <f>IF($A120="","",IF(OR($U120="LC_SIGHT",$U120="LC_USANCE",$U120="TT_ADV"),"대상 아님","대상"))</f>
        <v/>
      </c>
      <c r="BB120" s="40">
        <f>IF($A120="","",IF(OR($BA120="대상 아님",$AZ120&lt;&gt;"",$AH120=1),0,MIN($AV120,$AW120,$AX120+$AY120)))</f>
        <v/>
      </c>
      <c r="BC120" s="40">
        <f>IF($A120="","",IF($AG120=1,MIN(StratMin*$AB120,$BB120),0))</f>
        <v/>
      </c>
      <c r="BD120" s="41">
        <f>IF($A120="","",IF(OR($V120&lt;=0,$BB120&lt;=0),0,Util*(GM*365/$V120-$AT120)))</f>
        <v/>
      </c>
      <c r="BE120" s="42">
        <f>IF($A120="","",Util*$AL120*$AN120*(1-$AO120))</f>
        <v/>
      </c>
      <c r="BF120" s="37">
        <f>IF($A120="","",IF($AC120="","0-2",IF($AC120&lt;=2,"0-2",IF($AC120=3,"3",IF($AC120&lt;=5,"4-5","6-7")))))</f>
        <v/>
      </c>
      <c r="BG120" s="40">
        <f>IF($A120="","",$Z120*$AM120*$AN120*(1-$AO120))</f>
        <v/>
      </c>
      <c r="BH120" s="40">
        <f>IF($A120="","",$Z120*(TSOFR3M+$AP120)*$V120/DayBasis)</f>
        <v/>
      </c>
      <c r="BI120" s="43">
        <f>IF($A120="","",$C120+$Z120*1E-13)</f>
        <v/>
      </c>
    </row>
    <row r="121">
      <c r="B121" s="32" t="n"/>
      <c r="C121" s="33" t="n"/>
      <c r="E121" s="33" t="n"/>
      <c r="H121" s="34" t="n"/>
      <c r="X121" s="35" t="n"/>
      <c r="Y121" s="35" t="n"/>
      <c r="Z121" s="35" t="n"/>
      <c r="AA121" s="35" t="n"/>
      <c r="AB121" s="35" t="n"/>
      <c r="AD121" s="36" t="n"/>
      <c r="AE121" s="36" t="n"/>
      <c r="AF121" s="36" t="n"/>
      <c r="AK121" s="37">
        <f>IF($A121="","",IF(GradeRule="quantile",$I121,$F121))</f>
        <v/>
      </c>
      <c r="AL121" s="38">
        <f>IF($A121="","",CHOOSE(MATCH($AK121,{"S","A","B","C"},0),PD_S,PD_A,PD_B,PD_C))</f>
        <v/>
      </c>
      <c r="AM121" s="38">
        <f>IF($A121="","",IF($AH121=1,1,$AL121))</f>
        <v/>
      </c>
      <c r="AN121" s="38">
        <f>IF($A121="","",IF(OR($U121="LC_SIGHT",$U121="LC_USANCE"),LGD_LC,LGD))</f>
        <v/>
      </c>
      <c r="AO121" s="38">
        <f>IF($A121="","",IF($W121="Y",Cov,0))</f>
        <v/>
      </c>
      <c r="AP121" s="38">
        <f>IF($A121="","",CHOOSE(MATCH($AK121,{"S","A","B","C"},0),Spread_S,Spread_A,Spread_B,Spread_C))</f>
        <v/>
      </c>
      <c r="AQ121" s="38">
        <f>IF($A121="","",CHOOSE(MATCH($AK121,{"S","A","B","C"},0),Prem_S,Prem_A,Prem_B,Prem_C))</f>
        <v/>
      </c>
      <c r="AR121" s="39">
        <f>IF(OR($A121="",$V121&lt;=0),"",TSOFR3M+$AP121+$AL121*$AN121)</f>
        <v/>
      </c>
      <c r="AS121" s="39">
        <f>IF(OR($A121="",$V121&lt;=0),"",TSOFR3M+$AP121+$AQ121*365/$V121+$AL121*$AN121*(1-Cov))</f>
        <v/>
      </c>
      <c r="AT121" s="39">
        <f>IF(OR($A121="",$V121&lt;=0),"",IF($W121="Y",$AS121,$AR121))</f>
        <v/>
      </c>
      <c r="AU121" s="37">
        <f>IF(OR($A121="",$V121&lt;=0),"",IF($AS121&lt;$AR121,"부보 유리","무보험 유리"))</f>
        <v/>
      </c>
      <c r="AV121" s="40">
        <f>IF($A121="","",$Y121*($V121+Grace)/30)</f>
        <v/>
      </c>
      <c r="AW121" s="40">
        <f>IF($A121="","",CHOOSE(MATCH($AK121,{"S","A","B","C"},0),$AV121,Cap_A,Cap_B,Cap_C_OA))</f>
        <v/>
      </c>
      <c r="AX121" s="40">
        <f>IF($A121="","",IF($W121="Y",$X121,0))</f>
        <v/>
      </c>
      <c r="AY121" s="40">
        <f>IF($A121="","",Equity_USD*CHOOSE(MATCH($AK121,{"S","A","B","C"},0),s_S,s_A,s_B,s_C))</f>
        <v/>
      </c>
      <c r="AZ121" s="37">
        <f>IF($A121="","",'13_EarlyWarning'!$AH124)</f>
        <v/>
      </c>
      <c r="BA121" s="37">
        <f>IF($A121="","",IF(OR($U121="LC_SIGHT",$U121="LC_USANCE",$U121="TT_ADV"),"대상 아님","대상"))</f>
        <v/>
      </c>
      <c r="BB121" s="40">
        <f>IF($A121="","",IF(OR($BA121="대상 아님",$AZ121&lt;&gt;"",$AH121=1),0,MIN($AV121,$AW121,$AX121+$AY121)))</f>
        <v/>
      </c>
      <c r="BC121" s="40">
        <f>IF($A121="","",IF($AG121=1,MIN(StratMin*$AB121,$BB121),0))</f>
        <v/>
      </c>
      <c r="BD121" s="41">
        <f>IF($A121="","",IF(OR($V121&lt;=0,$BB121&lt;=0),0,Util*(GM*365/$V121-$AT121)))</f>
        <v/>
      </c>
      <c r="BE121" s="42">
        <f>IF($A121="","",Util*$AL121*$AN121*(1-$AO121))</f>
        <v/>
      </c>
      <c r="BF121" s="37">
        <f>IF($A121="","",IF($AC121="","0-2",IF($AC121&lt;=2,"0-2",IF($AC121=3,"3",IF($AC121&lt;=5,"4-5","6-7")))))</f>
        <v/>
      </c>
      <c r="BG121" s="40">
        <f>IF($A121="","",$Z121*$AM121*$AN121*(1-$AO121))</f>
        <v/>
      </c>
      <c r="BH121" s="40">
        <f>IF($A121="","",$Z121*(TSOFR3M+$AP121)*$V121/DayBasis)</f>
        <v/>
      </c>
      <c r="BI121" s="43">
        <f>IF($A121="","",$C121+$Z121*1E-13)</f>
        <v/>
      </c>
    </row>
    <row r="122">
      <c r="B122" s="32" t="n"/>
      <c r="C122" s="33" t="n"/>
      <c r="E122" s="33" t="n"/>
      <c r="H122" s="34" t="n"/>
      <c r="X122" s="35" t="n"/>
      <c r="Y122" s="35" t="n"/>
      <c r="Z122" s="35" t="n"/>
      <c r="AA122" s="35" t="n"/>
      <c r="AB122" s="35" t="n"/>
      <c r="AD122" s="36" t="n"/>
      <c r="AE122" s="36" t="n"/>
      <c r="AF122" s="36" t="n"/>
      <c r="AK122" s="37">
        <f>IF($A122="","",IF(GradeRule="quantile",$I122,$F122))</f>
        <v/>
      </c>
      <c r="AL122" s="38">
        <f>IF($A122="","",CHOOSE(MATCH($AK122,{"S","A","B","C"},0),PD_S,PD_A,PD_B,PD_C))</f>
        <v/>
      </c>
      <c r="AM122" s="38">
        <f>IF($A122="","",IF($AH122=1,1,$AL122))</f>
        <v/>
      </c>
      <c r="AN122" s="38">
        <f>IF($A122="","",IF(OR($U122="LC_SIGHT",$U122="LC_USANCE"),LGD_LC,LGD))</f>
        <v/>
      </c>
      <c r="AO122" s="38">
        <f>IF($A122="","",IF($W122="Y",Cov,0))</f>
        <v/>
      </c>
      <c r="AP122" s="38">
        <f>IF($A122="","",CHOOSE(MATCH($AK122,{"S","A","B","C"},0),Spread_S,Spread_A,Spread_B,Spread_C))</f>
        <v/>
      </c>
      <c r="AQ122" s="38">
        <f>IF($A122="","",CHOOSE(MATCH($AK122,{"S","A","B","C"},0),Prem_S,Prem_A,Prem_B,Prem_C))</f>
        <v/>
      </c>
      <c r="AR122" s="39">
        <f>IF(OR($A122="",$V122&lt;=0),"",TSOFR3M+$AP122+$AL122*$AN122)</f>
        <v/>
      </c>
      <c r="AS122" s="39">
        <f>IF(OR($A122="",$V122&lt;=0),"",TSOFR3M+$AP122+$AQ122*365/$V122+$AL122*$AN122*(1-Cov))</f>
        <v/>
      </c>
      <c r="AT122" s="39">
        <f>IF(OR($A122="",$V122&lt;=0),"",IF($W122="Y",$AS122,$AR122))</f>
        <v/>
      </c>
      <c r="AU122" s="37">
        <f>IF(OR($A122="",$V122&lt;=0),"",IF($AS122&lt;$AR122,"부보 유리","무보험 유리"))</f>
        <v/>
      </c>
      <c r="AV122" s="40">
        <f>IF($A122="","",$Y122*($V122+Grace)/30)</f>
        <v/>
      </c>
      <c r="AW122" s="40">
        <f>IF($A122="","",CHOOSE(MATCH($AK122,{"S","A","B","C"},0),$AV122,Cap_A,Cap_B,Cap_C_OA))</f>
        <v/>
      </c>
      <c r="AX122" s="40">
        <f>IF($A122="","",IF($W122="Y",$X122,0))</f>
        <v/>
      </c>
      <c r="AY122" s="40">
        <f>IF($A122="","",Equity_USD*CHOOSE(MATCH($AK122,{"S","A","B","C"},0),s_S,s_A,s_B,s_C))</f>
        <v/>
      </c>
      <c r="AZ122" s="37">
        <f>IF($A122="","",'13_EarlyWarning'!$AH125)</f>
        <v/>
      </c>
      <c r="BA122" s="37">
        <f>IF($A122="","",IF(OR($U122="LC_SIGHT",$U122="LC_USANCE",$U122="TT_ADV"),"대상 아님","대상"))</f>
        <v/>
      </c>
      <c r="BB122" s="40">
        <f>IF($A122="","",IF(OR($BA122="대상 아님",$AZ122&lt;&gt;"",$AH122=1),0,MIN($AV122,$AW122,$AX122+$AY122)))</f>
        <v/>
      </c>
      <c r="BC122" s="40">
        <f>IF($A122="","",IF($AG122=1,MIN(StratMin*$AB122,$BB122),0))</f>
        <v/>
      </c>
      <c r="BD122" s="41">
        <f>IF($A122="","",IF(OR($V122&lt;=0,$BB122&lt;=0),0,Util*(GM*365/$V122-$AT122)))</f>
        <v/>
      </c>
      <c r="BE122" s="42">
        <f>IF($A122="","",Util*$AL122*$AN122*(1-$AO122))</f>
        <v/>
      </c>
      <c r="BF122" s="37">
        <f>IF($A122="","",IF($AC122="","0-2",IF($AC122&lt;=2,"0-2",IF($AC122=3,"3",IF($AC122&lt;=5,"4-5","6-7")))))</f>
        <v/>
      </c>
      <c r="BG122" s="40">
        <f>IF($A122="","",$Z122*$AM122*$AN122*(1-$AO122))</f>
        <v/>
      </c>
      <c r="BH122" s="40">
        <f>IF($A122="","",$Z122*(TSOFR3M+$AP122)*$V122/DayBasis)</f>
        <v/>
      </c>
      <c r="BI122" s="43">
        <f>IF($A122="","",$C122+$Z122*1E-13)</f>
        <v/>
      </c>
    </row>
    <row r="123">
      <c r="B123" s="32" t="n"/>
      <c r="C123" s="33" t="n"/>
      <c r="E123" s="33" t="n"/>
      <c r="H123" s="34" t="n"/>
      <c r="X123" s="35" t="n"/>
      <c r="Y123" s="35" t="n"/>
      <c r="Z123" s="35" t="n"/>
      <c r="AA123" s="35" t="n"/>
      <c r="AB123" s="35" t="n"/>
      <c r="AD123" s="36" t="n"/>
      <c r="AE123" s="36" t="n"/>
      <c r="AF123" s="36" t="n"/>
      <c r="AK123" s="37">
        <f>IF($A123="","",IF(GradeRule="quantile",$I123,$F123))</f>
        <v/>
      </c>
      <c r="AL123" s="38">
        <f>IF($A123="","",CHOOSE(MATCH($AK123,{"S","A","B","C"},0),PD_S,PD_A,PD_B,PD_C))</f>
        <v/>
      </c>
      <c r="AM123" s="38">
        <f>IF($A123="","",IF($AH123=1,1,$AL123))</f>
        <v/>
      </c>
      <c r="AN123" s="38">
        <f>IF($A123="","",IF(OR($U123="LC_SIGHT",$U123="LC_USANCE"),LGD_LC,LGD))</f>
        <v/>
      </c>
      <c r="AO123" s="38">
        <f>IF($A123="","",IF($W123="Y",Cov,0))</f>
        <v/>
      </c>
      <c r="AP123" s="38">
        <f>IF($A123="","",CHOOSE(MATCH($AK123,{"S","A","B","C"},0),Spread_S,Spread_A,Spread_B,Spread_C))</f>
        <v/>
      </c>
      <c r="AQ123" s="38">
        <f>IF($A123="","",CHOOSE(MATCH($AK123,{"S","A","B","C"},0),Prem_S,Prem_A,Prem_B,Prem_C))</f>
        <v/>
      </c>
      <c r="AR123" s="39">
        <f>IF(OR($A123="",$V123&lt;=0),"",TSOFR3M+$AP123+$AL123*$AN123)</f>
        <v/>
      </c>
      <c r="AS123" s="39">
        <f>IF(OR($A123="",$V123&lt;=0),"",TSOFR3M+$AP123+$AQ123*365/$V123+$AL123*$AN123*(1-Cov))</f>
        <v/>
      </c>
      <c r="AT123" s="39">
        <f>IF(OR($A123="",$V123&lt;=0),"",IF($W123="Y",$AS123,$AR123))</f>
        <v/>
      </c>
      <c r="AU123" s="37">
        <f>IF(OR($A123="",$V123&lt;=0),"",IF($AS123&lt;$AR123,"부보 유리","무보험 유리"))</f>
        <v/>
      </c>
      <c r="AV123" s="40">
        <f>IF($A123="","",$Y123*($V123+Grace)/30)</f>
        <v/>
      </c>
      <c r="AW123" s="40">
        <f>IF($A123="","",CHOOSE(MATCH($AK123,{"S","A","B","C"},0),$AV123,Cap_A,Cap_B,Cap_C_OA))</f>
        <v/>
      </c>
      <c r="AX123" s="40">
        <f>IF($A123="","",IF($W123="Y",$X123,0))</f>
        <v/>
      </c>
      <c r="AY123" s="40">
        <f>IF($A123="","",Equity_USD*CHOOSE(MATCH($AK123,{"S","A","B","C"},0),s_S,s_A,s_B,s_C))</f>
        <v/>
      </c>
      <c r="AZ123" s="37">
        <f>IF($A123="","",'13_EarlyWarning'!$AH126)</f>
        <v/>
      </c>
      <c r="BA123" s="37">
        <f>IF($A123="","",IF(OR($U123="LC_SIGHT",$U123="LC_USANCE",$U123="TT_ADV"),"대상 아님","대상"))</f>
        <v/>
      </c>
      <c r="BB123" s="40">
        <f>IF($A123="","",IF(OR($BA123="대상 아님",$AZ123&lt;&gt;"",$AH123=1),0,MIN($AV123,$AW123,$AX123+$AY123)))</f>
        <v/>
      </c>
      <c r="BC123" s="40">
        <f>IF($A123="","",IF($AG123=1,MIN(StratMin*$AB123,$BB123),0))</f>
        <v/>
      </c>
      <c r="BD123" s="41">
        <f>IF($A123="","",IF(OR($V123&lt;=0,$BB123&lt;=0),0,Util*(GM*365/$V123-$AT123)))</f>
        <v/>
      </c>
      <c r="BE123" s="42">
        <f>IF($A123="","",Util*$AL123*$AN123*(1-$AO123))</f>
        <v/>
      </c>
      <c r="BF123" s="37">
        <f>IF($A123="","",IF($AC123="","0-2",IF($AC123&lt;=2,"0-2",IF($AC123=3,"3",IF($AC123&lt;=5,"4-5","6-7")))))</f>
        <v/>
      </c>
      <c r="BG123" s="40">
        <f>IF($A123="","",$Z123*$AM123*$AN123*(1-$AO123))</f>
        <v/>
      </c>
      <c r="BH123" s="40">
        <f>IF($A123="","",$Z123*(TSOFR3M+$AP123)*$V123/DayBasis)</f>
        <v/>
      </c>
      <c r="BI123" s="43">
        <f>IF($A123="","",$C123+$Z123*1E-13)</f>
        <v/>
      </c>
    </row>
    <row r="124">
      <c r="B124" s="32" t="n"/>
      <c r="C124" s="33" t="n"/>
      <c r="E124" s="33" t="n"/>
      <c r="H124" s="34" t="n"/>
      <c r="X124" s="35" t="n"/>
      <c r="Y124" s="35" t="n"/>
      <c r="Z124" s="35" t="n"/>
      <c r="AA124" s="35" t="n"/>
      <c r="AB124" s="35" t="n"/>
      <c r="AD124" s="36" t="n"/>
      <c r="AE124" s="36" t="n"/>
      <c r="AF124" s="36" t="n"/>
      <c r="AK124" s="37">
        <f>IF($A124="","",IF(GradeRule="quantile",$I124,$F124))</f>
        <v/>
      </c>
      <c r="AL124" s="38">
        <f>IF($A124="","",CHOOSE(MATCH($AK124,{"S","A","B","C"},0),PD_S,PD_A,PD_B,PD_C))</f>
        <v/>
      </c>
      <c r="AM124" s="38">
        <f>IF($A124="","",IF($AH124=1,1,$AL124))</f>
        <v/>
      </c>
      <c r="AN124" s="38">
        <f>IF($A124="","",IF(OR($U124="LC_SIGHT",$U124="LC_USANCE"),LGD_LC,LGD))</f>
        <v/>
      </c>
      <c r="AO124" s="38">
        <f>IF($A124="","",IF($W124="Y",Cov,0))</f>
        <v/>
      </c>
      <c r="AP124" s="38">
        <f>IF($A124="","",CHOOSE(MATCH($AK124,{"S","A","B","C"},0),Spread_S,Spread_A,Spread_B,Spread_C))</f>
        <v/>
      </c>
      <c r="AQ124" s="38">
        <f>IF($A124="","",CHOOSE(MATCH($AK124,{"S","A","B","C"},0),Prem_S,Prem_A,Prem_B,Prem_C))</f>
        <v/>
      </c>
      <c r="AR124" s="39">
        <f>IF(OR($A124="",$V124&lt;=0),"",TSOFR3M+$AP124+$AL124*$AN124)</f>
        <v/>
      </c>
      <c r="AS124" s="39">
        <f>IF(OR($A124="",$V124&lt;=0),"",TSOFR3M+$AP124+$AQ124*365/$V124+$AL124*$AN124*(1-Cov))</f>
        <v/>
      </c>
      <c r="AT124" s="39">
        <f>IF(OR($A124="",$V124&lt;=0),"",IF($W124="Y",$AS124,$AR124))</f>
        <v/>
      </c>
      <c r="AU124" s="37">
        <f>IF(OR($A124="",$V124&lt;=0),"",IF($AS124&lt;$AR124,"부보 유리","무보험 유리"))</f>
        <v/>
      </c>
      <c r="AV124" s="40">
        <f>IF($A124="","",$Y124*($V124+Grace)/30)</f>
        <v/>
      </c>
      <c r="AW124" s="40">
        <f>IF($A124="","",CHOOSE(MATCH($AK124,{"S","A","B","C"},0),$AV124,Cap_A,Cap_B,Cap_C_OA))</f>
        <v/>
      </c>
      <c r="AX124" s="40">
        <f>IF($A124="","",IF($W124="Y",$X124,0))</f>
        <v/>
      </c>
      <c r="AY124" s="40">
        <f>IF($A124="","",Equity_USD*CHOOSE(MATCH($AK124,{"S","A","B","C"},0),s_S,s_A,s_B,s_C))</f>
        <v/>
      </c>
      <c r="AZ124" s="37">
        <f>IF($A124="","",'13_EarlyWarning'!$AH127)</f>
        <v/>
      </c>
      <c r="BA124" s="37">
        <f>IF($A124="","",IF(OR($U124="LC_SIGHT",$U124="LC_USANCE",$U124="TT_ADV"),"대상 아님","대상"))</f>
        <v/>
      </c>
      <c r="BB124" s="40">
        <f>IF($A124="","",IF(OR($BA124="대상 아님",$AZ124&lt;&gt;"",$AH124=1),0,MIN($AV124,$AW124,$AX124+$AY124)))</f>
        <v/>
      </c>
      <c r="BC124" s="40">
        <f>IF($A124="","",IF($AG124=1,MIN(StratMin*$AB124,$BB124),0))</f>
        <v/>
      </c>
      <c r="BD124" s="41">
        <f>IF($A124="","",IF(OR($V124&lt;=0,$BB124&lt;=0),0,Util*(GM*365/$V124-$AT124)))</f>
        <v/>
      </c>
      <c r="BE124" s="42">
        <f>IF($A124="","",Util*$AL124*$AN124*(1-$AO124))</f>
        <v/>
      </c>
      <c r="BF124" s="37">
        <f>IF($A124="","",IF($AC124="","0-2",IF($AC124&lt;=2,"0-2",IF($AC124=3,"3",IF($AC124&lt;=5,"4-5","6-7")))))</f>
        <v/>
      </c>
      <c r="BG124" s="40">
        <f>IF($A124="","",$Z124*$AM124*$AN124*(1-$AO124))</f>
        <v/>
      </c>
      <c r="BH124" s="40">
        <f>IF($A124="","",$Z124*(TSOFR3M+$AP124)*$V124/DayBasis)</f>
        <v/>
      </c>
      <c r="BI124" s="43">
        <f>IF($A124="","",$C124+$Z124*1E-13)</f>
        <v/>
      </c>
    </row>
    <row r="125">
      <c r="B125" s="32" t="n"/>
      <c r="C125" s="33" t="n"/>
      <c r="E125" s="33" t="n"/>
      <c r="H125" s="34" t="n"/>
      <c r="X125" s="35" t="n"/>
      <c r="Y125" s="35" t="n"/>
      <c r="Z125" s="35" t="n"/>
      <c r="AA125" s="35" t="n"/>
      <c r="AB125" s="35" t="n"/>
      <c r="AD125" s="36" t="n"/>
      <c r="AE125" s="36" t="n"/>
      <c r="AF125" s="36" t="n"/>
      <c r="AK125" s="37">
        <f>IF($A125="","",IF(GradeRule="quantile",$I125,$F125))</f>
        <v/>
      </c>
      <c r="AL125" s="38">
        <f>IF($A125="","",CHOOSE(MATCH($AK125,{"S","A","B","C"},0),PD_S,PD_A,PD_B,PD_C))</f>
        <v/>
      </c>
      <c r="AM125" s="38">
        <f>IF($A125="","",IF($AH125=1,1,$AL125))</f>
        <v/>
      </c>
      <c r="AN125" s="38">
        <f>IF($A125="","",IF(OR($U125="LC_SIGHT",$U125="LC_USANCE"),LGD_LC,LGD))</f>
        <v/>
      </c>
      <c r="AO125" s="38">
        <f>IF($A125="","",IF($W125="Y",Cov,0))</f>
        <v/>
      </c>
      <c r="AP125" s="38">
        <f>IF($A125="","",CHOOSE(MATCH($AK125,{"S","A","B","C"},0),Spread_S,Spread_A,Spread_B,Spread_C))</f>
        <v/>
      </c>
      <c r="AQ125" s="38">
        <f>IF($A125="","",CHOOSE(MATCH($AK125,{"S","A","B","C"},0),Prem_S,Prem_A,Prem_B,Prem_C))</f>
        <v/>
      </c>
      <c r="AR125" s="39">
        <f>IF(OR($A125="",$V125&lt;=0),"",TSOFR3M+$AP125+$AL125*$AN125)</f>
        <v/>
      </c>
      <c r="AS125" s="39">
        <f>IF(OR($A125="",$V125&lt;=0),"",TSOFR3M+$AP125+$AQ125*365/$V125+$AL125*$AN125*(1-Cov))</f>
        <v/>
      </c>
      <c r="AT125" s="39">
        <f>IF(OR($A125="",$V125&lt;=0),"",IF($W125="Y",$AS125,$AR125))</f>
        <v/>
      </c>
      <c r="AU125" s="37">
        <f>IF(OR($A125="",$V125&lt;=0),"",IF($AS125&lt;$AR125,"부보 유리","무보험 유리"))</f>
        <v/>
      </c>
      <c r="AV125" s="40">
        <f>IF($A125="","",$Y125*($V125+Grace)/30)</f>
        <v/>
      </c>
      <c r="AW125" s="40">
        <f>IF($A125="","",CHOOSE(MATCH($AK125,{"S","A","B","C"},0),$AV125,Cap_A,Cap_B,Cap_C_OA))</f>
        <v/>
      </c>
      <c r="AX125" s="40">
        <f>IF($A125="","",IF($W125="Y",$X125,0))</f>
        <v/>
      </c>
      <c r="AY125" s="40">
        <f>IF($A125="","",Equity_USD*CHOOSE(MATCH($AK125,{"S","A","B","C"},0),s_S,s_A,s_B,s_C))</f>
        <v/>
      </c>
      <c r="AZ125" s="37">
        <f>IF($A125="","",'13_EarlyWarning'!$AH128)</f>
        <v/>
      </c>
      <c r="BA125" s="37">
        <f>IF($A125="","",IF(OR($U125="LC_SIGHT",$U125="LC_USANCE",$U125="TT_ADV"),"대상 아님","대상"))</f>
        <v/>
      </c>
      <c r="BB125" s="40">
        <f>IF($A125="","",IF(OR($BA125="대상 아님",$AZ125&lt;&gt;"",$AH125=1),0,MIN($AV125,$AW125,$AX125+$AY125)))</f>
        <v/>
      </c>
      <c r="BC125" s="40">
        <f>IF($A125="","",IF($AG125=1,MIN(StratMin*$AB125,$BB125),0))</f>
        <v/>
      </c>
      <c r="BD125" s="41">
        <f>IF($A125="","",IF(OR($V125&lt;=0,$BB125&lt;=0),0,Util*(GM*365/$V125-$AT125)))</f>
        <v/>
      </c>
      <c r="BE125" s="42">
        <f>IF($A125="","",Util*$AL125*$AN125*(1-$AO125))</f>
        <v/>
      </c>
      <c r="BF125" s="37">
        <f>IF($A125="","",IF($AC125="","0-2",IF($AC125&lt;=2,"0-2",IF($AC125=3,"3",IF($AC125&lt;=5,"4-5","6-7")))))</f>
        <v/>
      </c>
      <c r="BG125" s="40">
        <f>IF($A125="","",$Z125*$AM125*$AN125*(1-$AO125))</f>
        <v/>
      </c>
      <c r="BH125" s="40">
        <f>IF($A125="","",$Z125*(TSOFR3M+$AP125)*$V125/DayBasis)</f>
        <v/>
      </c>
      <c r="BI125" s="43">
        <f>IF($A125="","",$C125+$Z125*1E-13)</f>
        <v/>
      </c>
    </row>
    <row r="126">
      <c r="B126" s="32" t="n"/>
      <c r="C126" s="33" t="n"/>
      <c r="E126" s="33" t="n"/>
      <c r="H126" s="34" t="n"/>
      <c r="X126" s="35" t="n"/>
      <c r="Y126" s="35" t="n"/>
      <c r="Z126" s="35" t="n"/>
      <c r="AA126" s="35" t="n"/>
      <c r="AB126" s="35" t="n"/>
      <c r="AD126" s="36" t="n"/>
      <c r="AE126" s="36" t="n"/>
      <c r="AF126" s="36" t="n"/>
      <c r="AK126" s="37">
        <f>IF($A126="","",IF(GradeRule="quantile",$I126,$F126))</f>
        <v/>
      </c>
      <c r="AL126" s="38">
        <f>IF($A126="","",CHOOSE(MATCH($AK126,{"S","A","B","C"},0),PD_S,PD_A,PD_B,PD_C))</f>
        <v/>
      </c>
      <c r="AM126" s="38">
        <f>IF($A126="","",IF($AH126=1,1,$AL126))</f>
        <v/>
      </c>
      <c r="AN126" s="38">
        <f>IF($A126="","",IF(OR($U126="LC_SIGHT",$U126="LC_USANCE"),LGD_LC,LGD))</f>
        <v/>
      </c>
      <c r="AO126" s="38">
        <f>IF($A126="","",IF($W126="Y",Cov,0))</f>
        <v/>
      </c>
      <c r="AP126" s="38">
        <f>IF($A126="","",CHOOSE(MATCH($AK126,{"S","A","B","C"},0),Spread_S,Spread_A,Spread_B,Spread_C))</f>
        <v/>
      </c>
      <c r="AQ126" s="38">
        <f>IF($A126="","",CHOOSE(MATCH($AK126,{"S","A","B","C"},0),Prem_S,Prem_A,Prem_B,Prem_C))</f>
        <v/>
      </c>
      <c r="AR126" s="39">
        <f>IF(OR($A126="",$V126&lt;=0),"",TSOFR3M+$AP126+$AL126*$AN126)</f>
        <v/>
      </c>
      <c r="AS126" s="39">
        <f>IF(OR($A126="",$V126&lt;=0),"",TSOFR3M+$AP126+$AQ126*365/$V126+$AL126*$AN126*(1-Cov))</f>
        <v/>
      </c>
      <c r="AT126" s="39">
        <f>IF(OR($A126="",$V126&lt;=0),"",IF($W126="Y",$AS126,$AR126))</f>
        <v/>
      </c>
      <c r="AU126" s="37">
        <f>IF(OR($A126="",$V126&lt;=0),"",IF($AS126&lt;$AR126,"부보 유리","무보험 유리"))</f>
        <v/>
      </c>
      <c r="AV126" s="40">
        <f>IF($A126="","",$Y126*($V126+Grace)/30)</f>
        <v/>
      </c>
      <c r="AW126" s="40">
        <f>IF($A126="","",CHOOSE(MATCH($AK126,{"S","A","B","C"},0),$AV126,Cap_A,Cap_B,Cap_C_OA))</f>
        <v/>
      </c>
      <c r="AX126" s="40">
        <f>IF($A126="","",IF($W126="Y",$X126,0))</f>
        <v/>
      </c>
      <c r="AY126" s="40">
        <f>IF($A126="","",Equity_USD*CHOOSE(MATCH($AK126,{"S","A","B","C"},0),s_S,s_A,s_B,s_C))</f>
        <v/>
      </c>
      <c r="AZ126" s="37">
        <f>IF($A126="","",'13_EarlyWarning'!$AH129)</f>
        <v/>
      </c>
      <c r="BA126" s="37">
        <f>IF($A126="","",IF(OR($U126="LC_SIGHT",$U126="LC_USANCE",$U126="TT_ADV"),"대상 아님","대상"))</f>
        <v/>
      </c>
      <c r="BB126" s="40">
        <f>IF($A126="","",IF(OR($BA126="대상 아님",$AZ126&lt;&gt;"",$AH126=1),0,MIN($AV126,$AW126,$AX126+$AY126)))</f>
        <v/>
      </c>
      <c r="BC126" s="40">
        <f>IF($A126="","",IF($AG126=1,MIN(StratMin*$AB126,$BB126),0))</f>
        <v/>
      </c>
      <c r="BD126" s="41">
        <f>IF($A126="","",IF(OR($V126&lt;=0,$BB126&lt;=0),0,Util*(GM*365/$V126-$AT126)))</f>
        <v/>
      </c>
      <c r="BE126" s="42">
        <f>IF($A126="","",Util*$AL126*$AN126*(1-$AO126))</f>
        <v/>
      </c>
      <c r="BF126" s="37">
        <f>IF($A126="","",IF($AC126="","0-2",IF($AC126&lt;=2,"0-2",IF($AC126=3,"3",IF($AC126&lt;=5,"4-5","6-7")))))</f>
        <v/>
      </c>
      <c r="BG126" s="40">
        <f>IF($A126="","",$Z126*$AM126*$AN126*(1-$AO126))</f>
        <v/>
      </c>
      <c r="BH126" s="40">
        <f>IF($A126="","",$Z126*(TSOFR3M+$AP126)*$V126/DayBasis)</f>
        <v/>
      </c>
      <c r="BI126" s="43">
        <f>IF($A126="","",$C126+$Z126*1E-13)</f>
        <v/>
      </c>
    </row>
    <row r="127">
      <c r="B127" s="32" t="n"/>
      <c r="C127" s="33" t="n"/>
      <c r="E127" s="33" t="n"/>
      <c r="H127" s="34" t="n"/>
      <c r="X127" s="35" t="n"/>
      <c r="Y127" s="35" t="n"/>
      <c r="Z127" s="35" t="n"/>
      <c r="AA127" s="35" t="n"/>
      <c r="AB127" s="35" t="n"/>
      <c r="AD127" s="36" t="n"/>
      <c r="AE127" s="36" t="n"/>
      <c r="AF127" s="36" t="n"/>
      <c r="AK127" s="37">
        <f>IF($A127="","",IF(GradeRule="quantile",$I127,$F127))</f>
        <v/>
      </c>
      <c r="AL127" s="38">
        <f>IF($A127="","",CHOOSE(MATCH($AK127,{"S","A","B","C"},0),PD_S,PD_A,PD_B,PD_C))</f>
        <v/>
      </c>
      <c r="AM127" s="38">
        <f>IF($A127="","",IF($AH127=1,1,$AL127))</f>
        <v/>
      </c>
      <c r="AN127" s="38">
        <f>IF($A127="","",IF(OR($U127="LC_SIGHT",$U127="LC_USANCE"),LGD_LC,LGD))</f>
        <v/>
      </c>
      <c r="AO127" s="38">
        <f>IF($A127="","",IF($W127="Y",Cov,0))</f>
        <v/>
      </c>
      <c r="AP127" s="38">
        <f>IF($A127="","",CHOOSE(MATCH($AK127,{"S","A","B","C"},0),Spread_S,Spread_A,Spread_B,Spread_C))</f>
        <v/>
      </c>
      <c r="AQ127" s="38">
        <f>IF($A127="","",CHOOSE(MATCH($AK127,{"S","A","B","C"},0),Prem_S,Prem_A,Prem_B,Prem_C))</f>
        <v/>
      </c>
      <c r="AR127" s="39">
        <f>IF(OR($A127="",$V127&lt;=0),"",TSOFR3M+$AP127+$AL127*$AN127)</f>
        <v/>
      </c>
      <c r="AS127" s="39">
        <f>IF(OR($A127="",$V127&lt;=0),"",TSOFR3M+$AP127+$AQ127*365/$V127+$AL127*$AN127*(1-Cov))</f>
        <v/>
      </c>
      <c r="AT127" s="39">
        <f>IF(OR($A127="",$V127&lt;=0),"",IF($W127="Y",$AS127,$AR127))</f>
        <v/>
      </c>
      <c r="AU127" s="37">
        <f>IF(OR($A127="",$V127&lt;=0),"",IF($AS127&lt;$AR127,"부보 유리","무보험 유리"))</f>
        <v/>
      </c>
      <c r="AV127" s="40">
        <f>IF($A127="","",$Y127*($V127+Grace)/30)</f>
        <v/>
      </c>
      <c r="AW127" s="40">
        <f>IF($A127="","",CHOOSE(MATCH($AK127,{"S","A","B","C"},0),$AV127,Cap_A,Cap_B,Cap_C_OA))</f>
        <v/>
      </c>
      <c r="AX127" s="40">
        <f>IF($A127="","",IF($W127="Y",$X127,0))</f>
        <v/>
      </c>
      <c r="AY127" s="40">
        <f>IF($A127="","",Equity_USD*CHOOSE(MATCH($AK127,{"S","A","B","C"},0),s_S,s_A,s_B,s_C))</f>
        <v/>
      </c>
      <c r="AZ127" s="37">
        <f>IF($A127="","",'13_EarlyWarning'!$AH130)</f>
        <v/>
      </c>
      <c r="BA127" s="37">
        <f>IF($A127="","",IF(OR($U127="LC_SIGHT",$U127="LC_USANCE",$U127="TT_ADV"),"대상 아님","대상"))</f>
        <v/>
      </c>
      <c r="BB127" s="40">
        <f>IF($A127="","",IF(OR($BA127="대상 아님",$AZ127&lt;&gt;"",$AH127=1),0,MIN($AV127,$AW127,$AX127+$AY127)))</f>
        <v/>
      </c>
      <c r="BC127" s="40">
        <f>IF($A127="","",IF($AG127=1,MIN(StratMin*$AB127,$BB127),0))</f>
        <v/>
      </c>
      <c r="BD127" s="41">
        <f>IF($A127="","",IF(OR($V127&lt;=0,$BB127&lt;=0),0,Util*(GM*365/$V127-$AT127)))</f>
        <v/>
      </c>
      <c r="BE127" s="42">
        <f>IF($A127="","",Util*$AL127*$AN127*(1-$AO127))</f>
        <v/>
      </c>
      <c r="BF127" s="37">
        <f>IF($A127="","",IF($AC127="","0-2",IF($AC127&lt;=2,"0-2",IF($AC127=3,"3",IF($AC127&lt;=5,"4-5","6-7")))))</f>
        <v/>
      </c>
      <c r="BG127" s="40">
        <f>IF($A127="","",$Z127*$AM127*$AN127*(1-$AO127))</f>
        <v/>
      </c>
      <c r="BH127" s="40">
        <f>IF($A127="","",$Z127*(TSOFR3M+$AP127)*$V127/DayBasis)</f>
        <v/>
      </c>
      <c r="BI127" s="43">
        <f>IF($A127="","",$C127+$Z127*1E-13)</f>
        <v/>
      </c>
    </row>
    <row r="128">
      <c r="B128" s="32" t="n"/>
      <c r="C128" s="33" t="n"/>
      <c r="E128" s="33" t="n"/>
      <c r="H128" s="34" t="n"/>
      <c r="X128" s="35" t="n"/>
      <c r="Y128" s="35" t="n"/>
      <c r="Z128" s="35" t="n"/>
      <c r="AA128" s="35" t="n"/>
      <c r="AB128" s="35" t="n"/>
      <c r="AD128" s="36" t="n"/>
      <c r="AE128" s="36" t="n"/>
      <c r="AF128" s="36" t="n"/>
      <c r="AK128" s="37">
        <f>IF($A128="","",IF(GradeRule="quantile",$I128,$F128))</f>
        <v/>
      </c>
      <c r="AL128" s="38">
        <f>IF($A128="","",CHOOSE(MATCH($AK128,{"S","A","B","C"},0),PD_S,PD_A,PD_B,PD_C))</f>
        <v/>
      </c>
      <c r="AM128" s="38">
        <f>IF($A128="","",IF($AH128=1,1,$AL128))</f>
        <v/>
      </c>
      <c r="AN128" s="38">
        <f>IF($A128="","",IF(OR($U128="LC_SIGHT",$U128="LC_USANCE"),LGD_LC,LGD))</f>
        <v/>
      </c>
      <c r="AO128" s="38">
        <f>IF($A128="","",IF($W128="Y",Cov,0))</f>
        <v/>
      </c>
      <c r="AP128" s="38">
        <f>IF($A128="","",CHOOSE(MATCH($AK128,{"S","A","B","C"},0),Spread_S,Spread_A,Spread_B,Spread_C))</f>
        <v/>
      </c>
      <c r="AQ128" s="38">
        <f>IF($A128="","",CHOOSE(MATCH($AK128,{"S","A","B","C"},0),Prem_S,Prem_A,Prem_B,Prem_C))</f>
        <v/>
      </c>
      <c r="AR128" s="39">
        <f>IF(OR($A128="",$V128&lt;=0),"",TSOFR3M+$AP128+$AL128*$AN128)</f>
        <v/>
      </c>
      <c r="AS128" s="39">
        <f>IF(OR($A128="",$V128&lt;=0),"",TSOFR3M+$AP128+$AQ128*365/$V128+$AL128*$AN128*(1-Cov))</f>
        <v/>
      </c>
      <c r="AT128" s="39">
        <f>IF(OR($A128="",$V128&lt;=0),"",IF($W128="Y",$AS128,$AR128))</f>
        <v/>
      </c>
      <c r="AU128" s="37">
        <f>IF(OR($A128="",$V128&lt;=0),"",IF($AS128&lt;$AR128,"부보 유리","무보험 유리"))</f>
        <v/>
      </c>
      <c r="AV128" s="40">
        <f>IF($A128="","",$Y128*($V128+Grace)/30)</f>
        <v/>
      </c>
      <c r="AW128" s="40">
        <f>IF($A128="","",CHOOSE(MATCH($AK128,{"S","A","B","C"},0),$AV128,Cap_A,Cap_B,Cap_C_OA))</f>
        <v/>
      </c>
      <c r="AX128" s="40">
        <f>IF($A128="","",IF($W128="Y",$X128,0))</f>
        <v/>
      </c>
      <c r="AY128" s="40">
        <f>IF($A128="","",Equity_USD*CHOOSE(MATCH($AK128,{"S","A","B","C"},0),s_S,s_A,s_B,s_C))</f>
        <v/>
      </c>
      <c r="AZ128" s="37">
        <f>IF($A128="","",'13_EarlyWarning'!$AH131)</f>
        <v/>
      </c>
      <c r="BA128" s="37">
        <f>IF($A128="","",IF(OR($U128="LC_SIGHT",$U128="LC_USANCE",$U128="TT_ADV"),"대상 아님","대상"))</f>
        <v/>
      </c>
      <c r="BB128" s="40">
        <f>IF($A128="","",IF(OR($BA128="대상 아님",$AZ128&lt;&gt;"",$AH128=1),0,MIN($AV128,$AW128,$AX128+$AY128)))</f>
        <v/>
      </c>
      <c r="BC128" s="40">
        <f>IF($A128="","",IF($AG128=1,MIN(StratMin*$AB128,$BB128),0))</f>
        <v/>
      </c>
      <c r="BD128" s="41">
        <f>IF($A128="","",IF(OR($V128&lt;=0,$BB128&lt;=0),0,Util*(GM*365/$V128-$AT128)))</f>
        <v/>
      </c>
      <c r="BE128" s="42">
        <f>IF($A128="","",Util*$AL128*$AN128*(1-$AO128))</f>
        <v/>
      </c>
      <c r="BF128" s="37">
        <f>IF($A128="","",IF($AC128="","0-2",IF($AC128&lt;=2,"0-2",IF($AC128=3,"3",IF($AC128&lt;=5,"4-5","6-7")))))</f>
        <v/>
      </c>
      <c r="BG128" s="40">
        <f>IF($A128="","",$Z128*$AM128*$AN128*(1-$AO128))</f>
        <v/>
      </c>
      <c r="BH128" s="40">
        <f>IF($A128="","",$Z128*(TSOFR3M+$AP128)*$V128/DayBasis)</f>
        <v/>
      </c>
      <c r="BI128" s="43">
        <f>IF($A128="","",$C128+$Z128*1E-13)</f>
        <v/>
      </c>
    </row>
    <row r="129">
      <c r="B129" s="32" t="n"/>
      <c r="C129" s="33" t="n"/>
      <c r="E129" s="33" t="n"/>
      <c r="H129" s="34" t="n"/>
      <c r="X129" s="35" t="n"/>
      <c r="Y129" s="35" t="n"/>
      <c r="Z129" s="35" t="n"/>
      <c r="AA129" s="35" t="n"/>
      <c r="AB129" s="35" t="n"/>
      <c r="AD129" s="36" t="n"/>
      <c r="AE129" s="36" t="n"/>
      <c r="AF129" s="36" t="n"/>
      <c r="AK129" s="37">
        <f>IF($A129="","",IF(GradeRule="quantile",$I129,$F129))</f>
        <v/>
      </c>
      <c r="AL129" s="38">
        <f>IF($A129="","",CHOOSE(MATCH($AK129,{"S","A","B","C"},0),PD_S,PD_A,PD_B,PD_C))</f>
        <v/>
      </c>
      <c r="AM129" s="38">
        <f>IF($A129="","",IF($AH129=1,1,$AL129))</f>
        <v/>
      </c>
      <c r="AN129" s="38">
        <f>IF($A129="","",IF(OR($U129="LC_SIGHT",$U129="LC_USANCE"),LGD_LC,LGD))</f>
        <v/>
      </c>
      <c r="AO129" s="38">
        <f>IF($A129="","",IF($W129="Y",Cov,0))</f>
        <v/>
      </c>
      <c r="AP129" s="38">
        <f>IF($A129="","",CHOOSE(MATCH($AK129,{"S","A","B","C"},0),Spread_S,Spread_A,Spread_B,Spread_C))</f>
        <v/>
      </c>
      <c r="AQ129" s="38">
        <f>IF($A129="","",CHOOSE(MATCH($AK129,{"S","A","B","C"},0),Prem_S,Prem_A,Prem_B,Prem_C))</f>
        <v/>
      </c>
      <c r="AR129" s="39">
        <f>IF(OR($A129="",$V129&lt;=0),"",TSOFR3M+$AP129+$AL129*$AN129)</f>
        <v/>
      </c>
      <c r="AS129" s="39">
        <f>IF(OR($A129="",$V129&lt;=0),"",TSOFR3M+$AP129+$AQ129*365/$V129+$AL129*$AN129*(1-Cov))</f>
        <v/>
      </c>
      <c r="AT129" s="39">
        <f>IF(OR($A129="",$V129&lt;=0),"",IF($W129="Y",$AS129,$AR129))</f>
        <v/>
      </c>
      <c r="AU129" s="37">
        <f>IF(OR($A129="",$V129&lt;=0),"",IF($AS129&lt;$AR129,"부보 유리","무보험 유리"))</f>
        <v/>
      </c>
      <c r="AV129" s="40">
        <f>IF($A129="","",$Y129*($V129+Grace)/30)</f>
        <v/>
      </c>
      <c r="AW129" s="40">
        <f>IF($A129="","",CHOOSE(MATCH($AK129,{"S","A","B","C"},0),$AV129,Cap_A,Cap_B,Cap_C_OA))</f>
        <v/>
      </c>
      <c r="AX129" s="40">
        <f>IF($A129="","",IF($W129="Y",$X129,0))</f>
        <v/>
      </c>
      <c r="AY129" s="40">
        <f>IF($A129="","",Equity_USD*CHOOSE(MATCH($AK129,{"S","A","B","C"},0),s_S,s_A,s_B,s_C))</f>
        <v/>
      </c>
      <c r="AZ129" s="37">
        <f>IF($A129="","",'13_EarlyWarning'!$AH132)</f>
        <v/>
      </c>
      <c r="BA129" s="37">
        <f>IF($A129="","",IF(OR($U129="LC_SIGHT",$U129="LC_USANCE",$U129="TT_ADV"),"대상 아님","대상"))</f>
        <v/>
      </c>
      <c r="BB129" s="40">
        <f>IF($A129="","",IF(OR($BA129="대상 아님",$AZ129&lt;&gt;"",$AH129=1),0,MIN($AV129,$AW129,$AX129+$AY129)))</f>
        <v/>
      </c>
      <c r="BC129" s="40">
        <f>IF($A129="","",IF($AG129=1,MIN(StratMin*$AB129,$BB129),0))</f>
        <v/>
      </c>
      <c r="BD129" s="41">
        <f>IF($A129="","",IF(OR($V129&lt;=0,$BB129&lt;=0),0,Util*(GM*365/$V129-$AT129)))</f>
        <v/>
      </c>
      <c r="BE129" s="42">
        <f>IF($A129="","",Util*$AL129*$AN129*(1-$AO129))</f>
        <v/>
      </c>
      <c r="BF129" s="37">
        <f>IF($A129="","",IF($AC129="","0-2",IF($AC129&lt;=2,"0-2",IF($AC129=3,"3",IF($AC129&lt;=5,"4-5","6-7")))))</f>
        <v/>
      </c>
      <c r="BG129" s="40">
        <f>IF($A129="","",$Z129*$AM129*$AN129*(1-$AO129))</f>
        <v/>
      </c>
      <c r="BH129" s="40">
        <f>IF($A129="","",$Z129*(TSOFR3M+$AP129)*$V129/DayBasis)</f>
        <v/>
      </c>
      <c r="BI129" s="43">
        <f>IF($A129="","",$C129+$Z129*1E-13)</f>
        <v/>
      </c>
    </row>
    <row r="130">
      <c r="B130" s="32" t="n"/>
      <c r="C130" s="33" t="n"/>
      <c r="E130" s="33" t="n"/>
      <c r="H130" s="34" t="n"/>
      <c r="X130" s="35" t="n"/>
      <c r="Y130" s="35" t="n"/>
      <c r="Z130" s="35" t="n"/>
      <c r="AA130" s="35" t="n"/>
      <c r="AB130" s="35" t="n"/>
      <c r="AD130" s="36" t="n"/>
      <c r="AE130" s="36" t="n"/>
      <c r="AF130" s="36" t="n"/>
      <c r="AK130" s="37">
        <f>IF($A130="","",IF(GradeRule="quantile",$I130,$F130))</f>
        <v/>
      </c>
      <c r="AL130" s="38">
        <f>IF($A130="","",CHOOSE(MATCH($AK130,{"S","A","B","C"},0),PD_S,PD_A,PD_B,PD_C))</f>
        <v/>
      </c>
      <c r="AM130" s="38">
        <f>IF($A130="","",IF($AH130=1,1,$AL130))</f>
        <v/>
      </c>
      <c r="AN130" s="38">
        <f>IF($A130="","",IF(OR($U130="LC_SIGHT",$U130="LC_USANCE"),LGD_LC,LGD))</f>
        <v/>
      </c>
      <c r="AO130" s="38">
        <f>IF($A130="","",IF($W130="Y",Cov,0))</f>
        <v/>
      </c>
      <c r="AP130" s="38">
        <f>IF($A130="","",CHOOSE(MATCH($AK130,{"S","A","B","C"},0),Spread_S,Spread_A,Spread_B,Spread_C))</f>
        <v/>
      </c>
      <c r="AQ130" s="38">
        <f>IF($A130="","",CHOOSE(MATCH($AK130,{"S","A","B","C"},0),Prem_S,Prem_A,Prem_B,Prem_C))</f>
        <v/>
      </c>
      <c r="AR130" s="39">
        <f>IF(OR($A130="",$V130&lt;=0),"",TSOFR3M+$AP130+$AL130*$AN130)</f>
        <v/>
      </c>
      <c r="AS130" s="39">
        <f>IF(OR($A130="",$V130&lt;=0),"",TSOFR3M+$AP130+$AQ130*365/$V130+$AL130*$AN130*(1-Cov))</f>
        <v/>
      </c>
      <c r="AT130" s="39">
        <f>IF(OR($A130="",$V130&lt;=0),"",IF($W130="Y",$AS130,$AR130))</f>
        <v/>
      </c>
      <c r="AU130" s="37">
        <f>IF(OR($A130="",$V130&lt;=0),"",IF($AS130&lt;$AR130,"부보 유리","무보험 유리"))</f>
        <v/>
      </c>
      <c r="AV130" s="40">
        <f>IF($A130="","",$Y130*($V130+Grace)/30)</f>
        <v/>
      </c>
      <c r="AW130" s="40">
        <f>IF($A130="","",CHOOSE(MATCH($AK130,{"S","A","B","C"},0),$AV130,Cap_A,Cap_B,Cap_C_OA))</f>
        <v/>
      </c>
      <c r="AX130" s="40">
        <f>IF($A130="","",IF($W130="Y",$X130,0))</f>
        <v/>
      </c>
      <c r="AY130" s="40">
        <f>IF($A130="","",Equity_USD*CHOOSE(MATCH($AK130,{"S","A","B","C"},0),s_S,s_A,s_B,s_C))</f>
        <v/>
      </c>
      <c r="AZ130" s="37">
        <f>IF($A130="","",'13_EarlyWarning'!$AH133)</f>
        <v/>
      </c>
      <c r="BA130" s="37">
        <f>IF($A130="","",IF(OR($U130="LC_SIGHT",$U130="LC_USANCE",$U130="TT_ADV"),"대상 아님","대상"))</f>
        <v/>
      </c>
      <c r="BB130" s="40">
        <f>IF($A130="","",IF(OR($BA130="대상 아님",$AZ130&lt;&gt;"",$AH130=1),0,MIN($AV130,$AW130,$AX130+$AY130)))</f>
        <v/>
      </c>
      <c r="BC130" s="40">
        <f>IF($A130="","",IF($AG130=1,MIN(StratMin*$AB130,$BB130),0))</f>
        <v/>
      </c>
      <c r="BD130" s="41">
        <f>IF($A130="","",IF(OR($V130&lt;=0,$BB130&lt;=0),0,Util*(GM*365/$V130-$AT130)))</f>
        <v/>
      </c>
      <c r="BE130" s="42">
        <f>IF($A130="","",Util*$AL130*$AN130*(1-$AO130))</f>
        <v/>
      </c>
      <c r="BF130" s="37">
        <f>IF($A130="","",IF($AC130="","0-2",IF($AC130&lt;=2,"0-2",IF($AC130=3,"3",IF($AC130&lt;=5,"4-5","6-7")))))</f>
        <v/>
      </c>
      <c r="BG130" s="40">
        <f>IF($A130="","",$Z130*$AM130*$AN130*(1-$AO130))</f>
        <v/>
      </c>
      <c r="BH130" s="40">
        <f>IF($A130="","",$Z130*(TSOFR3M+$AP130)*$V130/DayBasis)</f>
        <v/>
      </c>
      <c r="BI130" s="43">
        <f>IF($A130="","",$C130+$Z130*1E-13)</f>
        <v/>
      </c>
    </row>
    <row r="131">
      <c r="B131" s="32" t="n"/>
      <c r="C131" s="33" t="n"/>
      <c r="E131" s="33" t="n"/>
      <c r="H131" s="34" t="n"/>
      <c r="X131" s="35" t="n"/>
      <c r="Y131" s="35" t="n"/>
      <c r="Z131" s="35" t="n"/>
      <c r="AA131" s="35" t="n"/>
      <c r="AB131" s="35" t="n"/>
      <c r="AD131" s="36" t="n"/>
      <c r="AE131" s="36" t="n"/>
      <c r="AF131" s="36" t="n"/>
      <c r="AK131" s="37">
        <f>IF($A131="","",IF(GradeRule="quantile",$I131,$F131))</f>
        <v/>
      </c>
      <c r="AL131" s="38">
        <f>IF($A131="","",CHOOSE(MATCH($AK131,{"S","A","B","C"},0),PD_S,PD_A,PD_B,PD_C))</f>
        <v/>
      </c>
      <c r="AM131" s="38">
        <f>IF($A131="","",IF($AH131=1,1,$AL131))</f>
        <v/>
      </c>
      <c r="AN131" s="38">
        <f>IF($A131="","",IF(OR($U131="LC_SIGHT",$U131="LC_USANCE"),LGD_LC,LGD))</f>
        <v/>
      </c>
      <c r="AO131" s="38">
        <f>IF($A131="","",IF($W131="Y",Cov,0))</f>
        <v/>
      </c>
      <c r="AP131" s="38">
        <f>IF($A131="","",CHOOSE(MATCH($AK131,{"S","A","B","C"},0),Spread_S,Spread_A,Spread_B,Spread_C))</f>
        <v/>
      </c>
      <c r="AQ131" s="38">
        <f>IF($A131="","",CHOOSE(MATCH($AK131,{"S","A","B","C"},0),Prem_S,Prem_A,Prem_B,Prem_C))</f>
        <v/>
      </c>
      <c r="AR131" s="39">
        <f>IF(OR($A131="",$V131&lt;=0),"",TSOFR3M+$AP131+$AL131*$AN131)</f>
        <v/>
      </c>
      <c r="AS131" s="39">
        <f>IF(OR($A131="",$V131&lt;=0),"",TSOFR3M+$AP131+$AQ131*365/$V131+$AL131*$AN131*(1-Cov))</f>
        <v/>
      </c>
      <c r="AT131" s="39">
        <f>IF(OR($A131="",$V131&lt;=0),"",IF($W131="Y",$AS131,$AR131))</f>
        <v/>
      </c>
      <c r="AU131" s="37">
        <f>IF(OR($A131="",$V131&lt;=0),"",IF($AS131&lt;$AR131,"부보 유리","무보험 유리"))</f>
        <v/>
      </c>
      <c r="AV131" s="40">
        <f>IF($A131="","",$Y131*($V131+Grace)/30)</f>
        <v/>
      </c>
      <c r="AW131" s="40">
        <f>IF($A131="","",CHOOSE(MATCH($AK131,{"S","A","B","C"},0),$AV131,Cap_A,Cap_B,Cap_C_OA))</f>
        <v/>
      </c>
      <c r="AX131" s="40">
        <f>IF($A131="","",IF($W131="Y",$X131,0))</f>
        <v/>
      </c>
      <c r="AY131" s="40">
        <f>IF($A131="","",Equity_USD*CHOOSE(MATCH($AK131,{"S","A","B","C"},0),s_S,s_A,s_B,s_C))</f>
        <v/>
      </c>
      <c r="AZ131" s="37">
        <f>IF($A131="","",'13_EarlyWarning'!$AH134)</f>
        <v/>
      </c>
      <c r="BA131" s="37">
        <f>IF($A131="","",IF(OR($U131="LC_SIGHT",$U131="LC_USANCE",$U131="TT_ADV"),"대상 아님","대상"))</f>
        <v/>
      </c>
      <c r="BB131" s="40">
        <f>IF($A131="","",IF(OR($BA131="대상 아님",$AZ131&lt;&gt;"",$AH131=1),0,MIN($AV131,$AW131,$AX131+$AY131)))</f>
        <v/>
      </c>
      <c r="BC131" s="40">
        <f>IF($A131="","",IF($AG131=1,MIN(StratMin*$AB131,$BB131),0))</f>
        <v/>
      </c>
      <c r="BD131" s="41">
        <f>IF($A131="","",IF(OR($V131&lt;=0,$BB131&lt;=0),0,Util*(GM*365/$V131-$AT131)))</f>
        <v/>
      </c>
      <c r="BE131" s="42">
        <f>IF($A131="","",Util*$AL131*$AN131*(1-$AO131))</f>
        <v/>
      </c>
      <c r="BF131" s="37">
        <f>IF($A131="","",IF($AC131="","0-2",IF($AC131&lt;=2,"0-2",IF($AC131=3,"3",IF($AC131&lt;=5,"4-5","6-7")))))</f>
        <v/>
      </c>
      <c r="BG131" s="40">
        <f>IF($A131="","",$Z131*$AM131*$AN131*(1-$AO131))</f>
        <v/>
      </c>
      <c r="BH131" s="40">
        <f>IF($A131="","",$Z131*(TSOFR3M+$AP131)*$V131/DayBasis)</f>
        <v/>
      </c>
      <c r="BI131" s="43">
        <f>IF($A131="","",$C131+$Z131*1E-13)</f>
        <v/>
      </c>
    </row>
    <row r="132">
      <c r="B132" s="32" t="n"/>
      <c r="C132" s="33" t="n"/>
      <c r="E132" s="33" t="n"/>
      <c r="H132" s="34" t="n"/>
      <c r="X132" s="35" t="n"/>
      <c r="Y132" s="35" t="n"/>
      <c r="Z132" s="35" t="n"/>
      <c r="AA132" s="35" t="n"/>
      <c r="AB132" s="35" t="n"/>
      <c r="AD132" s="36" t="n"/>
      <c r="AE132" s="36" t="n"/>
      <c r="AF132" s="36" t="n"/>
      <c r="AK132" s="37">
        <f>IF($A132="","",IF(GradeRule="quantile",$I132,$F132))</f>
        <v/>
      </c>
      <c r="AL132" s="38">
        <f>IF($A132="","",CHOOSE(MATCH($AK132,{"S","A","B","C"},0),PD_S,PD_A,PD_B,PD_C))</f>
        <v/>
      </c>
      <c r="AM132" s="38">
        <f>IF($A132="","",IF($AH132=1,1,$AL132))</f>
        <v/>
      </c>
      <c r="AN132" s="38">
        <f>IF($A132="","",IF(OR($U132="LC_SIGHT",$U132="LC_USANCE"),LGD_LC,LGD))</f>
        <v/>
      </c>
      <c r="AO132" s="38">
        <f>IF($A132="","",IF($W132="Y",Cov,0))</f>
        <v/>
      </c>
      <c r="AP132" s="38">
        <f>IF($A132="","",CHOOSE(MATCH($AK132,{"S","A","B","C"},0),Spread_S,Spread_A,Spread_B,Spread_C))</f>
        <v/>
      </c>
      <c r="AQ132" s="38">
        <f>IF($A132="","",CHOOSE(MATCH($AK132,{"S","A","B","C"},0),Prem_S,Prem_A,Prem_B,Prem_C))</f>
        <v/>
      </c>
      <c r="AR132" s="39">
        <f>IF(OR($A132="",$V132&lt;=0),"",TSOFR3M+$AP132+$AL132*$AN132)</f>
        <v/>
      </c>
      <c r="AS132" s="39">
        <f>IF(OR($A132="",$V132&lt;=0),"",TSOFR3M+$AP132+$AQ132*365/$V132+$AL132*$AN132*(1-Cov))</f>
        <v/>
      </c>
      <c r="AT132" s="39">
        <f>IF(OR($A132="",$V132&lt;=0),"",IF($W132="Y",$AS132,$AR132))</f>
        <v/>
      </c>
      <c r="AU132" s="37">
        <f>IF(OR($A132="",$V132&lt;=0),"",IF($AS132&lt;$AR132,"부보 유리","무보험 유리"))</f>
        <v/>
      </c>
      <c r="AV132" s="40">
        <f>IF($A132="","",$Y132*($V132+Grace)/30)</f>
        <v/>
      </c>
      <c r="AW132" s="40">
        <f>IF($A132="","",CHOOSE(MATCH($AK132,{"S","A","B","C"},0),$AV132,Cap_A,Cap_B,Cap_C_OA))</f>
        <v/>
      </c>
      <c r="AX132" s="40">
        <f>IF($A132="","",IF($W132="Y",$X132,0))</f>
        <v/>
      </c>
      <c r="AY132" s="40">
        <f>IF($A132="","",Equity_USD*CHOOSE(MATCH($AK132,{"S","A","B","C"},0),s_S,s_A,s_B,s_C))</f>
        <v/>
      </c>
      <c r="AZ132" s="37">
        <f>IF($A132="","",'13_EarlyWarning'!$AH135)</f>
        <v/>
      </c>
      <c r="BA132" s="37">
        <f>IF($A132="","",IF(OR($U132="LC_SIGHT",$U132="LC_USANCE",$U132="TT_ADV"),"대상 아님","대상"))</f>
        <v/>
      </c>
      <c r="BB132" s="40">
        <f>IF($A132="","",IF(OR($BA132="대상 아님",$AZ132&lt;&gt;"",$AH132=1),0,MIN($AV132,$AW132,$AX132+$AY132)))</f>
        <v/>
      </c>
      <c r="BC132" s="40">
        <f>IF($A132="","",IF($AG132=1,MIN(StratMin*$AB132,$BB132),0))</f>
        <v/>
      </c>
      <c r="BD132" s="41">
        <f>IF($A132="","",IF(OR($V132&lt;=0,$BB132&lt;=0),0,Util*(GM*365/$V132-$AT132)))</f>
        <v/>
      </c>
      <c r="BE132" s="42">
        <f>IF($A132="","",Util*$AL132*$AN132*(1-$AO132))</f>
        <v/>
      </c>
      <c r="BF132" s="37">
        <f>IF($A132="","",IF($AC132="","0-2",IF($AC132&lt;=2,"0-2",IF($AC132=3,"3",IF($AC132&lt;=5,"4-5","6-7")))))</f>
        <v/>
      </c>
      <c r="BG132" s="40">
        <f>IF($A132="","",$Z132*$AM132*$AN132*(1-$AO132))</f>
        <v/>
      </c>
      <c r="BH132" s="40">
        <f>IF($A132="","",$Z132*(TSOFR3M+$AP132)*$V132/DayBasis)</f>
        <v/>
      </c>
      <c r="BI132" s="43">
        <f>IF($A132="","",$C132+$Z132*1E-13)</f>
        <v/>
      </c>
    </row>
    <row r="133">
      <c r="B133" s="32" t="n"/>
      <c r="C133" s="33" t="n"/>
      <c r="E133" s="33" t="n"/>
      <c r="H133" s="34" t="n"/>
      <c r="X133" s="35" t="n"/>
      <c r="Y133" s="35" t="n"/>
      <c r="Z133" s="35" t="n"/>
      <c r="AA133" s="35" t="n"/>
      <c r="AB133" s="35" t="n"/>
      <c r="AD133" s="36" t="n"/>
      <c r="AE133" s="36" t="n"/>
      <c r="AF133" s="36" t="n"/>
      <c r="AK133" s="37">
        <f>IF($A133="","",IF(GradeRule="quantile",$I133,$F133))</f>
        <v/>
      </c>
      <c r="AL133" s="38">
        <f>IF($A133="","",CHOOSE(MATCH($AK133,{"S","A","B","C"},0),PD_S,PD_A,PD_B,PD_C))</f>
        <v/>
      </c>
      <c r="AM133" s="38">
        <f>IF($A133="","",IF($AH133=1,1,$AL133))</f>
        <v/>
      </c>
      <c r="AN133" s="38">
        <f>IF($A133="","",IF(OR($U133="LC_SIGHT",$U133="LC_USANCE"),LGD_LC,LGD))</f>
        <v/>
      </c>
      <c r="AO133" s="38">
        <f>IF($A133="","",IF($W133="Y",Cov,0))</f>
        <v/>
      </c>
      <c r="AP133" s="38">
        <f>IF($A133="","",CHOOSE(MATCH($AK133,{"S","A","B","C"},0),Spread_S,Spread_A,Spread_B,Spread_C))</f>
        <v/>
      </c>
      <c r="AQ133" s="38">
        <f>IF($A133="","",CHOOSE(MATCH($AK133,{"S","A","B","C"},0),Prem_S,Prem_A,Prem_B,Prem_C))</f>
        <v/>
      </c>
      <c r="AR133" s="39">
        <f>IF(OR($A133="",$V133&lt;=0),"",TSOFR3M+$AP133+$AL133*$AN133)</f>
        <v/>
      </c>
      <c r="AS133" s="39">
        <f>IF(OR($A133="",$V133&lt;=0),"",TSOFR3M+$AP133+$AQ133*365/$V133+$AL133*$AN133*(1-Cov))</f>
        <v/>
      </c>
      <c r="AT133" s="39">
        <f>IF(OR($A133="",$V133&lt;=0),"",IF($W133="Y",$AS133,$AR133))</f>
        <v/>
      </c>
      <c r="AU133" s="37">
        <f>IF(OR($A133="",$V133&lt;=0),"",IF($AS133&lt;$AR133,"부보 유리","무보험 유리"))</f>
        <v/>
      </c>
      <c r="AV133" s="40">
        <f>IF($A133="","",$Y133*($V133+Grace)/30)</f>
        <v/>
      </c>
      <c r="AW133" s="40">
        <f>IF($A133="","",CHOOSE(MATCH($AK133,{"S","A","B","C"},0),$AV133,Cap_A,Cap_B,Cap_C_OA))</f>
        <v/>
      </c>
      <c r="AX133" s="40">
        <f>IF($A133="","",IF($W133="Y",$X133,0))</f>
        <v/>
      </c>
      <c r="AY133" s="40">
        <f>IF($A133="","",Equity_USD*CHOOSE(MATCH($AK133,{"S","A","B","C"},0),s_S,s_A,s_B,s_C))</f>
        <v/>
      </c>
      <c r="AZ133" s="37">
        <f>IF($A133="","",'13_EarlyWarning'!$AH136)</f>
        <v/>
      </c>
      <c r="BA133" s="37">
        <f>IF($A133="","",IF(OR($U133="LC_SIGHT",$U133="LC_USANCE",$U133="TT_ADV"),"대상 아님","대상"))</f>
        <v/>
      </c>
      <c r="BB133" s="40">
        <f>IF($A133="","",IF(OR($BA133="대상 아님",$AZ133&lt;&gt;"",$AH133=1),0,MIN($AV133,$AW133,$AX133+$AY133)))</f>
        <v/>
      </c>
      <c r="BC133" s="40">
        <f>IF($A133="","",IF($AG133=1,MIN(StratMin*$AB133,$BB133),0))</f>
        <v/>
      </c>
      <c r="BD133" s="41">
        <f>IF($A133="","",IF(OR($V133&lt;=0,$BB133&lt;=0),0,Util*(GM*365/$V133-$AT133)))</f>
        <v/>
      </c>
      <c r="BE133" s="42">
        <f>IF($A133="","",Util*$AL133*$AN133*(1-$AO133))</f>
        <v/>
      </c>
      <c r="BF133" s="37">
        <f>IF($A133="","",IF($AC133="","0-2",IF($AC133&lt;=2,"0-2",IF($AC133=3,"3",IF($AC133&lt;=5,"4-5","6-7")))))</f>
        <v/>
      </c>
      <c r="BG133" s="40">
        <f>IF($A133="","",$Z133*$AM133*$AN133*(1-$AO133))</f>
        <v/>
      </c>
      <c r="BH133" s="40">
        <f>IF($A133="","",$Z133*(TSOFR3M+$AP133)*$V133/DayBasis)</f>
        <v/>
      </c>
      <c r="BI133" s="43">
        <f>IF($A133="","",$C133+$Z133*1E-13)</f>
        <v/>
      </c>
    </row>
    <row r="134">
      <c r="B134" s="32" t="n"/>
      <c r="C134" s="33" t="n"/>
      <c r="E134" s="33" t="n"/>
      <c r="H134" s="34" t="n"/>
      <c r="X134" s="35" t="n"/>
      <c r="Y134" s="35" t="n"/>
      <c r="Z134" s="35" t="n"/>
      <c r="AA134" s="35" t="n"/>
      <c r="AB134" s="35" t="n"/>
      <c r="AD134" s="36" t="n"/>
      <c r="AE134" s="36" t="n"/>
      <c r="AF134" s="36" t="n"/>
      <c r="AK134" s="37">
        <f>IF($A134="","",IF(GradeRule="quantile",$I134,$F134))</f>
        <v/>
      </c>
      <c r="AL134" s="38">
        <f>IF($A134="","",CHOOSE(MATCH($AK134,{"S","A","B","C"},0),PD_S,PD_A,PD_B,PD_C))</f>
        <v/>
      </c>
      <c r="AM134" s="38">
        <f>IF($A134="","",IF($AH134=1,1,$AL134))</f>
        <v/>
      </c>
      <c r="AN134" s="38">
        <f>IF($A134="","",IF(OR($U134="LC_SIGHT",$U134="LC_USANCE"),LGD_LC,LGD))</f>
        <v/>
      </c>
      <c r="AO134" s="38">
        <f>IF($A134="","",IF($W134="Y",Cov,0))</f>
        <v/>
      </c>
      <c r="AP134" s="38">
        <f>IF($A134="","",CHOOSE(MATCH($AK134,{"S","A","B","C"},0),Spread_S,Spread_A,Spread_B,Spread_C))</f>
        <v/>
      </c>
      <c r="AQ134" s="38">
        <f>IF($A134="","",CHOOSE(MATCH($AK134,{"S","A","B","C"},0),Prem_S,Prem_A,Prem_B,Prem_C))</f>
        <v/>
      </c>
      <c r="AR134" s="39">
        <f>IF(OR($A134="",$V134&lt;=0),"",TSOFR3M+$AP134+$AL134*$AN134)</f>
        <v/>
      </c>
      <c r="AS134" s="39">
        <f>IF(OR($A134="",$V134&lt;=0),"",TSOFR3M+$AP134+$AQ134*365/$V134+$AL134*$AN134*(1-Cov))</f>
        <v/>
      </c>
      <c r="AT134" s="39">
        <f>IF(OR($A134="",$V134&lt;=0),"",IF($W134="Y",$AS134,$AR134))</f>
        <v/>
      </c>
      <c r="AU134" s="37">
        <f>IF(OR($A134="",$V134&lt;=0),"",IF($AS134&lt;$AR134,"부보 유리","무보험 유리"))</f>
        <v/>
      </c>
      <c r="AV134" s="40">
        <f>IF($A134="","",$Y134*($V134+Grace)/30)</f>
        <v/>
      </c>
      <c r="AW134" s="40">
        <f>IF($A134="","",CHOOSE(MATCH($AK134,{"S","A","B","C"},0),$AV134,Cap_A,Cap_B,Cap_C_OA))</f>
        <v/>
      </c>
      <c r="AX134" s="40">
        <f>IF($A134="","",IF($W134="Y",$X134,0))</f>
        <v/>
      </c>
      <c r="AY134" s="40">
        <f>IF($A134="","",Equity_USD*CHOOSE(MATCH($AK134,{"S","A","B","C"},0),s_S,s_A,s_B,s_C))</f>
        <v/>
      </c>
      <c r="AZ134" s="37">
        <f>IF($A134="","",'13_EarlyWarning'!$AH137)</f>
        <v/>
      </c>
      <c r="BA134" s="37">
        <f>IF($A134="","",IF(OR($U134="LC_SIGHT",$U134="LC_USANCE",$U134="TT_ADV"),"대상 아님","대상"))</f>
        <v/>
      </c>
      <c r="BB134" s="40">
        <f>IF($A134="","",IF(OR($BA134="대상 아님",$AZ134&lt;&gt;"",$AH134=1),0,MIN($AV134,$AW134,$AX134+$AY134)))</f>
        <v/>
      </c>
      <c r="BC134" s="40">
        <f>IF($A134="","",IF($AG134=1,MIN(StratMin*$AB134,$BB134),0))</f>
        <v/>
      </c>
      <c r="BD134" s="41">
        <f>IF($A134="","",IF(OR($V134&lt;=0,$BB134&lt;=0),0,Util*(GM*365/$V134-$AT134)))</f>
        <v/>
      </c>
      <c r="BE134" s="42">
        <f>IF($A134="","",Util*$AL134*$AN134*(1-$AO134))</f>
        <v/>
      </c>
      <c r="BF134" s="37">
        <f>IF($A134="","",IF($AC134="","0-2",IF($AC134&lt;=2,"0-2",IF($AC134=3,"3",IF($AC134&lt;=5,"4-5","6-7")))))</f>
        <v/>
      </c>
      <c r="BG134" s="40">
        <f>IF($A134="","",$Z134*$AM134*$AN134*(1-$AO134))</f>
        <v/>
      </c>
      <c r="BH134" s="40">
        <f>IF($A134="","",$Z134*(TSOFR3M+$AP134)*$V134/DayBasis)</f>
        <v/>
      </c>
      <c r="BI134" s="43">
        <f>IF($A134="","",$C134+$Z134*1E-13)</f>
        <v/>
      </c>
    </row>
    <row r="135">
      <c r="B135" s="32" t="n"/>
      <c r="C135" s="33" t="n"/>
      <c r="E135" s="33" t="n"/>
      <c r="H135" s="34" t="n"/>
      <c r="X135" s="35" t="n"/>
      <c r="Y135" s="35" t="n"/>
      <c r="Z135" s="35" t="n"/>
      <c r="AA135" s="35" t="n"/>
      <c r="AB135" s="35" t="n"/>
      <c r="AD135" s="36" t="n"/>
      <c r="AE135" s="36" t="n"/>
      <c r="AF135" s="36" t="n"/>
      <c r="AK135" s="37">
        <f>IF($A135="","",IF(GradeRule="quantile",$I135,$F135))</f>
        <v/>
      </c>
      <c r="AL135" s="38">
        <f>IF($A135="","",CHOOSE(MATCH($AK135,{"S","A","B","C"},0),PD_S,PD_A,PD_B,PD_C))</f>
        <v/>
      </c>
      <c r="AM135" s="38">
        <f>IF($A135="","",IF($AH135=1,1,$AL135))</f>
        <v/>
      </c>
      <c r="AN135" s="38">
        <f>IF($A135="","",IF(OR($U135="LC_SIGHT",$U135="LC_USANCE"),LGD_LC,LGD))</f>
        <v/>
      </c>
      <c r="AO135" s="38">
        <f>IF($A135="","",IF($W135="Y",Cov,0))</f>
        <v/>
      </c>
      <c r="AP135" s="38">
        <f>IF($A135="","",CHOOSE(MATCH($AK135,{"S","A","B","C"},0),Spread_S,Spread_A,Spread_B,Spread_C))</f>
        <v/>
      </c>
      <c r="AQ135" s="38">
        <f>IF($A135="","",CHOOSE(MATCH($AK135,{"S","A","B","C"},0),Prem_S,Prem_A,Prem_B,Prem_C))</f>
        <v/>
      </c>
      <c r="AR135" s="39">
        <f>IF(OR($A135="",$V135&lt;=0),"",TSOFR3M+$AP135+$AL135*$AN135)</f>
        <v/>
      </c>
      <c r="AS135" s="39">
        <f>IF(OR($A135="",$V135&lt;=0),"",TSOFR3M+$AP135+$AQ135*365/$V135+$AL135*$AN135*(1-Cov))</f>
        <v/>
      </c>
      <c r="AT135" s="39">
        <f>IF(OR($A135="",$V135&lt;=0),"",IF($W135="Y",$AS135,$AR135))</f>
        <v/>
      </c>
      <c r="AU135" s="37">
        <f>IF(OR($A135="",$V135&lt;=0),"",IF($AS135&lt;$AR135,"부보 유리","무보험 유리"))</f>
        <v/>
      </c>
      <c r="AV135" s="40">
        <f>IF($A135="","",$Y135*($V135+Grace)/30)</f>
        <v/>
      </c>
      <c r="AW135" s="40">
        <f>IF($A135="","",CHOOSE(MATCH($AK135,{"S","A","B","C"},0),$AV135,Cap_A,Cap_B,Cap_C_OA))</f>
        <v/>
      </c>
      <c r="AX135" s="40">
        <f>IF($A135="","",IF($W135="Y",$X135,0))</f>
        <v/>
      </c>
      <c r="AY135" s="40">
        <f>IF($A135="","",Equity_USD*CHOOSE(MATCH($AK135,{"S","A","B","C"},0),s_S,s_A,s_B,s_C))</f>
        <v/>
      </c>
      <c r="AZ135" s="37">
        <f>IF($A135="","",'13_EarlyWarning'!$AH138)</f>
        <v/>
      </c>
      <c r="BA135" s="37">
        <f>IF($A135="","",IF(OR($U135="LC_SIGHT",$U135="LC_USANCE",$U135="TT_ADV"),"대상 아님","대상"))</f>
        <v/>
      </c>
      <c r="BB135" s="40">
        <f>IF($A135="","",IF(OR($BA135="대상 아님",$AZ135&lt;&gt;"",$AH135=1),0,MIN($AV135,$AW135,$AX135+$AY135)))</f>
        <v/>
      </c>
      <c r="BC135" s="40">
        <f>IF($A135="","",IF($AG135=1,MIN(StratMin*$AB135,$BB135),0))</f>
        <v/>
      </c>
      <c r="BD135" s="41">
        <f>IF($A135="","",IF(OR($V135&lt;=0,$BB135&lt;=0),0,Util*(GM*365/$V135-$AT135)))</f>
        <v/>
      </c>
      <c r="BE135" s="42">
        <f>IF($A135="","",Util*$AL135*$AN135*(1-$AO135))</f>
        <v/>
      </c>
      <c r="BF135" s="37">
        <f>IF($A135="","",IF($AC135="","0-2",IF($AC135&lt;=2,"0-2",IF($AC135=3,"3",IF($AC135&lt;=5,"4-5","6-7")))))</f>
        <v/>
      </c>
      <c r="BG135" s="40">
        <f>IF($A135="","",$Z135*$AM135*$AN135*(1-$AO135))</f>
        <v/>
      </c>
      <c r="BH135" s="40">
        <f>IF($A135="","",$Z135*(TSOFR3M+$AP135)*$V135/DayBasis)</f>
        <v/>
      </c>
      <c r="BI135" s="43">
        <f>IF($A135="","",$C135+$Z135*1E-13)</f>
        <v/>
      </c>
    </row>
    <row r="136">
      <c r="B136" s="32" t="n"/>
      <c r="C136" s="33" t="n"/>
      <c r="E136" s="33" t="n"/>
      <c r="H136" s="34" t="n"/>
      <c r="X136" s="35" t="n"/>
      <c r="Y136" s="35" t="n"/>
      <c r="Z136" s="35" t="n"/>
      <c r="AA136" s="35" t="n"/>
      <c r="AB136" s="35" t="n"/>
      <c r="AD136" s="36" t="n"/>
      <c r="AE136" s="36" t="n"/>
      <c r="AF136" s="36" t="n"/>
      <c r="AK136" s="37">
        <f>IF($A136="","",IF(GradeRule="quantile",$I136,$F136))</f>
        <v/>
      </c>
      <c r="AL136" s="38">
        <f>IF($A136="","",CHOOSE(MATCH($AK136,{"S","A","B","C"},0),PD_S,PD_A,PD_B,PD_C))</f>
        <v/>
      </c>
      <c r="AM136" s="38">
        <f>IF($A136="","",IF($AH136=1,1,$AL136))</f>
        <v/>
      </c>
      <c r="AN136" s="38">
        <f>IF($A136="","",IF(OR($U136="LC_SIGHT",$U136="LC_USANCE"),LGD_LC,LGD))</f>
        <v/>
      </c>
      <c r="AO136" s="38">
        <f>IF($A136="","",IF($W136="Y",Cov,0))</f>
        <v/>
      </c>
      <c r="AP136" s="38">
        <f>IF($A136="","",CHOOSE(MATCH($AK136,{"S","A","B","C"},0),Spread_S,Spread_A,Spread_B,Spread_C))</f>
        <v/>
      </c>
      <c r="AQ136" s="38">
        <f>IF($A136="","",CHOOSE(MATCH($AK136,{"S","A","B","C"},0),Prem_S,Prem_A,Prem_B,Prem_C))</f>
        <v/>
      </c>
      <c r="AR136" s="39">
        <f>IF(OR($A136="",$V136&lt;=0),"",TSOFR3M+$AP136+$AL136*$AN136)</f>
        <v/>
      </c>
      <c r="AS136" s="39">
        <f>IF(OR($A136="",$V136&lt;=0),"",TSOFR3M+$AP136+$AQ136*365/$V136+$AL136*$AN136*(1-Cov))</f>
        <v/>
      </c>
      <c r="AT136" s="39">
        <f>IF(OR($A136="",$V136&lt;=0),"",IF($W136="Y",$AS136,$AR136))</f>
        <v/>
      </c>
      <c r="AU136" s="37">
        <f>IF(OR($A136="",$V136&lt;=0),"",IF($AS136&lt;$AR136,"부보 유리","무보험 유리"))</f>
        <v/>
      </c>
      <c r="AV136" s="40">
        <f>IF($A136="","",$Y136*($V136+Grace)/30)</f>
        <v/>
      </c>
      <c r="AW136" s="40">
        <f>IF($A136="","",CHOOSE(MATCH($AK136,{"S","A","B","C"},0),$AV136,Cap_A,Cap_B,Cap_C_OA))</f>
        <v/>
      </c>
      <c r="AX136" s="40">
        <f>IF($A136="","",IF($W136="Y",$X136,0))</f>
        <v/>
      </c>
      <c r="AY136" s="40">
        <f>IF($A136="","",Equity_USD*CHOOSE(MATCH($AK136,{"S","A","B","C"},0),s_S,s_A,s_B,s_C))</f>
        <v/>
      </c>
      <c r="AZ136" s="37">
        <f>IF($A136="","",'13_EarlyWarning'!$AH139)</f>
        <v/>
      </c>
      <c r="BA136" s="37">
        <f>IF($A136="","",IF(OR($U136="LC_SIGHT",$U136="LC_USANCE",$U136="TT_ADV"),"대상 아님","대상"))</f>
        <v/>
      </c>
      <c r="BB136" s="40">
        <f>IF($A136="","",IF(OR($BA136="대상 아님",$AZ136&lt;&gt;"",$AH136=1),0,MIN($AV136,$AW136,$AX136+$AY136)))</f>
        <v/>
      </c>
      <c r="BC136" s="40">
        <f>IF($A136="","",IF($AG136=1,MIN(StratMin*$AB136,$BB136),0))</f>
        <v/>
      </c>
      <c r="BD136" s="41">
        <f>IF($A136="","",IF(OR($V136&lt;=0,$BB136&lt;=0),0,Util*(GM*365/$V136-$AT136)))</f>
        <v/>
      </c>
      <c r="BE136" s="42">
        <f>IF($A136="","",Util*$AL136*$AN136*(1-$AO136))</f>
        <v/>
      </c>
      <c r="BF136" s="37">
        <f>IF($A136="","",IF($AC136="","0-2",IF($AC136&lt;=2,"0-2",IF($AC136=3,"3",IF($AC136&lt;=5,"4-5","6-7")))))</f>
        <v/>
      </c>
      <c r="BG136" s="40">
        <f>IF($A136="","",$Z136*$AM136*$AN136*(1-$AO136))</f>
        <v/>
      </c>
      <c r="BH136" s="40">
        <f>IF($A136="","",$Z136*(TSOFR3M+$AP136)*$V136/DayBasis)</f>
        <v/>
      </c>
      <c r="BI136" s="43">
        <f>IF($A136="","",$C136+$Z136*1E-13)</f>
        <v/>
      </c>
    </row>
    <row r="137">
      <c r="B137" s="32" t="n"/>
      <c r="C137" s="33" t="n"/>
      <c r="E137" s="33" t="n"/>
      <c r="H137" s="34" t="n"/>
      <c r="X137" s="35" t="n"/>
      <c r="Y137" s="35" t="n"/>
      <c r="Z137" s="35" t="n"/>
      <c r="AA137" s="35" t="n"/>
      <c r="AB137" s="35" t="n"/>
      <c r="AD137" s="36" t="n"/>
      <c r="AE137" s="36" t="n"/>
      <c r="AF137" s="36" t="n"/>
      <c r="AK137" s="37">
        <f>IF($A137="","",IF(GradeRule="quantile",$I137,$F137))</f>
        <v/>
      </c>
      <c r="AL137" s="38">
        <f>IF($A137="","",CHOOSE(MATCH($AK137,{"S","A","B","C"},0),PD_S,PD_A,PD_B,PD_C))</f>
        <v/>
      </c>
      <c r="AM137" s="38">
        <f>IF($A137="","",IF($AH137=1,1,$AL137))</f>
        <v/>
      </c>
      <c r="AN137" s="38">
        <f>IF($A137="","",IF(OR($U137="LC_SIGHT",$U137="LC_USANCE"),LGD_LC,LGD))</f>
        <v/>
      </c>
      <c r="AO137" s="38">
        <f>IF($A137="","",IF($W137="Y",Cov,0))</f>
        <v/>
      </c>
      <c r="AP137" s="38">
        <f>IF($A137="","",CHOOSE(MATCH($AK137,{"S","A","B","C"},0),Spread_S,Spread_A,Spread_B,Spread_C))</f>
        <v/>
      </c>
      <c r="AQ137" s="38">
        <f>IF($A137="","",CHOOSE(MATCH($AK137,{"S","A","B","C"},0),Prem_S,Prem_A,Prem_B,Prem_C))</f>
        <v/>
      </c>
      <c r="AR137" s="39">
        <f>IF(OR($A137="",$V137&lt;=0),"",TSOFR3M+$AP137+$AL137*$AN137)</f>
        <v/>
      </c>
      <c r="AS137" s="39">
        <f>IF(OR($A137="",$V137&lt;=0),"",TSOFR3M+$AP137+$AQ137*365/$V137+$AL137*$AN137*(1-Cov))</f>
        <v/>
      </c>
      <c r="AT137" s="39">
        <f>IF(OR($A137="",$V137&lt;=0),"",IF($W137="Y",$AS137,$AR137))</f>
        <v/>
      </c>
      <c r="AU137" s="37">
        <f>IF(OR($A137="",$V137&lt;=0),"",IF($AS137&lt;$AR137,"부보 유리","무보험 유리"))</f>
        <v/>
      </c>
      <c r="AV137" s="40">
        <f>IF($A137="","",$Y137*($V137+Grace)/30)</f>
        <v/>
      </c>
      <c r="AW137" s="40">
        <f>IF($A137="","",CHOOSE(MATCH($AK137,{"S","A","B","C"},0),$AV137,Cap_A,Cap_B,Cap_C_OA))</f>
        <v/>
      </c>
      <c r="AX137" s="40">
        <f>IF($A137="","",IF($W137="Y",$X137,0))</f>
        <v/>
      </c>
      <c r="AY137" s="40">
        <f>IF($A137="","",Equity_USD*CHOOSE(MATCH($AK137,{"S","A","B","C"},0),s_S,s_A,s_B,s_C))</f>
        <v/>
      </c>
      <c r="AZ137" s="37">
        <f>IF($A137="","",'13_EarlyWarning'!$AH140)</f>
        <v/>
      </c>
      <c r="BA137" s="37">
        <f>IF($A137="","",IF(OR($U137="LC_SIGHT",$U137="LC_USANCE",$U137="TT_ADV"),"대상 아님","대상"))</f>
        <v/>
      </c>
      <c r="BB137" s="40">
        <f>IF($A137="","",IF(OR($BA137="대상 아님",$AZ137&lt;&gt;"",$AH137=1),0,MIN($AV137,$AW137,$AX137+$AY137)))</f>
        <v/>
      </c>
      <c r="BC137" s="40">
        <f>IF($A137="","",IF($AG137=1,MIN(StratMin*$AB137,$BB137),0))</f>
        <v/>
      </c>
      <c r="BD137" s="41">
        <f>IF($A137="","",IF(OR($V137&lt;=0,$BB137&lt;=0),0,Util*(GM*365/$V137-$AT137)))</f>
        <v/>
      </c>
      <c r="BE137" s="42">
        <f>IF($A137="","",Util*$AL137*$AN137*(1-$AO137))</f>
        <v/>
      </c>
      <c r="BF137" s="37">
        <f>IF($A137="","",IF($AC137="","0-2",IF($AC137&lt;=2,"0-2",IF($AC137=3,"3",IF($AC137&lt;=5,"4-5","6-7")))))</f>
        <v/>
      </c>
      <c r="BG137" s="40">
        <f>IF($A137="","",$Z137*$AM137*$AN137*(1-$AO137))</f>
        <v/>
      </c>
      <c r="BH137" s="40">
        <f>IF($A137="","",$Z137*(TSOFR3M+$AP137)*$V137/DayBasis)</f>
        <v/>
      </c>
      <c r="BI137" s="43">
        <f>IF($A137="","",$C137+$Z137*1E-13)</f>
        <v/>
      </c>
    </row>
    <row r="138">
      <c r="B138" s="32" t="n"/>
      <c r="C138" s="33" t="n"/>
      <c r="E138" s="33" t="n"/>
      <c r="H138" s="34" t="n"/>
      <c r="X138" s="35" t="n"/>
      <c r="Y138" s="35" t="n"/>
      <c r="Z138" s="35" t="n"/>
      <c r="AA138" s="35" t="n"/>
      <c r="AB138" s="35" t="n"/>
      <c r="AD138" s="36" t="n"/>
      <c r="AE138" s="36" t="n"/>
      <c r="AF138" s="36" t="n"/>
      <c r="AK138" s="37">
        <f>IF($A138="","",IF(GradeRule="quantile",$I138,$F138))</f>
        <v/>
      </c>
      <c r="AL138" s="38">
        <f>IF($A138="","",CHOOSE(MATCH($AK138,{"S","A","B","C"},0),PD_S,PD_A,PD_B,PD_C))</f>
        <v/>
      </c>
      <c r="AM138" s="38">
        <f>IF($A138="","",IF($AH138=1,1,$AL138))</f>
        <v/>
      </c>
      <c r="AN138" s="38">
        <f>IF($A138="","",IF(OR($U138="LC_SIGHT",$U138="LC_USANCE"),LGD_LC,LGD))</f>
        <v/>
      </c>
      <c r="AO138" s="38">
        <f>IF($A138="","",IF($W138="Y",Cov,0))</f>
        <v/>
      </c>
      <c r="AP138" s="38">
        <f>IF($A138="","",CHOOSE(MATCH($AK138,{"S","A","B","C"},0),Spread_S,Spread_A,Spread_B,Spread_C))</f>
        <v/>
      </c>
      <c r="AQ138" s="38">
        <f>IF($A138="","",CHOOSE(MATCH($AK138,{"S","A","B","C"},0),Prem_S,Prem_A,Prem_B,Prem_C))</f>
        <v/>
      </c>
      <c r="AR138" s="39">
        <f>IF(OR($A138="",$V138&lt;=0),"",TSOFR3M+$AP138+$AL138*$AN138)</f>
        <v/>
      </c>
      <c r="AS138" s="39">
        <f>IF(OR($A138="",$V138&lt;=0),"",TSOFR3M+$AP138+$AQ138*365/$V138+$AL138*$AN138*(1-Cov))</f>
        <v/>
      </c>
      <c r="AT138" s="39">
        <f>IF(OR($A138="",$V138&lt;=0),"",IF($W138="Y",$AS138,$AR138))</f>
        <v/>
      </c>
      <c r="AU138" s="37">
        <f>IF(OR($A138="",$V138&lt;=0),"",IF($AS138&lt;$AR138,"부보 유리","무보험 유리"))</f>
        <v/>
      </c>
      <c r="AV138" s="40">
        <f>IF($A138="","",$Y138*($V138+Grace)/30)</f>
        <v/>
      </c>
      <c r="AW138" s="40">
        <f>IF($A138="","",CHOOSE(MATCH($AK138,{"S","A","B","C"},0),$AV138,Cap_A,Cap_B,Cap_C_OA))</f>
        <v/>
      </c>
      <c r="AX138" s="40">
        <f>IF($A138="","",IF($W138="Y",$X138,0))</f>
        <v/>
      </c>
      <c r="AY138" s="40">
        <f>IF($A138="","",Equity_USD*CHOOSE(MATCH($AK138,{"S","A","B","C"},0),s_S,s_A,s_B,s_C))</f>
        <v/>
      </c>
      <c r="AZ138" s="37">
        <f>IF($A138="","",'13_EarlyWarning'!$AH141)</f>
        <v/>
      </c>
      <c r="BA138" s="37">
        <f>IF($A138="","",IF(OR($U138="LC_SIGHT",$U138="LC_USANCE",$U138="TT_ADV"),"대상 아님","대상"))</f>
        <v/>
      </c>
      <c r="BB138" s="40">
        <f>IF($A138="","",IF(OR($BA138="대상 아님",$AZ138&lt;&gt;"",$AH138=1),0,MIN($AV138,$AW138,$AX138+$AY138)))</f>
        <v/>
      </c>
      <c r="BC138" s="40">
        <f>IF($A138="","",IF($AG138=1,MIN(StratMin*$AB138,$BB138),0))</f>
        <v/>
      </c>
      <c r="BD138" s="41">
        <f>IF($A138="","",IF(OR($V138&lt;=0,$BB138&lt;=0),0,Util*(GM*365/$V138-$AT138)))</f>
        <v/>
      </c>
      <c r="BE138" s="42">
        <f>IF($A138="","",Util*$AL138*$AN138*(1-$AO138))</f>
        <v/>
      </c>
      <c r="BF138" s="37">
        <f>IF($A138="","",IF($AC138="","0-2",IF($AC138&lt;=2,"0-2",IF($AC138=3,"3",IF($AC138&lt;=5,"4-5","6-7")))))</f>
        <v/>
      </c>
      <c r="BG138" s="40">
        <f>IF($A138="","",$Z138*$AM138*$AN138*(1-$AO138))</f>
        <v/>
      </c>
      <c r="BH138" s="40">
        <f>IF($A138="","",$Z138*(TSOFR3M+$AP138)*$V138/DayBasis)</f>
        <v/>
      </c>
      <c r="BI138" s="43">
        <f>IF($A138="","",$C138+$Z138*1E-13)</f>
        <v/>
      </c>
    </row>
    <row r="139">
      <c r="B139" s="32" t="n"/>
      <c r="C139" s="33" t="n"/>
      <c r="E139" s="33" t="n"/>
      <c r="H139" s="34" t="n"/>
      <c r="X139" s="35" t="n"/>
      <c r="Y139" s="35" t="n"/>
      <c r="Z139" s="35" t="n"/>
      <c r="AA139" s="35" t="n"/>
      <c r="AB139" s="35" t="n"/>
      <c r="AD139" s="36" t="n"/>
      <c r="AE139" s="36" t="n"/>
      <c r="AF139" s="36" t="n"/>
      <c r="AK139" s="37">
        <f>IF($A139="","",IF(GradeRule="quantile",$I139,$F139))</f>
        <v/>
      </c>
      <c r="AL139" s="38">
        <f>IF($A139="","",CHOOSE(MATCH($AK139,{"S","A","B","C"},0),PD_S,PD_A,PD_B,PD_C))</f>
        <v/>
      </c>
      <c r="AM139" s="38">
        <f>IF($A139="","",IF($AH139=1,1,$AL139))</f>
        <v/>
      </c>
      <c r="AN139" s="38">
        <f>IF($A139="","",IF(OR($U139="LC_SIGHT",$U139="LC_USANCE"),LGD_LC,LGD))</f>
        <v/>
      </c>
      <c r="AO139" s="38">
        <f>IF($A139="","",IF($W139="Y",Cov,0))</f>
        <v/>
      </c>
      <c r="AP139" s="38">
        <f>IF($A139="","",CHOOSE(MATCH($AK139,{"S","A","B","C"},0),Spread_S,Spread_A,Spread_B,Spread_C))</f>
        <v/>
      </c>
      <c r="AQ139" s="38">
        <f>IF($A139="","",CHOOSE(MATCH($AK139,{"S","A","B","C"},0),Prem_S,Prem_A,Prem_B,Prem_C))</f>
        <v/>
      </c>
      <c r="AR139" s="39">
        <f>IF(OR($A139="",$V139&lt;=0),"",TSOFR3M+$AP139+$AL139*$AN139)</f>
        <v/>
      </c>
      <c r="AS139" s="39">
        <f>IF(OR($A139="",$V139&lt;=0),"",TSOFR3M+$AP139+$AQ139*365/$V139+$AL139*$AN139*(1-Cov))</f>
        <v/>
      </c>
      <c r="AT139" s="39">
        <f>IF(OR($A139="",$V139&lt;=0),"",IF($W139="Y",$AS139,$AR139))</f>
        <v/>
      </c>
      <c r="AU139" s="37">
        <f>IF(OR($A139="",$V139&lt;=0),"",IF($AS139&lt;$AR139,"부보 유리","무보험 유리"))</f>
        <v/>
      </c>
      <c r="AV139" s="40">
        <f>IF($A139="","",$Y139*($V139+Grace)/30)</f>
        <v/>
      </c>
      <c r="AW139" s="40">
        <f>IF($A139="","",CHOOSE(MATCH($AK139,{"S","A","B","C"},0),$AV139,Cap_A,Cap_B,Cap_C_OA))</f>
        <v/>
      </c>
      <c r="AX139" s="40">
        <f>IF($A139="","",IF($W139="Y",$X139,0))</f>
        <v/>
      </c>
      <c r="AY139" s="40">
        <f>IF($A139="","",Equity_USD*CHOOSE(MATCH($AK139,{"S","A","B","C"},0),s_S,s_A,s_B,s_C))</f>
        <v/>
      </c>
      <c r="AZ139" s="37">
        <f>IF($A139="","",'13_EarlyWarning'!$AH142)</f>
        <v/>
      </c>
      <c r="BA139" s="37">
        <f>IF($A139="","",IF(OR($U139="LC_SIGHT",$U139="LC_USANCE",$U139="TT_ADV"),"대상 아님","대상"))</f>
        <v/>
      </c>
      <c r="BB139" s="40">
        <f>IF($A139="","",IF(OR($BA139="대상 아님",$AZ139&lt;&gt;"",$AH139=1),0,MIN($AV139,$AW139,$AX139+$AY139)))</f>
        <v/>
      </c>
      <c r="BC139" s="40">
        <f>IF($A139="","",IF($AG139=1,MIN(StratMin*$AB139,$BB139),0))</f>
        <v/>
      </c>
      <c r="BD139" s="41">
        <f>IF($A139="","",IF(OR($V139&lt;=0,$BB139&lt;=0),0,Util*(GM*365/$V139-$AT139)))</f>
        <v/>
      </c>
      <c r="BE139" s="42">
        <f>IF($A139="","",Util*$AL139*$AN139*(1-$AO139))</f>
        <v/>
      </c>
      <c r="BF139" s="37">
        <f>IF($A139="","",IF($AC139="","0-2",IF($AC139&lt;=2,"0-2",IF($AC139=3,"3",IF($AC139&lt;=5,"4-5","6-7")))))</f>
        <v/>
      </c>
      <c r="BG139" s="40">
        <f>IF($A139="","",$Z139*$AM139*$AN139*(1-$AO139))</f>
        <v/>
      </c>
      <c r="BH139" s="40">
        <f>IF($A139="","",$Z139*(TSOFR3M+$AP139)*$V139/DayBasis)</f>
        <v/>
      </c>
      <c r="BI139" s="43">
        <f>IF($A139="","",$C139+$Z139*1E-13)</f>
        <v/>
      </c>
    </row>
    <row r="140">
      <c r="B140" s="32" t="n"/>
      <c r="C140" s="33" t="n"/>
      <c r="E140" s="33" t="n"/>
      <c r="H140" s="34" t="n"/>
      <c r="X140" s="35" t="n"/>
      <c r="Y140" s="35" t="n"/>
      <c r="Z140" s="35" t="n"/>
      <c r="AA140" s="35" t="n"/>
      <c r="AB140" s="35" t="n"/>
      <c r="AD140" s="36" t="n"/>
      <c r="AE140" s="36" t="n"/>
      <c r="AF140" s="36" t="n"/>
      <c r="AK140" s="37">
        <f>IF($A140="","",IF(GradeRule="quantile",$I140,$F140))</f>
        <v/>
      </c>
      <c r="AL140" s="38">
        <f>IF($A140="","",CHOOSE(MATCH($AK140,{"S","A","B","C"},0),PD_S,PD_A,PD_B,PD_C))</f>
        <v/>
      </c>
      <c r="AM140" s="38">
        <f>IF($A140="","",IF($AH140=1,1,$AL140))</f>
        <v/>
      </c>
      <c r="AN140" s="38">
        <f>IF($A140="","",IF(OR($U140="LC_SIGHT",$U140="LC_USANCE"),LGD_LC,LGD))</f>
        <v/>
      </c>
      <c r="AO140" s="38">
        <f>IF($A140="","",IF($W140="Y",Cov,0))</f>
        <v/>
      </c>
      <c r="AP140" s="38">
        <f>IF($A140="","",CHOOSE(MATCH($AK140,{"S","A","B","C"},0),Spread_S,Spread_A,Spread_B,Spread_C))</f>
        <v/>
      </c>
      <c r="AQ140" s="38">
        <f>IF($A140="","",CHOOSE(MATCH($AK140,{"S","A","B","C"},0),Prem_S,Prem_A,Prem_B,Prem_C))</f>
        <v/>
      </c>
      <c r="AR140" s="39">
        <f>IF(OR($A140="",$V140&lt;=0),"",TSOFR3M+$AP140+$AL140*$AN140)</f>
        <v/>
      </c>
      <c r="AS140" s="39">
        <f>IF(OR($A140="",$V140&lt;=0),"",TSOFR3M+$AP140+$AQ140*365/$V140+$AL140*$AN140*(1-Cov))</f>
        <v/>
      </c>
      <c r="AT140" s="39">
        <f>IF(OR($A140="",$V140&lt;=0),"",IF($W140="Y",$AS140,$AR140))</f>
        <v/>
      </c>
      <c r="AU140" s="37">
        <f>IF(OR($A140="",$V140&lt;=0),"",IF($AS140&lt;$AR140,"부보 유리","무보험 유리"))</f>
        <v/>
      </c>
      <c r="AV140" s="40">
        <f>IF($A140="","",$Y140*($V140+Grace)/30)</f>
        <v/>
      </c>
      <c r="AW140" s="40">
        <f>IF($A140="","",CHOOSE(MATCH($AK140,{"S","A","B","C"},0),$AV140,Cap_A,Cap_B,Cap_C_OA))</f>
        <v/>
      </c>
      <c r="AX140" s="40">
        <f>IF($A140="","",IF($W140="Y",$X140,0))</f>
        <v/>
      </c>
      <c r="AY140" s="40">
        <f>IF($A140="","",Equity_USD*CHOOSE(MATCH($AK140,{"S","A","B","C"},0),s_S,s_A,s_B,s_C))</f>
        <v/>
      </c>
      <c r="AZ140" s="37">
        <f>IF($A140="","",'13_EarlyWarning'!$AH143)</f>
        <v/>
      </c>
      <c r="BA140" s="37">
        <f>IF($A140="","",IF(OR($U140="LC_SIGHT",$U140="LC_USANCE",$U140="TT_ADV"),"대상 아님","대상"))</f>
        <v/>
      </c>
      <c r="BB140" s="40">
        <f>IF($A140="","",IF(OR($BA140="대상 아님",$AZ140&lt;&gt;"",$AH140=1),0,MIN($AV140,$AW140,$AX140+$AY140)))</f>
        <v/>
      </c>
      <c r="BC140" s="40">
        <f>IF($A140="","",IF($AG140=1,MIN(StratMin*$AB140,$BB140),0))</f>
        <v/>
      </c>
      <c r="BD140" s="41">
        <f>IF($A140="","",IF(OR($V140&lt;=0,$BB140&lt;=0),0,Util*(GM*365/$V140-$AT140)))</f>
        <v/>
      </c>
      <c r="BE140" s="42">
        <f>IF($A140="","",Util*$AL140*$AN140*(1-$AO140))</f>
        <v/>
      </c>
      <c r="BF140" s="37">
        <f>IF($A140="","",IF($AC140="","0-2",IF($AC140&lt;=2,"0-2",IF($AC140=3,"3",IF($AC140&lt;=5,"4-5","6-7")))))</f>
        <v/>
      </c>
      <c r="BG140" s="40">
        <f>IF($A140="","",$Z140*$AM140*$AN140*(1-$AO140))</f>
        <v/>
      </c>
      <c r="BH140" s="40">
        <f>IF($A140="","",$Z140*(TSOFR3M+$AP140)*$V140/DayBasis)</f>
        <v/>
      </c>
      <c r="BI140" s="43">
        <f>IF($A140="","",$C140+$Z140*1E-13)</f>
        <v/>
      </c>
    </row>
    <row r="141">
      <c r="B141" s="32" t="n"/>
      <c r="C141" s="33" t="n"/>
      <c r="E141" s="33" t="n"/>
      <c r="H141" s="34" t="n"/>
      <c r="X141" s="35" t="n"/>
      <c r="Y141" s="35" t="n"/>
      <c r="Z141" s="35" t="n"/>
      <c r="AA141" s="35" t="n"/>
      <c r="AB141" s="35" t="n"/>
      <c r="AD141" s="36" t="n"/>
      <c r="AE141" s="36" t="n"/>
      <c r="AF141" s="36" t="n"/>
      <c r="AK141" s="37">
        <f>IF($A141="","",IF(GradeRule="quantile",$I141,$F141))</f>
        <v/>
      </c>
      <c r="AL141" s="38">
        <f>IF($A141="","",CHOOSE(MATCH($AK141,{"S","A","B","C"},0),PD_S,PD_A,PD_B,PD_C))</f>
        <v/>
      </c>
      <c r="AM141" s="38">
        <f>IF($A141="","",IF($AH141=1,1,$AL141))</f>
        <v/>
      </c>
      <c r="AN141" s="38">
        <f>IF($A141="","",IF(OR($U141="LC_SIGHT",$U141="LC_USANCE"),LGD_LC,LGD))</f>
        <v/>
      </c>
      <c r="AO141" s="38">
        <f>IF($A141="","",IF($W141="Y",Cov,0))</f>
        <v/>
      </c>
      <c r="AP141" s="38">
        <f>IF($A141="","",CHOOSE(MATCH($AK141,{"S","A","B","C"},0),Spread_S,Spread_A,Spread_B,Spread_C))</f>
        <v/>
      </c>
      <c r="AQ141" s="38">
        <f>IF($A141="","",CHOOSE(MATCH($AK141,{"S","A","B","C"},0),Prem_S,Prem_A,Prem_B,Prem_C))</f>
        <v/>
      </c>
      <c r="AR141" s="39">
        <f>IF(OR($A141="",$V141&lt;=0),"",TSOFR3M+$AP141+$AL141*$AN141)</f>
        <v/>
      </c>
      <c r="AS141" s="39">
        <f>IF(OR($A141="",$V141&lt;=0),"",TSOFR3M+$AP141+$AQ141*365/$V141+$AL141*$AN141*(1-Cov))</f>
        <v/>
      </c>
      <c r="AT141" s="39">
        <f>IF(OR($A141="",$V141&lt;=0),"",IF($W141="Y",$AS141,$AR141))</f>
        <v/>
      </c>
      <c r="AU141" s="37">
        <f>IF(OR($A141="",$V141&lt;=0),"",IF($AS141&lt;$AR141,"부보 유리","무보험 유리"))</f>
        <v/>
      </c>
      <c r="AV141" s="40">
        <f>IF($A141="","",$Y141*($V141+Grace)/30)</f>
        <v/>
      </c>
      <c r="AW141" s="40">
        <f>IF($A141="","",CHOOSE(MATCH($AK141,{"S","A","B","C"},0),$AV141,Cap_A,Cap_B,Cap_C_OA))</f>
        <v/>
      </c>
      <c r="AX141" s="40">
        <f>IF($A141="","",IF($W141="Y",$X141,0))</f>
        <v/>
      </c>
      <c r="AY141" s="40">
        <f>IF($A141="","",Equity_USD*CHOOSE(MATCH($AK141,{"S","A","B","C"},0),s_S,s_A,s_B,s_C))</f>
        <v/>
      </c>
      <c r="AZ141" s="37">
        <f>IF($A141="","",'13_EarlyWarning'!$AH144)</f>
        <v/>
      </c>
      <c r="BA141" s="37">
        <f>IF($A141="","",IF(OR($U141="LC_SIGHT",$U141="LC_USANCE",$U141="TT_ADV"),"대상 아님","대상"))</f>
        <v/>
      </c>
      <c r="BB141" s="40">
        <f>IF($A141="","",IF(OR($BA141="대상 아님",$AZ141&lt;&gt;"",$AH141=1),0,MIN($AV141,$AW141,$AX141+$AY141)))</f>
        <v/>
      </c>
      <c r="BC141" s="40">
        <f>IF($A141="","",IF($AG141=1,MIN(StratMin*$AB141,$BB141),0))</f>
        <v/>
      </c>
      <c r="BD141" s="41">
        <f>IF($A141="","",IF(OR($V141&lt;=0,$BB141&lt;=0),0,Util*(GM*365/$V141-$AT141)))</f>
        <v/>
      </c>
      <c r="BE141" s="42">
        <f>IF($A141="","",Util*$AL141*$AN141*(1-$AO141))</f>
        <v/>
      </c>
      <c r="BF141" s="37">
        <f>IF($A141="","",IF($AC141="","0-2",IF($AC141&lt;=2,"0-2",IF($AC141=3,"3",IF($AC141&lt;=5,"4-5","6-7")))))</f>
        <v/>
      </c>
      <c r="BG141" s="40">
        <f>IF($A141="","",$Z141*$AM141*$AN141*(1-$AO141))</f>
        <v/>
      </c>
      <c r="BH141" s="40">
        <f>IF($A141="","",$Z141*(TSOFR3M+$AP141)*$V141/DayBasis)</f>
        <v/>
      </c>
      <c r="BI141" s="43">
        <f>IF($A141="","",$C141+$Z141*1E-13)</f>
        <v/>
      </c>
    </row>
    <row r="142">
      <c r="B142" s="32" t="n"/>
      <c r="C142" s="33" t="n"/>
      <c r="E142" s="33" t="n"/>
      <c r="H142" s="34" t="n"/>
      <c r="X142" s="35" t="n"/>
      <c r="Y142" s="35" t="n"/>
      <c r="Z142" s="35" t="n"/>
      <c r="AA142" s="35" t="n"/>
      <c r="AB142" s="35" t="n"/>
      <c r="AD142" s="36" t="n"/>
      <c r="AE142" s="36" t="n"/>
      <c r="AF142" s="36" t="n"/>
      <c r="AK142" s="37">
        <f>IF($A142="","",IF(GradeRule="quantile",$I142,$F142))</f>
        <v/>
      </c>
      <c r="AL142" s="38">
        <f>IF($A142="","",CHOOSE(MATCH($AK142,{"S","A","B","C"},0),PD_S,PD_A,PD_B,PD_C))</f>
        <v/>
      </c>
      <c r="AM142" s="38">
        <f>IF($A142="","",IF($AH142=1,1,$AL142))</f>
        <v/>
      </c>
      <c r="AN142" s="38">
        <f>IF($A142="","",IF(OR($U142="LC_SIGHT",$U142="LC_USANCE"),LGD_LC,LGD))</f>
        <v/>
      </c>
      <c r="AO142" s="38">
        <f>IF($A142="","",IF($W142="Y",Cov,0))</f>
        <v/>
      </c>
      <c r="AP142" s="38">
        <f>IF($A142="","",CHOOSE(MATCH($AK142,{"S","A","B","C"},0),Spread_S,Spread_A,Spread_B,Spread_C))</f>
        <v/>
      </c>
      <c r="AQ142" s="38">
        <f>IF($A142="","",CHOOSE(MATCH($AK142,{"S","A","B","C"},0),Prem_S,Prem_A,Prem_B,Prem_C))</f>
        <v/>
      </c>
      <c r="AR142" s="39">
        <f>IF(OR($A142="",$V142&lt;=0),"",TSOFR3M+$AP142+$AL142*$AN142)</f>
        <v/>
      </c>
      <c r="AS142" s="39">
        <f>IF(OR($A142="",$V142&lt;=0),"",TSOFR3M+$AP142+$AQ142*365/$V142+$AL142*$AN142*(1-Cov))</f>
        <v/>
      </c>
      <c r="AT142" s="39">
        <f>IF(OR($A142="",$V142&lt;=0),"",IF($W142="Y",$AS142,$AR142))</f>
        <v/>
      </c>
      <c r="AU142" s="37">
        <f>IF(OR($A142="",$V142&lt;=0),"",IF($AS142&lt;$AR142,"부보 유리","무보험 유리"))</f>
        <v/>
      </c>
      <c r="AV142" s="40">
        <f>IF($A142="","",$Y142*($V142+Grace)/30)</f>
        <v/>
      </c>
      <c r="AW142" s="40">
        <f>IF($A142="","",CHOOSE(MATCH($AK142,{"S","A","B","C"},0),$AV142,Cap_A,Cap_B,Cap_C_OA))</f>
        <v/>
      </c>
      <c r="AX142" s="40">
        <f>IF($A142="","",IF($W142="Y",$X142,0))</f>
        <v/>
      </c>
      <c r="AY142" s="40">
        <f>IF($A142="","",Equity_USD*CHOOSE(MATCH($AK142,{"S","A","B","C"},0),s_S,s_A,s_B,s_C))</f>
        <v/>
      </c>
      <c r="AZ142" s="37">
        <f>IF($A142="","",'13_EarlyWarning'!$AH145)</f>
        <v/>
      </c>
      <c r="BA142" s="37">
        <f>IF($A142="","",IF(OR($U142="LC_SIGHT",$U142="LC_USANCE",$U142="TT_ADV"),"대상 아님","대상"))</f>
        <v/>
      </c>
      <c r="BB142" s="40">
        <f>IF($A142="","",IF(OR($BA142="대상 아님",$AZ142&lt;&gt;"",$AH142=1),0,MIN($AV142,$AW142,$AX142+$AY142)))</f>
        <v/>
      </c>
      <c r="BC142" s="40">
        <f>IF($A142="","",IF($AG142=1,MIN(StratMin*$AB142,$BB142),0))</f>
        <v/>
      </c>
      <c r="BD142" s="41">
        <f>IF($A142="","",IF(OR($V142&lt;=0,$BB142&lt;=0),0,Util*(GM*365/$V142-$AT142)))</f>
        <v/>
      </c>
      <c r="BE142" s="42">
        <f>IF($A142="","",Util*$AL142*$AN142*(1-$AO142))</f>
        <v/>
      </c>
      <c r="BF142" s="37">
        <f>IF($A142="","",IF($AC142="","0-2",IF($AC142&lt;=2,"0-2",IF($AC142=3,"3",IF($AC142&lt;=5,"4-5","6-7")))))</f>
        <v/>
      </c>
      <c r="BG142" s="40">
        <f>IF($A142="","",$Z142*$AM142*$AN142*(1-$AO142))</f>
        <v/>
      </c>
      <c r="BH142" s="40">
        <f>IF($A142="","",$Z142*(TSOFR3M+$AP142)*$V142/DayBasis)</f>
        <v/>
      </c>
      <c r="BI142" s="43">
        <f>IF($A142="","",$C142+$Z142*1E-13)</f>
        <v/>
      </c>
    </row>
    <row r="143">
      <c r="B143" s="32" t="n"/>
      <c r="C143" s="33" t="n"/>
      <c r="E143" s="33" t="n"/>
      <c r="H143" s="34" t="n"/>
      <c r="X143" s="35" t="n"/>
      <c r="Y143" s="35" t="n"/>
      <c r="Z143" s="35" t="n"/>
      <c r="AA143" s="35" t="n"/>
      <c r="AB143" s="35" t="n"/>
      <c r="AD143" s="36" t="n"/>
      <c r="AE143" s="36" t="n"/>
      <c r="AF143" s="36" t="n"/>
      <c r="AK143" s="37">
        <f>IF($A143="","",IF(GradeRule="quantile",$I143,$F143))</f>
        <v/>
      </c>
      <c r="AL143" s="38">
        <f>IF($A143="","",CHOOSE(MATCH($AK143,{"S","A","B","C"},0),PD_S,PD_A,PD_B,PD_C))</f>
        <v/>
      </c>
      <c r="AM143" s="38">
        <f>IF($A143="","",IF($AH143=1,1,$AL143))</f>
        <v/>
      </c>
      <c r="AN143" s="38">
        <f>IF($A143="","",IF(OR($U143="LC_SIGHT",$U143="LC_USANCE"),LGD_LC,LGD))</f>
        <v/>
      </c>
      <c r="AO143" s="38">
        <f>IF($A143="","",IF($W143="Y",Cov,0))</f>
        <v/>
      </c>
      <c r="AP143" s="38">
        <f>IF($A143="","",CHOOSE(MATCH($AK143,{"S","A","B","C"},0),Spread_S,Spread_A,Spread_B,Spread_C))</f>
        <v/>
      </c>
      <c r="AQ143" s="38">
        <f>IF($A143="","",CHOOSE(MATCH($AK143,{"S","A","B","C"},0),Prem_S,Prem_A,Prem_B,Prem_C))</f>
        <v/>
      </c>
      <c r="AR143" s="39">
        <f>IF(OR($A143="",$V143&lt;=0),"",TSOFR3M+$AP143+$AL143*$AN143)</f>
        <v/>
      </c>
      <c r="AS143" s="39">
        <f>IF(OR($A143="",$V143&lt;=0),"",TSOFR3M+$AP143+$AQ143*365/$V143+$AL143*$AN143*(1-Cov))</f>
        <v/>
      </c>
      <c r="AT143" s="39">
        <f>IF(OR($A143="",$V143&lt;=0),"",IF($W143="Y",$AS143,$AR143))</f>
        <v/>
      </c>
      <c r="AU143" s="37">
        <f>IF(OR($A143="",$V143&lt;=0),"",IF($AS143&lt;$AR143,"부보 유리","무보험 유리"))</f>
        <v/>
      </c>
      <c r="AV143" s="40">
        <f>IF($A143="","",$Y143*($V143+Grace)/30)</f>
        <v/>
      </c>
      <c r="AW143" s="40">
        <f>IF($A143="","",CHOOSE(MATCH($AK143,{"S","A","B","C"},0),$AV143,Cap_A,Cap_B,Cap_C_OA))</f>
        <v/>
      </c>
      <c r="AX143" s="40">
        <f>IF($A143="","",IF($W143="Y",$X143,0))</f>
        <v/>
      </c>
      <c r="AY143" s="40">
        <f>IF($A143="","",Equity_USD*CHOOSE(MATCH($AK143,{"S","A","B","C"},0),s_S,s_A,s_B,s_C))</f>
        <v/>
      </c>
      <c r="AZ143" s="37">
        <f>IF($A143="","",'13_EarlyWarning'!$AH146)</f>
        <v/>
      </c>
      <c r="BA143" s="37">
        <f>IF($A143="","",IF(OR($U143="LC_SIGHT",$U143="LC_USANCE",$U143="TT_ADV"),"대상 아님","대상"))</f>
        <v/>
      </c>
      <c r="BB143" s="40">
        <f>IF($A143="","",IF(OR($BA143="대상 아님",$AZ143&lt;&gt;"",$AH143=1),0,MIN($AV143,$AW143,$AX143+$AY143)))</f>
        <v/>
      </c>
      <c r="BC143" s="40">
        <f>IF($A143="","",IF($AG143=1,MIN(StratMin*$AB143,$BB143),0))</f>
        <v/>
      </c>
      <c r="BD143" s="41">
        <f>IF($A143="","",IF(OR($V143&lt;=0,$BB143&lt;=0),0,Util*(GM*365/$V143-$AT143)))</f>
        <v/>
      </c>
      <c r="BE143" s="42">
        <f>IF($A143="","",Util*$AL143*$AN143*(1-$AO143))</f>
        <v/>
      </c>
      <c r="BF143" s="37">
        <f>IF($A143="","",IF($AC143="","0-2",IF($AC143&lt;=2,"0-2",IF($AC143=3,"3",IF($AC143&lt;=5,"4-5","6-7")))))</f>
        <v/>
      </c>
      <c r="BG143" s="40">
        <f>IF($A143="","",$Z143*$AM143*$AN143*(1-$AO143))</f>
        <v/>
      </c>
      <c r="BH143" s="40">
        <f>IF($A143="","",$Z143*(TSOFR3M+$AP143)*$V143/DayBasis)</f>
        <v/>
      </c>
      <c r="BI143" s="43">
        <f>IF($A143="","",$C143+$Z143*1E-13)</f>
        <v/>
      </c>
    </row>
    <row r="144">
      <c r="B144" s="32" t="n"/>
      <c r="C144" s="33" t="n"/>
      <c r="E144" s="33" t="n"/>
      <c r="H144" s="34" t="n"/>
      <c r="X144" s="35" t="n"/>
      <c r="Y144" s="35" t="n"/>
      <c r="Z144" s="35" t="n"/>
      <c r="AA144" s="35" t="n"/>
      <c r="AB144" s="35" t="n"/>
      <c r="AD144" s="36" t="n"/>
      <c r="AE144" s="36" t="n"/>
      <c r="AF144" s="36" t="n"/>
      <c r="AK144" s="37">
        <f>IF($A144="","",IF(GradeRule="quantile",$I144,$F144))</f>
        <v/>
      </c>
      <c r="AL144" s="38">
        <f>IF($A144="","",CHOOSE(MATCH($AK144,{"S","A","B","C"},0),PD_S,PD_A,PD_B,PD_C))</f>
        <v/>
      </c>
      <c r="AM144" s="38">
        <f>IF($A144="","",IF($AH144=1,1,$AL144))</f>
        <v/>
      </c>
      <c r="AN144" s="38">
        <f>IF($A144="","",IF(OR($U144="LC_SIGHT",$U144="LC_USANCE"),LGD_LC,LGD))</f>
        <v/>
      </c>
      <c r="AO144" s="38">
        <f>IF($A144="","",IF($W144="Y",Cov,0))</f>
        <v/>
      </c>
      <c r="AP144" s="38">
        <f>IF($A144="","",CHOOSE(MATCH($AK144,{"S","A","B","C"},0),Spread_S,Spread_A,Spread_B,Spread_C))</f>
        <v/>
      </c>
      <c r="AQ144" s="38">
        <f>IF($A144="","",CHOOSE(MATCH($AK144,{"S","A","B","C"},0),Prem_S,Prem_A,Prem_B,Prem_C))</f>
        <v/>
      </c>
      <c r="AR144" s="39">
        <f>IF(OR($A144="",$V144&lt;=0),"",TSOFR3M+$AP144+$AL144*$AN144)</f>
        <v/>
      </c>
      <c r="AS144" s="39">
        <f>IF(OR($A144="",$V144&lt;=0),"",TSOFR3M+$AP144+$AQ144*365/$V144+$AL144*$AN144*(1-Cov))</f>
        <v/>
      </c>
      <c r="AT144" s="39">
        <f>IF(OR($A144="",$V144&lt;=0),"",IF($W144="Y",$AS144,$AR144))</f>
        <v/>
      </c>
      <c r="AU144" s="37">
        <f>IF(OR($A144="",$V144&lt;=0),"",IF($AS144&lt;$AR144,"부보 유리","무보험 유리"))</f>
        <v/>
      </c>
      <c r="AV144" s="40">
        <f>IF($A144="","",$Y144*($V144+Grace)/30)</f>
        <v/>
      </c>
      <c r="AW144" s="40">
        <f>IF($A144="","",CHOOSE(MATCH($AK144,{"S","A","B","C"},0),$AV144,Cap_A,Cap_B,Cap_C_OA))</f>
        <v/>
      </c>
      <c r="AX144" s="40">
        <f>IF($A144="","",IF($W144="Y",$X144,0))</f>
        <v/>
      </c>
      <c r="AY144" s="40">
        <f>IF($A144="","",Equity_USD*CHOOSE(MATCH($AK144,{"S","A","B","C"},0),s_S,s_A,s_B,s_C))</f>
        <v/>
      </c>
      <c r="AZ144" s="37">
        <f>IF($A144="","",'13_EarlyWarning'!$AH147)</f>
        <v/>
      </c>
      <c r="BA144" s="37">
        <f>IF($A144="","",IF(OR($U144="LC_SIGHT",$U144="LC_USANCE",$U144="TT_ADV"),"대상 아님","대상"))</f>
        <v/>
      </c>
      <c r="BB144" s="40">
        <f>IF($A144="","",IF(OR($BA144="대상 아님",$AZ144&lt;&gt;"",$AH144=1),0,MIN($AV144,$AW144,$AX144+$AY144)))</f>
        <v/>
      </c>
      <c r="BC144" s="40">
        <f>IF($A144="","",IF($AG144=1,MIN(StratMin*$AB144,$BB144),0))</f>
        <v/>
      </c>
      <c r="BD144" s="41">
        <f>IF($A144="","",IF(OR($V144&lt;=0,$BB144&lt;=0),0,Util*(GM*365/$V144-$AT144)))</f>
        <v/>
      </c>
      <c r="BE144" s="42">
        <f>IF($A144="","",Util*$AL144*$AN144*(1-$AO144))</f>
        <v/>
      </c>
      <c r="BF144" s="37">
        <f>IF($A144="","",IF($AC144="","0-2",IF($AC144&lt;=2,"0-2",IF($AC144=3,"3",IF($AC144&lt;=5,"4-5","6-7")))))</f>
        <v/>
      </c>
      <c r="BG144" s="40">
        <f>IF($A144="","",$Z144*$AM144*$AN144*(1-$AO144))</f>
        <v/>
      </c>
      <c r="BH144" s="40">
        <f>IF($A144="","",$Z144*(TSOFR3M+$AP144)*$V144/DayBasis)</f>
        <v/>
      </c>
      <c r="BI144" s="43">
        <f>IF($A144="","",$C144+$Z144*1E-13)</f>
        <v/>
      </c>
    </row>
    <row r="145">
      <c r="B145" s="32" t="n"/>
      <c r="C145" s="33" t="n"/>
      <c r="E145" s="33" t="n"/>
      <c r="H145" s="34" t="n"/>
      <c r="X145" s="35" t="n"/>
      <c r="Y145" s="35" t="n"/>
      <c r="Z145" s="35" t="n"/>
      <c r="AA145" s="35" t="n"/>
      <c r="AB145" s="35" t="n"/>
      <c r="AD145" s="36" t="n"/>
      <c r="AE145" s="36" t="n"/>
      <c r="AF145" s="36" t="n"/>
      <c r="AK145" s="37">
        <f>IF($A145="","",IF(GradeRule="quantile",$I145,$F145))</f>
        <v/>
      </c>
      <c r="AL145" s="38">
        <f>IF($A145="","",CHOOSE(MATCH($AK145,{"S","A","B","C"},0),PD_S,PD_A,PD_B,PD_C))</f>
        <v/>
      </c>
      <c r="AM145" s="38">
        <f>IF($A145="","",IF($AH145=1,1,$AL145))</f>
        <v/>
      </c>
      <c r="AN145" s="38">
        <f>IF($A145="","",IF(OR($U145="LC_SIGHT",$U145="LC_USANCE"),LGD_LC,LGD))</f>
        <v/>
      </c>
      <c r="AO145" s="38">
        <f>IF($A145="","",IF($W145="Y",Cov,0))</f>
        <v/>
      </c>
      <c r="AP145" s="38">
        <f>IF($A145="","",CHOOSE(MATCH($AK145,{"S","A","B","C"},0),Spread_S,Spread_A,Spread_B,Spread_C))</f>
        <v/>
      </c>
      <c r="AQ145" s="38">
        <f>IF($A145="","",CHOOSE(MATCH($AK145,{"S","A","B","C"},0),Prem_S,Prem_A,Prem_B,Prem_C))</f>
        <v/>
      </c>
      <c r="AR145" s="39">
        <f>IF(OR($A145="",$V145&lt;=0),"",TSOFR3M+$AP145+$AL145*$AN145)</f>
        <v/>
      </c>
      <c r="AS145" s="39">
        <f>IF(OR($A145="",$V145&lt;=0),"",TSOFR3M+$AP145+$AQ145*365/$V145+$AL145*$AN145*(1-Cov))</f>
        <v/>
      </c>
      <c r="AT145" s="39">
        <f>IF(OR($A145="",$V145&lt;=0),"",IF($W145="Y",$AS145,$AR145))</f>
        <v/>
      </c>
      <c r="AU145" s="37">
        <f>IF(OR($A145="",$V145&lt;=0),"",IF($AS145&lt;$AR145,"부보 유리","무보험 유리"))</f>
        <v/>
      </c>
      <c r="AV145" s="40">
        <f>IF($A145="","",$Y145*($V145+Grace)/30)</f>
        <v/>
      </c>
      <c r="AW145" s="40">
        <f>IF($A145="","",CHOOSE(MATCH($AK145,{"S","A","B","C"},0),$AV145,Cap_A,Cap_B,Cap_C_OA))</f>
        <v/>
      </c>
      <c r="AX145" s="40">
        <f>IF($A145="","",IF($W145="Y",$X145,0))</f>
        <v/>
      </c>
      <c r="AY145" s="40">
        <f>IF($A145="","",Equity_USD*CHOOSE(MATCH($AK145,{"S","A","B","C"},0),s_S,s_A,s_B,s_C))</f>
        <v/>
      </c>
      <c r="AZ145" s="37">
        <f>IF($A145="","",'13_EarlyWarning'!$AH148)</f>
        <v/>
      </c>
      <c r="BA145" s="37">
        <f>IF($A145="","",IF(OR($U145="LC_SIGHT",$U145="LC_USANCE",$U145="TT_ADV"),"대상 아님","대상"))</f>
        <v/>
      </c>
      <c r="BB145" s="40">
        <f>IF($A145="","",IF(OR($BA145="대상 아님",$AZ145&lt;&gt;"",$AH145=1),0,MIN($AV145,$AW145,$AX145+$AY145)))</f>
        <v/>
      </c>
      <c r="BC145" s="40">
        <f>IF($A145="","",IF($AG145=1,MIN(StratMin*$AB145,$BB145),0))</f>
        <v/>
      </c>
      <c r="BD145" s="41">
        <f>IF($A145="","",IF(OR($V145&lt;=0,$BB145&lt;=0),0,Util*(GM*365/$V145-$AT145)))</f>
        <v/>
      </c>
      <c r="BE145" s="42">
        <f>IF($A145="","",Util*$AL145*$AN145*(1-$AO145))</f>
        <v/>
      </c>
      <c r="BF145" s="37">
        <f>IF($A145="","",IF($AC145="","0-2",IF($AC145&lt;=2,"0-2",IF($AC145=3,"3",IF($AC145&lt;=5,"4-5","6-7")))))</f>
        <v/>
      </c>
      <c r="BG145" s="40">
        <f>IF($A145="","",$Z145*$AM145*$AN145*(1-$AO145))</f>
        <v/>
      </c>
      <c r="BH145" s="40">
        <f>IF($A145="","",$Z145*(TSOFR3M+$AP145)*$V145/DayBasis)</f>
        <v/>
      </c>
      <c r="BI145" s="43">
        <f>IF($A145="","",$C145+$Z145*1E-13)</f>
        <v/>
      </c>
    </row>
    <row r="146">
      <c r="B146" s="32" t="n"/>
      <c r="C146" s="33" t="n"/>
      <c r="E146" s="33" t="n"/>
      <c r="H146" s="34" t="n"/>
      <c r="X146" s="35" t="n"/>
      <c r="Y146" s="35" t="n"/>
      <c r="Z146" s="35" t="n"/>
      <c r="AA146" s="35" t="n"/>
      <c r="AB146" s="35" t="n"/>
      <c r="AD146" s="36" t="n"/>
      <c r="AE146" s="36" t="n"/>
      <c r="AF146" s="36" t="n"/>
      <c r="AK146" s="37">
        <f>IF($A146="","",IF(GradeRule="quantile",$I146,$F146))</f>
        <v/>
      </c>
      <c r="AL146" s="38">
        <f>IF($A146="","",CHOOSE(MATCH($AK146,{"S","A","B","C"},0),PD_S,PD_A,PD_B,PD_C))</f>
        <v/>
      </c>
      <c r="AM146" s="38">
        <f>IF($A146="","",IF($AH146=1,1,$AL146))</f>
        <v/>
      </c>
      <c r="AN146" s="38">
        <f>IF($A146="","",IF(OR($U146="LC_SIGHT",$U146="LC_USANCE"),LGD_LC,LGD))</f>
        <v/>
      </c>
      <c r="AO146" s="38">
        <f>IF($A146="","",IF($W146="Y",Cov,0))</f>
        <v/>
      </c>
      <c r="AP146" s="38">
        <f>IF($A146="","",CHOOSE(MATCH($AK146,{"S","A","B","C"},0),Spread_S,Spread_A,Spread_B,Spread_C))</f>
        <v/>
      </c>
      <c r="AQ146" s="38">
        <f>IF($A146="","",CHOOSE(MATCH($AK146,{"S","A","B","C"},0),Prem_S,Prem_A,Prem_B,Prem_C))</f>
        <v/>
      </c>
      <c r="AR146" s="39">
        <f>IF(OR($A146="",$V146&lt;=0),"",TSOFR3M+$AP146+$AL146*$AN146)</f>
        <v/>
      </c>
      <c r="AS146" s="39">
        <f>IF(OR($A146="",$V146&lt;=0),"",TSOFR3M+$AP146+$AQ146*365/$V146+$AL146*$AN146*(1-Cov))</f>
        <v/>
      </c>
      <c r="AT146" s="39">
        <f>IF(OR($A146="",$V146&lt;=0),"",IF($W146="Y",$AS146,$AR146))</f>
        <v/>
      </c>
      <c r="AU146" s="37">
        <f>IF(OR($A146="",$V146&lt;=0),"",IF($AS146&lt;$AR146,"부보 유리","무보험 유리"))</f>
        <v/>
      </c>
      <c r="AV146" s="40">
        <f>IF($A146="","",$Y146*($V146+Grace)/30)</f>
        <v/>
      </c>
      <c r="AW146" s="40">
        <f>IF($A146="","",CHOOSE(MATCH($AK146,{"S","A","B","C"},0),$AV146,Cap_A,Cap_B,Cap_C_OA))</f>
        <v/>
      </c>
      <c r="AX146" s="40">
        <f>IF($A146="","",IF($W146="Y",$X146,0))</f>
        <v/>
      </c>
      <c r="AY146" s="40">
        <f>IF($A146="","",Equity_USD*CHOOSE(MATCH($AK146,{"S","A","B","C"},0),s_S,s_A,s_B,s_C))</f>
        <v/>
      </c>
      <c r="AZ146" s="37">
        <f>IF($A146="","",'13_EarlyWarning'!$AH149)</f>
        <v/>
      </c>
      <c r="BA146" s="37">
        <f>IF($A146="","",IF(OR($U146="LC_SIGHT",$U146="LC_USANCE",$U146="TT_ADV"),"대상 아님","대상"))</f>
        <v/>
      </c>
      <c r="BB146" s="40">
        <f>IF($A146="","",IF(OR($BA146="대상 아님",$AZ146&lt;&gt;"",$AH146=1),0,MIN($AV146,$AW146,$AX146+$AY146)))</f>
        <v/>
      </c>
      <c r="BC146" s="40">
        <f>IF($A146="","",IF($AG146=1,MIN(StratMin*$AB146,$BB146),0))</f>
        <v/>
      </c>
      <c r="BD146" s="41">
        <f>IF($A146="","",IF(OR($V146&lt;=0,$BB146&lt;=0),0,Util*(GM*365/$V146-$AT146)))</f>
        <v/>
      </c>
      <c r="BE146" s="42">
        <f>IF($A146="","",Util*$AL146*$AN146*(1-$AO146))</f>
        <v/>
      </c>
      <c r="BF146" s="37">
        <f>IF($A146="","",IF($AC146="","0-2",IF($AC146&lt;=2,"0-2",IF($AC146=3,"3",IF($AC146&lt;=5,"4-5","6-7")))))</f>
        <v/>
      </c>
      <c r="BG146" s="40">
        <f>IF($A146="","",$Z146*$AM146*$AN146*(1-$AO146))</f>
        <v/>
      </c>
      <c r="BH146" s="40">
        <f>IF($A146="","",$Z146*(TSOFR3M+$AP146)*$V146/DayBasis)</f>
        <v/>
      </c>
      <c r="BI146" s="43">
        <f>IF($A146="","",$C146+$Z146*1E-13)</f>
        <v/>
      </c>
    </row>
    <row r="147">
      <c r="B147" s="32" t="n"/>
      <c r="C147" s="33" t="n"/>
      <c r="E147" s="33" t="n"/>
      <c r="H147" s="34" t="n"/>
      <c r="X147" s="35" t="n"/>
      <c r="Y147" s="35" t="n"/>
      <c r="Z147" s="35" t="n"/>
      <c r="AA147" s="35" t="n"/>
      <c r="AB147" s="35" t="n"/>
      <c r="AD147" s="36" t="n"/>
      <c r="AE147" s="36" t="n"/>
      <c r="AF147" s="36" t="n"/>
      <c r="AK147" s="37">
        <f>IF($A147="","",IF(GradeRule="quantile",$I147,$F147))</f>
        <v/>
      </c>
      <c r="AL147" s="38">
        <f>IF($A147="","",CHOOSE(MATCH($AK147,{"S","A","B","C"},0),PD_S,PD_A,PD_B,PD_C))</f>
        <v/>
      </c>
      <c r="AM147" s="38">
        <f>IF($A147="","",IF($AH147=1,1,$AL147))</f>
        <v/>
      </c>
      <c r="AN147" s="38">
        <f>IF($A147="","",IF(OR($U147="LC_SIGHT",$U147="LC_USANCE"),LGD_LC,LGD))</f>
        <v/>
      </c>
      <c r="AO147" s="38">
        <f>IF($A147="","",IF($W147="Y",Cov,0))</f>
        <v/>
      </c>
      <c r="AP147" s="38">
        <f>IF($A147="","",CHOOSE(MATCH($AK147,{"S","A","B","C"},0),Spread_S,Spread_A,Spread_B,Spread_C))</f>
        <v/>
      </c>
      <c r="AQ147" s="38">
        <f>IF($A147="","",CHOOSE(MATCH($AK147,{"S","A","B","C"},0),Prem_S,Prem_A,Prem_B,Prem_C))</f>
        <v/>
      </c>
      <c r="AR147" s="39">
        <f>IF(OR($A147="",$V147&lt;=0),"",TSOFR3M+$AP147+$AL147*$AN147)</f>
        <v/>
      </c>
      <c r="AS147" s="39">
        <f>IF(OR($A147="",$V147&lt;=0),"",TSOFR3M+$AP147+$AQ147*365/$V147+$AL147*$AN147*(1-Cov))</f>
        <v/>
      </c>
      <c r="AT147" s="39">
        <f>IF(OR($A147="",$V147&lt;=0),"",IF($W147="Y",$AS147,$AR147))</f>
        <v/>
      </c>
      <c r="AU147" s="37">
        <f>IF(OR($A147="",$V147&lt;=0),"",IF($AS147&lt;$AR147,"부보 유리","무보험 유리"))</f>
        <v/>
      </c>
      <c r="AV147" s="40">
        <f>IF($A147="","",$Y147*($V147+Grace)/30)</f>
        <v/>
      </c>
      <c r="AW147" s="40">
        <f>IF($A147="","",CHOOSE(MATCH($AK147,{"S","A","B","C"},0),$AV147,Cap_A,Cap_B,Cap_C_OA))</f>
        <v/>
      </c>
      <c r="AX147" s="40">
        <f>IF($A147="","",IF($W147="Y",$X147,0))</f>
        <v/>
      </c>
      <c r="AY147" s="40">
        <f>IF($A147="","",Equity_USD*CHOOSE(MATCH($AK147,{"S","A","B","C"},0),s_S,s_A,s_B,s_C))</f>
        <v/>
      </c>
      <c r="AZ147" s="37">
        <f>IF($A147="","",'13_EarlyWarning'!$AH150)</f>
        <v/>
      </c>
      <c r="BA147" s="37">
        <f>IF($A147="","",IF(OR($U147="LC_SIGHT",$U147="LC_USANCE",$U147="TT_ADV"),"대상 아님","대상"))</f>
        <v/>
      </c>
      <c r="BB147" s="40">
        <f>IF($A147="","",IF(OR($BA147="대상 아님",$AZ147&lt;&gt;"",$AH147=1),0,MIN($AV147,$AW147,$AX147+$AY147)))</f>
        <v/>
      </c>
      <c r="BC147" s="40">
        <f>IF($A147="","",IF($AG147=1,MIN(StratMin*$AB147,$BB147),0))</f>
        <v/>
      </c>
      <c r="BD147" s="41">
        <f>IF($A147="","",IF(OR($V147&lt;=0,$BB147&lt;=0),0,Util*(GM*365/$V147-$AT147)))</f>
        <v/>
      </c>
      <c r="BE147" s="42">
        <f>IF($A147="","",Util*$AL147*$AN147*(1-$AO147))</f>
        <v/>
      </c>
      <c r="BF147" s="37">
        <f>IF($A147="","",IF($AC147="","0-2",IF($AC147&lt;=2,"0-2",IF($AC147=3,"3",IF($AC147&lt;=5,"4-5","6-7")))))</f>
        <v/>
      </c>
      <c r="BG147" s="40">
        <f>IF($A147="","",$Z147*$AM147*$AN147*(1-$AO147))</f>
        <v/>
      </c>
      <c r="BH147" s="40">
        <f>IF($A147="","",$Z147*(TSOFR3M+$AP147)*$V147/DayBasis)</f>
        <v/>
      </c>
      <c r="BI147" s="43">
        <f>IF($A147="","",$C147+$Z147*1E-13)</f>
        <v/>
      </c>
    </row>
    <row r="148">
      <c r="B148" s="32" t="n"/>
      <c r="C148" s="33" t="n"/>
      <c r="E148" s="33" t="n"/>
      <c r="H148" s="34" t="n"/>
      <c r="X148" s="35" t="n"/>
      <c r="Y148" s="35" t="n"/>
      <c r="Z148" s="35" t="n"/>
      <c r="AA148" s="35" t="n"/>
      <c r="AB148" s="35" t="n"/>
      <c r="AD148" s="36" t="n"/>
      <c r="AE148" s="36" t="n"/>
      <c r="AF148" s="36" t="n"/>
      <c r="AK148" s="37">
        <f>IF($A148="","",IF(GradeRule="quantile",$I148,$F148))</f>
        <v/>
      </c>
      <c r="AL148" s="38">
        <f>IF($A148="","",CHOOSE(MATCH($AK148,{"S","A","B","C"},0),PD_S,PD_A,PD_B,PD_C))</f>
        <v/>
      </c>
      <c r="AM148" s="38">
        <f>IF($A148="","",IF($AH148=1,1,$AL148))</f>
        <v/>
      </c>
      <c r="AN148" s="38">
        <f>IF($A148="","",IF(OR($U148="LC_SIGHT",$U148="LC_USANCE"),LGD_LC,LGD))</f>
        <v/>
      </c>
      <c r="AO148" s="38">
        <f>IF($A148="","",IF($W148="Y",Cov,0))</f>
        <v/>
      </c>
      <c r="AP148" s="38">
        <f>IF($A148="","",CHOOSE(MATCH($AK148,{"S","A","B","C"},0),Spread_S,Spread_A,Spread_B,Spread_C))</f>
        <v/>
      </c>
      <c r="AQ148" s="38">
        <f>IF($A148="","",CHOOSE(MATCH($AK148,{"S","A","B","C"},0),Prem_S,Prem_A,Prem_B,Prem_C))</f>
        <v/>
      </c>
      <c r="AR148" s="39">
        <f>IF(OR($A148="",$V148&lt;=0),"",TSOFR3M+$AP148+$AL148*$AN148)</f>
        <v/>
      </c>
      <c r="AS148" s="39">
        <f>IF(OR($A148="",$V148&lt;=0),"",TSOFR3M+$AP148+$AQ148*365/$V148+$AL148*$AN148*(1-Cov))</f>
        <v/>
      </c>
      <c r="AT148" s="39">
        <f>IF(OR($A148="",$V148&lt;=0),"",IF($W148="Y",$AS148,$AR148))</f>
        <v/>
      </c>
      <c r="AU148" s="37">
        <f>IF(OR($A148="",$V148&lt;=0),"",IF($AS148&lt;$AR148,"부보 유리","무보험 유리"))</f>
        <v/>
      </c>
      <c r="AV148" s="40">
        <f>IF($A148="","",$Y148*($V148+Grace)/30)</f>
        <v/>
      </c>
      <c r="AW148" s="40">
        <f>IF($A148="","",CHOOSE(MATCH($AK148,{"S","A","B","C"},0),$AV148,Cap_A,Cap_B,Cap_C_OA))</f>
        <v/>
      </c>
      <c r="AX148" s="40">
        <f>IF($A148="","",IF($W148="Y",$X148,0))</f>
        <v/>
      </c>
      <c r="AY148" s="40">
        <f>IF($A148="","",Equity_USD*CHOOSE(MATCH($AK148,{"S","A","B","C"},0),s_S,s_A,s_B,s_C))</f>
        <v/>
      </c>
      <c r="AZ148" s="37">
        <f>IF($A148="","",'13_EarlyWarning'!$AH151)</f>
        <v/>
      </c>
      <c r="BA148" s="37">
        <f>IF($A148="","",IF(OR($U148="LC_SIGHT",$U148="LC_USANCE",$U148="TT_ADV"),"대상 아님","대상"))</f>
        <v/>
      </c>
      <c r="BB148" s="40">
        <f>IF($A148="","",IF(OR($BA148="대상 아님",$AZ148&lt;&gt;"",$AH148=1),0,MIN($AV148,$AW148,$AX148+$AY148)))</f>
        <v/>
      </c>
      <c r="BC148" s="40">
        <f>IF($A148="","",IF($AG148=1,MIN(StratMin*$AB148,$BB148),0))</f>
        <v/>
      </c>
      <c r="BD148" s="41">
        <f>IF($A148="","",IF(OR($V148&lt;=0,$BB148&lt;=0),0,Util*(GM*365/$V148-$AT148)))</f>
        <v/>
      </c>
      <c r="BE148" s="42">
        <f>IF($A148="","",Util*$AL148*$AN148*(1-$AO148))</f>
        <v/>
      </c>
      <c r="BF148" s="37">
        <f>IF($A148="","",IF($AC148="","0-2",IF($AC148&lt;=2,"0-2",IF($AC148=3,"3",IF($AC148&lt;=5,"4-5","6-7")))))</f>
        <v/>
      </c>
      <c r="BG148" s="40">
        <f>IF($A148="","",$Z148*$AM148*$AN148*(1-$AO148))</f>
        <v/>
      </c>
      <c r="BH148" s="40">
        <f>IF($A148="","",$Z148*(TSOFR3M+$AP148)*$V148/DayBasis)</f>
        <v/>
      </c>
      <c r="BI148" s="43">
        <f>IF($A148="","",$C148+$Z148*1E-13)</f>
        <v/>
      </c>
    </row>
    <row r="149">
      <c r="B149" s="32" t="n"/>
      <c r="C149" s="33" t="n"/>
      <c r="E149" s="33" t="n"/>
      <c r="H149" s="34" t="n"/>
      <c r="X149" s="35" t="n"/>
      <c r="Y149" s="35" t="n"/>
      <c r="Z149" s="35" t="n"/>
      <c r="AA149" s="35" t="n"/>
      <c r="AB149" s="35" t="n"/>
      <c r="AD149" s="36" t="n"/>
      <c r="AE149" s="36" t="n"/>
      <c r="AF149" s="36" t="n"/>
      <c r="AK149" s="37">
        <f>IF($A149="","",IF(GradeRule="quantile",$I149,$F149))</f>
        <v/>
      </c>
      <c r="AL149" s="38">
        <f>IF($A149="","",CHOOSE(MATCH($AK149,{"S","A","B","C"},0),PD_S,PD_A,PD_B,PD_C))</f>
        <v/>
      </c>
      <c r="AM149" s="38">
        <f>IF($A149="","",IF($AH149=1,1,$AL149))</f>
        <v/>
      </c>
      <c r="AN149" s="38">
        <f>IF($A149="","",IF(OR($U149="LC_SIGHT",$U149="LC_USANCE"),LGD_LC,LGD))</f>
        <v/>
      </c>
      <c r="AO149" s="38">
        <f>IF($A149="","",IF($W149="Y",Cov,0))</f>
        <v/>
      </c>
      <c r="AP149" s="38">
        <f>IF($A149="","",CHOOSE(MATCH($AK149,{"S","A","B","C"},0),Spread_S,Spread_A,Spread_B,Spread_C))</f>
        <v/>
      </c>
      <c r="AQ149" s="38">
        <f>IF($A149="","",CHOOSE(MATCH($AK149,{"S","A","B","C"},0),Prem_S,Prem_A,Prem_B,Prem_C))</f>
        <v/>
      </c>
      <c r="AR149" s="39">
        <f>IF(OR($A149="",$V149&lt;=0),"",TSOFR3M+$AP149+$AL149*$AN149)</f>
        <v/>
      </c>
      <c r="AS149" s="39">
        <f>IF(OR($A149="",$V149&lt;=0),"",TSOFR3M+$AP149+$AQ149*365/$V149+$AL149*$AN149*(1-Cov))</f>
        <v/>
      </c>
      <c r="AT149" s="39">
        <f>IF(OR($A149="",$V149&lt;=0),"",IF($W149="Y",$AS149,$AR149))</f>
        <v/>
      </c>
      <c r="AU149" s="37">
        <f>IF(OR($A149="",$V149&lt;=0),"",IF($AS149&lt;$AR149,"부보 유리","무보험 유리"))</f>
        <v/>
      </c>
      <c r="AV149" s="40">
        <f>IF($A149="","",$Y149*($V149+Grace)/30)</f>
        <v/>
      </c>
      <c r="AW149" s="40">
        <f>IF($A149="","",CHOOSE(MATCH($AK149,{"S","A","B","C"},0),$AV149,Cap_A,Cap_B,Cap_C_OA))</f>
        <v/>
      </c>
      <c r="AX149" s="40">
        <f>IF($A149="","",IF($W149="Y",$X149,0))</f>
        <v/>
      </c>
      <c r="AY149" s="40">
        <f>IF($A149="","",Equity_USD*CHOOSE(MATCH($AK149,{"S","A","B","C"},0),s_S,s_A,s_B,s_C))</f>
        <v/>
      </c>
      <c r="AZ149" s="37">
        <f>IF($A149="","",'13_EarlyWarning'!$AH152)</f>
        <v/>
      </c>
      <c r="BA149" s="37">
        <f>IF($A149="","",IF(OR($U149="LC_SIGHT",$U149="LC_USANCE",$U149="TT_ADV"),"대상 아님","대상"))</f>
        <v/>
      </c>
      <c r="BB149" s="40">
        <f>IF($A149="","",IF(OR($BA149="대상 아님",$AZ149&lt;&gt;"",$AH149=1),0,MIN($AV149,$AW149,$AX149+$AY149)))</f>
        <v/>
      </c>
      <c r="BC149" s="40">
        <f>IF($A149="","",IF($AG149=1,MIN(StratMin*$AB149,$BB149),0))</f>
        <v/>
      </c>
      <c r="BD149" s="41">
        <f>IF($A149="","",IF(OR($V149&lt;=0,$BB149&lt;=0),0,Util*(GM*365/$V149-$AT149)))</f>
        <v/>
      </c>
      <c r="BE149" s="42">
        <f>IF($A149="","",Util*$AL149*$AN149*(1-$AO149))</f>
        <v/>
      </c>
      <c r="BF149" s="37">
        <f>IF($A149="","",IF($AC149="","0-2",IF($AC149&lt;=2,"0-2",IF($AC149=3,"3",IF($AC149&lt;=5,"4-5","6-7")))))</f>
        <v/>
      </c>
      <c r="BG149" s="40">
        <f>IF($A149="","",$Z149*$AM149*$AN149*(1-$AO149))</f>
        <v/>
      </c>
      <c r="BH149" s="40">
        <f>IF($A149="","",$Z149*(TSOFR3M+$AP149)*$V149/DayBasis)</f>
        <v/>
      </c>
      <c r="BI149" s="43">
        <f>IF($A149="","",$C149+$Z149*1E-13)</f>
        <v/>
      </c>
    </row>
    <row r="150">
      <c r="B150" s="32" t="n"/>
      <c r="C150" s="33" t="n"/>
      <c r="E150" s="33" t="n"/>
      <c r="H150" s="34" t="n"/>
      <c r="X150" s="35" t="n"/>
      <c r="Y150" s="35" t="n"/>
      <c r="Z150" s="35" t="n"/>
      <c r="AA150" s="35" t="n"/>
      <c r="AB150" s="35" t="n"/>
      <c r="AD150" s="36" t="n"/>
      <c r="AE150" s="36" t="n"/>
      <c r="AF150" s="36" t="n"/>
      <c r="AK150" s="37">
        <f>IF($A150="","",IF(GradeRule="quantile",$I150,$F150))</f>
        <v/>
      </c>
      <c r="AL150" s="38">
        <f>IF($A150="","",CHOOSE(MATCH($AK150,{"S","A","B","C"},0),PD_S,PD_A,PD_B,PD_C))</f>
        <v/>
      </c>
      <c r="AM150" s="38">
        <f>IF($A150="","",IF($AH150=1,1,$AL150))</f>
        <v/>
      </c>
      <c r="AN150" s="38">
        <f>IF($A150="","",IF(OR($U150="LC_SIGHT",$U150="LC_USANCE"),LGD_LC,LGD))</f>
        <v/>
      </c>
      <c r="AO150" s="38">
        <f>IF($A150="","",IF($W150="Y",Cov,0))</f>
        <v/>
      </c>
      <c r="AP150" s="38">
        <f>IF($A150="","",CHOOSE(MATCH($AK150,{"S","A","B","C"},0),Spread_S,Spread_A,Spread_B,Spread_C))</f>
        <v/>
      </c>
      <c r="AQ150" s="38">
        <f>IF($A150="","",CHOOSE(MATCH($AK150,{"S","A","B","C"},0),Prem_S,Prem_A,Prem_B,Prem_C))</f>
        <v/>
      </c>
      <c r="AR150" s="39">
        <f>IF(OR($A150="",$V150&lt;=0),"",TSOFR3M+$AP150+$AL150*$AN150)</f>
        <v/>
      </c>
      <c r="AS150" s="39">
        <f>IF(OR($A150="",$V150&lt;=0),"",TSOFR3M+$AP150+$AQ150*365/$V150+$AL150*$AN150*(1-Cov))</f>
        <v/>
      </c>
      <c r="AT150" s="39">
        <f>IF(OR($A150="",$V150&lt;=0),"",IF($W150="Y",$AS150,$AR150))</f>
        <v/>
      </c>
      <c r="AU150" s="37">
        <f>IF(OR($A150="",$V150&lt;=0),"",IF($AS150&lt;$AR150,"부보 유리","무보험 유리"))</f>
        <v/>
      </c>
      <c r="AV150" s="40">
        <f>IF($A150="","",$Y150*($V150+Grace)/30)</f>
        <v/>
      </c>
      <c r="AW150" s="40">
        <f>IF($A150="","",CHOOSE(MATCH($AK150,{"S","A","B","C"},0),$AV150,Cap_A,Cap_B,Cap_C_OA))</f>
        <v/>
      </c>
      <c r="AX150" s="40">
        <f>IF($A150="","",IF($W150="Y",$X150,0))</f>
        <v/>
      </c>
      <c r="AY150" s="40">
        <f>IF($A150="","",Equity_USD*CHOOSE(MATCH($AK150,{"S","A","B","C"},0),s_S,s_A,s_B,s_C))</f>
        <v/>
      </c>
      <c r="AZ150" s="37">
        <f>IF($A150="","",'13_EarlyWarning'!$AH153)</f>
        <v/>
      </c>
      <c r="BA150" s="37">
        <f>IF($A150="","",IF(OR($U150="LC_SIGHT",$U150="LC_USANCE",$U150="TT_ADV"),"대상 아님","대상"))</f>
        <v/>
      </c>
      <c r="BB150" s="40">
        <f>IF($A150="","",IF(OR($BA150="대상 아님",$AZ150&lt;&gt;"",$AH150=1),0,MIN($AV150,$AW150,$AX150+$AY150)))</f>
        <v/>
      </c>
      <c r="BC150" s="40">
        <f>IF($A150="","",IF($AG150=1,MIN(StratMin*$AB150,$BB150),0))</f>
        <v/>
      </c>
      <c r="BD150" s="41">
        <f>IF($A150="","",IF(OR($V150&lt;=0,$BB150&lt;=0),0,Util*(GM*365/$V150-$AT150)))</f>
        <v/>
      </c>
      <c r="BE150" s="42">
        <f>IF($A150="","",Util*$AL150*$AN150*(1-$AO150))</f>
        <v/>
      </c>
      <c r="BF150" s="37">
        <f>IF($A150="","",IF($AC150="","0-2",IF($AC150&lt;=2,"0-2",IF($AC150=3,"3",IF($AC150&lt;=5,"4-5","6-7")))))</f>
        <v/>
      </c>
      <c r="BG150" s="40">
        <f>IF($A150="","",$Z150*$AM150*$AN150*(1-$AO150))</f>
        <v/>
      </c>
      <c r="BH150" s="40">
        <f>IF($A150="","",$Z150*(TSOFR3M+$AP150)*$V150/DayBasis)</f>
        <v/>
      </c>
      <c r="BI150" s="43">
        <f>IF($A150="","",$C150+$Z150*1E-13)</f>
        <v/>
      </c>
    </row>
    <row r="151">
      <c r="B151" s="32" t="n"/>
      <c r="C151" s="33" t="n"/>
      <c r="E151" s="33" t="n"/>
      <c r="H151" s="34" t="n"/>
      <c r="X151" s="35" t="n"/>
      <c r="Y151" s="35" t="n"/>
      <c r="Z151" s="35" t="n"/>
      <c r="AA151" s="35" t="n"/>
      <c r="AB151" s="35" t="n"/>
      <c r="AD151" s="36" t="n"/>
      <c r="AE151" s="36" t="n"/>
      <c r="AF151" s="36" t="n"/>
      <c r="AK151" s="37">
        <f>IF($A151="","",IF(GradeRule="quantile",$I151,$F151))</f>
        <v/>
      </c>
      <c r="AL151" s="38">
        <f>IF($A151="","",CHOOSE(MATCH($AK151,{"S","A","B","C"},0),PD_S,PD_A,PD_B,PD_C))</f>
        <v/>
      </c>
      <c r="AM151" s="38">
        <f>IF($A151="","",IF($AH151=1,1,$AL151))</f>
        <v/>
      </c>
      <c r="AN151" s="38">
        <f>IF($A151="","",IF(OR($U151="LC_SIGHT",$U151="LC_USANCE"),LGD_LC,LGD))</f>
        <v/>
      </c>
      <c r="AO151" s="38">
        <f>IF($A151="","",IF($W151="Y",Cov,0))</f>
        <v/>
      </c>
      <c r="AP151" s="38">
        <f>IF($A151="","",CHOOSE(MATCH($AK151,{"S","A","B","C"},0),Spread_S,Spread_A,Spread_B,Spread_C))</f>
        <v/>
      </c>
      <c r="AQ151" s="38">
        <f>IF($A151="","",CHOOSE(MATCH($AK151,{"S","A","B","C"},0),Prem_S,Prem_A,Prem_B,Prem_C))</f>
        <v/>
      </c>
      <c r="AR151" s="39">
        <f>IF(OR($A151="",$V151&lt;=0),"",TSOFR3M+$AP151+$AL151*$AN151)</f>
        <v/>
      </c>
      <c r="AS151" s="39">
        <f>IF(OR($A151="",$V151&lt;=0),"",TSOFR3M+$AP151+$AQ151*365/$V151+$AL151*$AN151*(1-Cov))</f>
        <v/>
      </c>
      <c r="AT151" s="39">
        <f>IF(OR($A151="",$V151&lt;=0),"",IF($W151="Y",$AS151,$AR151))</f>
        <v/>
      </c>
      <c r="AU151" s="37">
        <f>IF(OR($A151="",$V151&lt;=0),"",IF($AS151&lt;$AR151,"부보 유리","무보험 유리"))</f>
        <v/>
      </c>
      <c r="AV151" s="40">
        <f>IF($A151="","",$Y151*($V151+Grace)/30)</f>
        <v/>
      </c>
      <c r="AW151" s="40">
        <f>IF($A151="","",CHOOSE(MATCH($AK151,{"S","A","B","C"},0),$AV151,Cap_A,Cap_B,Cap_C_OA))</f>
        <v/>
      </c>
      <c r="AX151" s="40">
        <f>IF($A151="","",IF($W151="Y",$X151,0))</f>
        <v/>
      </c>
      <c r="AY151" s="40">
        <f>IF($A151="","",Equity_USD*CHOOSE(MATCH($AK151,{"S","A","B","C"},0),s_S,s_A,s_B,s_C))</f>
        <v/>
      </c>
      <c r="AZ151" s="37">
        <f>IF($A151="","",'13_EarlyWarning'!$AH154)</f>
        <v/>
      </c>
      <c r="BA151" s="37">
        <f>IF($A151="","",IF(OR($U151="LC_SIGHT",$U151="LC_USANCE",$U151="TT_ADV"),"대상 아님","대상"))</f>
        <v/>
      </c>
      <c r="BB151" s="40">
        <f>IF($A151="","",IF(OR($BA151="대상 아님",$AZ151&lt;&gt;"",$AH151=1),0,MIN($AV151,$AW151,$AX151+$AY151)))</f>
        <v/>
      </c>
      <c r="BC151" s="40">
        <f>IF($A151="","",IF($AG151=1,MIN(StratMin*$AB151,$BB151),0))</f>
        <v/>
      </c>
      <c r="BD151" s="41">
        <f>IF($A151="","",IF(OR($V151&lt;=0,$BB151&lt;=0),0,Util*(GM*365/$V151-$AT151)))</f>
        <v/>
      </c>
      <c r="BE151" s="42">
        <f>IF($A151="","",Util*$AL151*$AN151*(1-$AO151))</f>
        <v/>
      </c>
      <c r="BF151" s="37">
        <f>IF($A151="","",IF($AC151="","0-2",IF($AC151&lt;=2,"0-2",IF($AC151=3,"3",IF($AC151&lt;=5,"4-5","6-7")))))</f>
        <v/>
      </c>
      <c r="BG151" s="40">
        <f>IF($A151="","",$Z151*$AM151*$AN151*(1-$AO151))</f>
        <v/>
      </c>
      <c r="BH151" s="40">
        <f>IF($A151="","",$Z151*(TSOFR3M+$AP151)*$V151/DayBasis)</f>
        <v/>
      </c>
      <c r="BI151" s="43">
        <f>IF($A151="","",$C151+$Z151*1E-13)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03_RateBuild — 등급별 위험조정 할인율·NPV 검산(G03 §2.8)</t>
        </is>
      </c>
    </row>
    <row r="2">
      <c r="A2" s="10" t="inlineStr">
        <is>
          <t>r 무보험 = TSOFR3M + Spread_g + PD_g × LGD · r 부보 = TSOFR3M + Spread_g + Prem_g × 365 ÷ Tenor + PD_g × LGD × (1 − Cov) · NPV = 금액 ÷ (1 + r × Tenor ÷ 360)</t>
        </is>
      </c>
    </row>
    <row r="3">
      <c r="A3" s="10" t="inlineStr">
        <is>
          <t>손익분기: '보험료(연환산) &lt; PD × LGD × 보상비율'이면 부보가 유리 → A와 B 사이(G03)</t>
        </is>
      </c>
    </row>
    <row r="4">
      <c r="A4" s="12" t="inlineStr">
        <is>
          <t>검산 금액(USD)</t>
        </is>
      </c>
      <c r="B4" s="44">
        <f>CheckAmt</f>
        <v/>
      </c>
      <c r="C4" s="12" t="inlineStr">
        <is>
          <t>기간(일)</t>
        </is>
      </c>
      <c r="D4" s="45">
        <f>Tenor</f>
        <v/>
      </c>
    </row>
    <row r="5">
      <c r="A5" s="11" t="inlineStr">
        <is>
          <t>등급</t>
        </is>
      </c>
      <c r="B5" s="11" t="inlineStr">
        <is>
          <t>자금비용 B+s</t>
        </is>
      </c>
      <c r="C5" s="11" t="inlineStr">
        <is>
          <t>EL(연) PD×LGD</t>
        </is>
      </c>
      <c r="D5" s="11" t="inlineStr">
        <is>
          <t>r 무보험</t>
        </is>
      </c>
      <c r="E5" s="11" t="inlineStr">
        <is>
          <t>NPV 무보험</t>
        </is>
      </c>
      <c r="F5" s="11" t="inlineStr">
        <is>
          <t>보험료 연환산</t>
        </is>
      </c>
      <c r="G5" s="11" t="inlineStr">
        <is>
          <t>r 부보</t>
        </is>
      </c>
      <c r="H5" s="11" t="inlineStr">
        <is>
          <t>NPV 부보</t>
        </is>
      </c>
      <c r="I5" s="11" t="inlineStr">
        <is>
          <t>판정</t>
        </is>
      </c>
      <c r="J5" s="11" t="inlineStr">
        <is>
          <t>PD 90일</t>
        </is>
      </c>
      <c r="K5" s="11" t="inlineStr">
        <is>
          <t>G03 r 무보험</t>
        </is>
      </c>
      <c r="L5" s="11" t="inlineStr">
        <is>
          <t>G03 NPV 무보험</t>
        </is>
      </c>
      <c r="M5" s="11" t="inlineStr">
        <is>
          <t>G03 r 부보</t>
        </is>
      </c>
      <c r="N5" s="11" t="inlineStr">
        <is>
          <t>G03 NPV 부보</t>
        </is>
      </c>
      <c r="O5" s="11" t="inlineStr">
        <is>
          <t>일치?</t>
        </is>
      </c>
    </row>
    <row r="6">
      <c r="A6" s="2" t="inlineStr">
        <is>
          <t>S</t>
        </is>
      </c>
      <c r="B6" s="46">
        <f>TSOFR3M+Spread_S</f>
        <v/>
      </c>
      <c r="C6" s="46">
        <f>PD_S*LGD</f>
        <v/>
      </c>
      <c r="D6" s="46">
        <f>B6+C6</f>
        <v/>
      </c>
      <c r="E6" s="44">
        <f>$B$4/(1+D6*$D$4/DayBasis)</f>
        <v/>
      </c>
      <c r="F6" s="46">
        <f>Prem_S*365/$D$4</f>
        <v/>
      </c>
      <c r="G6" s="46">
        <f>B6+F6+C6*(1-Cov)</f>
        <v/>
      </c>
      <c r="H6" s="44">
        <f>$B$4/(1+G6*$D$4/DayBasis)</f>
        <v/>
      </c>
      <c r="I6" s="7">
        <f>IF(G6&lt;D6,"부보 유리","무보험 유리")</f>
        <v/>
      </c>
      <c r="J6" s="46">
        <f>1-(1-PD_S)^($D$4/365)</f>
        <v/>
      </c>
      <c r="K6" s="47" t="n">
        <v>0.0535</v>
      </c>
      <c r="L6" s="48" t="n">
        <v>98681</v>
      </c>
      <c r="M6" s="47" t="n">
        <v>0.06279999999999999</v>
      </c>
      <c r="N6" s="48" t="n">
        <v>98455</v>
      </c>
      <c r="O6" s="7">
        <f>IF(AND(ABS(D6-K6)&lt;=0.0001,ABS(E6-L6)&lt;=1,ABS(G6-M6)&lt;=0.0001,ABS(H6-N6)&lt;=1),"✔","✘ 확인")</f>
        <v/>
      </c>
    </row>
    <row r="7">
      <c r="A7" s="2" t="inlineStr">
        <is>
          <t>A</t>
        </is>
      </c>
      <c r="B7" s="46">
        <f>TSOFR3M+Spread_A</f>
        <v/>
      </c>
      <c r="C7" s="46">
        <f>PD_A*LGD</f>
        <v/>
      </c>
      <c r="D7" s="46">
        <f>B7+C7</f>
        <v/>
      </c>
      <c r="E7" s="44">
        <f>$B$4/(1+D7*$D$4/DayBasis)</f>
        <v/>
      </c>
      <c r="F7" s="46">
        <f>Prem_A*365/$D$4</f>
        <v/>
      </c>
      <c r="G7" s="46">
        <f>B7+F7+C7*(1-Cov)</f>
        <v/>
      </c>
      <c r="H7" s="44">
        <f>$B$4/(1+G7*$D$4/DayBasis)</f>
        <v/>
      </c>
      <c r="I7" s="7">
        <f>IF(G7&lt;D7,"부보 유리","무보험 유리")</f>
        <v/>
      </c>
      <c r="J7" s="46">
        <f>1-(1-PD_A)^($D$4/365)</f>
        <v/>
      </c>
      <c r="K7" s="47" t="n">
        <v>0.0645</v>
      </c>
      <c r="L7" s="48" t="n">
        <v>98414</v>
      </c>
      <c r="M7" s="47" t="n">
        <v>0.0722</v>
      </c>
      <c r="N7" s="48" t="n">
        <v>98228</v>
      </c>
      <c r="O7" s="7">
        <f>IF(AND(ABS(D7-K7)&lt;=0.0001,ABS(E7-L7)&lt;=1,ABS(G7-M7)&lt;=0.0001,ABS(H7-N7)&lt;=1),"✔","✘ 확인")</f>
        <v/>
      </c>
    </row>
    <row r="8">
      <c r="A8" s="2" t="inlineStr">
        <is>
          <t>B</t>
        </is>
      </c>
      <c r="B8" s="46">
        <f>TSOFR3M+Spread_B</f>
        <v/>
      </c>
      <c r="C8" s="46">
        <f>PD_B*LGD</f>
        <v/>
      </c>
      <c r="D8" s="46">
        <f>B8+C8</f>
        <v/>
      </c>
      <c r="E8" s="44">
        <f>$B$4/(1+D8*$D$4/DayBasis)</f>
        <v/>
      </c>
      <c r="F8" s="46">
        <f>Prem_B*365/$D$4</f>
        <v/>
      </c>
      <c r="G8" s="46">
        <f>B8+F8+C8*(1-Cov)</f>
        <v/>
      </c>
      <c r="H8" s="44">
        <f>$B$4/(1+G8*$D$4/DayBasis)</f>
        <v/>
      </c>
      <c r="I8" s="7">
        <f>IF(G8&lt;D8,"부보 유리","무보험 유리")</f>
        <v/>
      </c>
      <c r="J8" s="46">
        <f>1-(1-PD_B)^($D$4/365)</f>
        <v/>
      </c>
      <c r="K8" s="47" t="n">
        <v>0.08450000000000001</v>
      </c>
      <c r="L8" s="48" t="n">
        <v>97932</v>
      </c>
      <c r="M8" s="47" t="n">
        <v>0.0819</v>
      </c>
      <c r="N8" s="48" t="n">
        <v>97992</v>
      </c>
      <c r="O8" s="7">
        <f>IF(AND(ABS(D8-K8)&lt;=0.0001,ABS(E8-L8)&lt;=1,ABS(G8-M8)&lt;=0.0001,ABS(H8-N8)&lt;=1),"✔","✘ 확인")</f>
        <v/>
      </c>
    </row>
    <row r="9">
      <c r="A9" s="2" t="inlineStr">
        <is>
          <t>C</t>
        </is>
      </c>
      <c r="B9" s="46">
        <f>TSOFR3M+Spread_C</f>
        <v/>
      </c>
      <c r="C9" s="46">
        <f>PD_C*LGD</f>
        <v/>
      </c>
      <c r="D9" s="46">
        <f>B9+C9</f>
        <v/>
      </c>
      <c r="E9" s="44">
        <f>$B$4/(1+D9*$D$4/DayBasis)</f>
        <v/>
      </c>
      <c r="F9" s="46">
        <f>Prem_C*365/$D$4</f>
        <v/>
      </c>
      <c r="G9" s="46">
        <f>B9+F9+C9*(1-Cov)</f>
        <v/>
      </c>
      <c r="H9" s="44">
        <f>$B$4/(1+G9*$D$4/DayBasis)</f>
        <v/>
      </c>
      <c r="I9" s="7">
        <f>IF(G9&lt;D9,"부보 유리","무보험 유리")</f>
        <v/>
      </c>
      <c r="J9" s="46">
        <f>1-(1-PD_C)^($D$4/365)</f>
        <v/>
      </c>
      <c r="K9" s="47" t="n">
        <v>0.1255</v>
      </c>
      <c r="L9" s="48" t="n">
        <v>96959</v>
      </c>
      <c r="M9" s="47" t="n">
        <v>0.109</v>
      </c>
      <c r="N9" s="48" t="n">
        <v>97347</v>
      </c>
      <c r="O9" s="7">
        <f>IF(AND(ABS(D9-K9)&lt;=0.0001,ABS(E9-L9)&lt;=1,ABS(G9-M9)&lt;=0.0001,ABS(H9-N9)&lt;=1),"✔","✘ 확인")</f>
        <v/>
      </c>
    </row>
    <row r="11">
      <c r="A11" s="4" t="inlineStr">
        <is>
          <t>메모</t>
        </is>
      </c>
      <c r="B11" s="49" t="inlineStr">
        <is>
          <t>G03 표의 A등급 r 부보 7.22%는 반올림 차이(정확히 7.214%) — NPV 98,228달러는 일치. 일치 판정 허용폭: 금리 0.01%p · NPV 1달러</t>
        </is>
      </c>
    </row>
    <row r="13">
      <c r="A13" s="4" t="inlineStr">
        <is>
          <t>차트용 구성(%)</t>
        </is>
      </c>
    </row>
    <row r="14">
      <c r="A14" s="11" t="inlineStr">
        <is>
          <t>등급</t>
        </is>
      </c>
      <c r="B14" s="11" t="inlineStr">
        <is>
          <t>① Term SOFR 3M</t>
        </is>
      </c>
      <c r="C14" s="11" t="inlineStr">
        <is>
          <t>② 은행 가산</t>
        </is>
      </c>
      <c r="D14" s="11" t="inlineStr">
        <is>
          <t>③ 보험료(연환산)</t>
        </is>
      </c>
      <c r="E14" s="11" t="inlineStr">
        <is>
          <t>④ EL(PD×LGD×(1−Cov))</t>
        </is>
      </c>
    </row>
    <row r="15">
      <c r="A15" s="12" t="inlineStr">
        <is>
          <t>S</t>
        </is>
      </c>
      <c r="B15" s="50">
        <f>TSOFR3M</f>
        <v/>
      </c>
      <c r="C15" s="50">
        <f>Spread_S</f>
        <v/>
      </c>
      <c r="D15" s="50">
        <f>F6</f>
        <v/>
      </c>
      <c r="E15" s="50">
        <f>C6*(1-Cov)</f>
        <v/>
      </c>
    </row>
    <row r="16">
      <c r="A16" s="12" t="inlineStr">
        <is>
          <t>A</t>
        </is>
      </c>
      <c r="B16" s="50">
        <f>TSOFR3M</f>
        <v/>
      </c>
      <c r="C16" s="50">
        <f>Spread_A</f>
        <v/>
      </c>
      <c r="D16" s="50">
        <f>F7</f>
        <v/>
      </c>
      <c r="E16" s="50">
        <f>C7*(1-Cov)</f>
        <v/>
      </c>
    </row>
    <row r="17">
      <c r="A17" s="12" t="inlineStr">
        <is>
          <t>B</t>
        </is>
      </c>
      <c r="B17" s="50">
        <f>TSOFR3M</f>
        <v/>
      </c>
      <c r="C17" s="50">
        <f>Spread_B</f>
        <v/>
      </c>
      <c r="D17" s="50">
        <f>F8</f>
        <v/>
      </c>
      <c r="E17" s="50">
        <f>C8*(1-Cov)</f>
        <v/>
      </c>
    </row>
    <row r="18">
      <c r="A18" s="12" t="inlineStr">
        <is>
          <t>C</t>
        </is>
      </c>
      <c r="B18" s="50">
        <f>TSOFR3M</f>
        <v/>
      </c>
      <c r="C18" s="50">
        <f>Spread_C</f>
        <v/>
      </c>
      <c r="D18" s="50">
        <f>F9</f>
        <v/>
      </c>
      <c r="E18" s="50">
        <f>C9*(1-Cov)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04_AR_Ledger — G03 예제 원장 R1~R7(🔵 유동성 갭 입력, 금액 USD천)</t>
        </is>
      </c>
    </row>
    <row r="2">
      <c r="A2" s="10" t="inlineStr">
        <is>
          <t>기대입금 주 = 만기 주 + ROUNDUP(평균지연 ÷ 7) · 기대입금액 = 금액 × (1 − PD 90일) · 매각 단위비용 = r 부보 × (만기 주 − 매입 주) × 7 + 지연일) ÷ 360</t>
        </is>
      </c>
    </row>
    <row r="4">
      <c r="A4" s="11" t="inlineStr">
        <is>
          <t>채권ID</t>
        </is>
      </c>
      <c r="B4" s="11" t="inlineStr">
        <is>
          <t>등급</t>
        </is>
      </c>
      <c r="C4" s="11" t="inlineStr">
        <is>
          <t>금액(USD천)</t>
        </is>
      </c>
      <c r="D4" s="11" t="inlineStr">
        <is>
          <t>만기 주</t>
        </is>
      </c>
      <c r="E4" s="11" t="inlineStr">
        <is>
          <t>평균지연(일)</t>
        </is>
      </c>
      <c r="F4" s="11" t="inlineStr">
        <is>
          <t>PD 연</t>
        </is>
      </c>
      <c r="G4" s="11" t="inlineStr">
        <is>
          <t>PD 90일</t>
        </is>
      </c>
      <c r="H4" s="11" t="inlineStr">
        <is>
          <t>기대입금 주</t>
        </is>
      </c>
      <c r="I4" s="11" t="inlineStr">
        <is>
          <t>기대입금액</t>
        </is>
      </c>
      <c r="J4" s="11" t="inlineStr">
        <is>
          <t>r 부보</t>
        </is>
      </c>
      <c r="K4" s="11" t="inlineStr">
        <is>
          <t>매각 시 잔존일</t>
        </is>
      </c>
      <c r="L4" s="11" t="inlineStr">
        <is>
          <t>단위비용</t>
        </is>
      </c>
      <c r="M4" s="11" t="inlineStr">
        <is>
          <t>매각 가능(1)</t>
        </is>
      </c>
    </row>
    <row r="5">
      <c r="A5" s="12" t="inlineStr">
        <is>
          <t>R1</t>
        </is>
      </c>
      <c r="B5" s="6" t="inlineStr">
        <is>
          <t>S</t>
        </is>
      </c>
      <c r="C5" s="51" t="n">
        <v>120</v>
      </c>
      <c r="D5" s="52" t="n">
        <v>2</v>
      </c>
      <c r="E5" s="52" t="n">
        <v>0</v>
      </c>
      <c r="F5" s="50">
        <f>CHOOSE(MATCH(B5,{"S","A","B","C"},0),PD_S,PD_A,PD_B,PD_C)</f>
        <v/>
      </c>
      <c r="G5" s="46">
        <f>1-(1-F5)^(Tenor/365)</f>
        <v/>
      </c>
      <c r="H5" s="45">
        <f>D5+ROUNDUP(E5/7,0)</f>
        <v/>
      </c>
      <c r="I5" s="53">
        <f>C5*(1-G5)</f>
        <v/>
      </c>
      <c r="J5" s="46">
        <f>INDEX('03_RateBuild'!$G$6:$G$9,MATCH(B5,'03_RateBuild'!$A$6:$A$9,0))</f>
        <v/>
      </c>
      <c r="K5" s="45">
        <f>(D5-SaleWeek)*7+E5</f>
        <v/>
      </c>
      <c r="L5" s="46">
        <f>J5*K5/DayBasis</f>
        <v/>
      </c>
      <c r="M5" s="45">
        <f>IF(H5&gt;SaleWeek,1,0)</f>
        <v/>
      </c>
    </row>
    <row r="6">
      <c r="A6" s="12" t="inlineStr">
        <is>
          <t>R2</t>
        </is>
      </c>
      <c r="B6" s="6" t="inlineStr">
        <is>
          <t>A</t>
        </is>
      </c>
      <c r="C6" s="51" t="n">
        <v>100</v>
      </c>
      <c r="D6" s="52" t="n">
        <v>3</v>
      </c>
      <c r="E6" s="52" t="n">
        <v>3</v>
      </c>
      <c r="F6" s="50">
        <f>CHOOSE(MATCH(B6,{"S","A","B","C"},0),PD_S,PD_A,PD_B,PD_C)</f>
        <v/>
      </c>
      <c r="G6" s="46">
        <f>1-(1-F6)^(Tenor/365)</f>
        <v/>
      </c>
      <c r="H6" s="45">
        <f>D6+ROUNDUP(E6/7,0)</f>
        <v/>
      </c>
      <c r="I6" s="53">
        <f>C6*(1-G6)</f>
        <v/>
      </c>
      <c r="J6" s="46">
        <f>INDEX('03_RateBuild'!$G$6:$G$9,MATCH(B6,'03_RateBuild'!$A$6:$A$9,0))</f>
        <v/>
      </c>
      <c r="K6" s="45">
        <f>(D6-SaleWeek)*7+E6</f>
        <v/>
      </c>
      <c r="L6" s="46">
        <f>J6*K6/DayBasis</f>
        <v/>
      </c>
      <c r="M6" s="45">
        <f>IF(H6&gt;SaleWeek,1,0)</f>
        <v/>
      </c>
    </row>
    <row r="7">
      <c r="A7" s="12" t="inlineStr">
        <is>
          <t>R3</t>
        </is>
      </c>
      <c r="B7" s="6" t="inlineStr">
        <is>
          <t>B</t>
        </is>
      </c>
      <c r="C7" s="51" t="n">
        <v>90</v>
      </c>
      <c r="D7" s="52" t="n">
        <v>4</v>
      </c>
      <c r="E7" s="52" t="n">
        <v>10</v>
      </c>
      <c r="F7" s="50">
        <f>CHOOSE(MATCH(B7,{"S","A","B","C"},0),PD_S,PD_A,PD_B,PD_C)</f>
        <v/>
      </c>
      <c r="G7" s="46">
        <f>1-(1-F7)^(Tenor/365)</f>
        <v/>
      </c>
      <c r="H7" s="45">
        <f>D7+ROUNDUP(E7/7,0)</f>
        <v/>
      </c>
      <c r="I7" s="53">
        <f>C7*(1-G7)</f>
        <v/>
      </c>
      <c r="J7" s="46">
        <f>INDEX('03_RateBuild'!$G$6:$G$9,MATCH(B7,'03_RateBuild'!$A$6:$A$9,0))</f>
        <v/>
      </c>
      <c r="K7" s="45">
        <f>(D7-SaleWeek)*7+E7</f>
        <v/>
      </c>
      <c r="L7" s="46">
        <f>J7*K7/DayBasis</f>
        <v/>
      </c>
      <c r="M7" s="45">
        <f>IF(H7&gt;SaleWeek,1,0)</f>
        <v/>
      </c>
    </row>
    <row r="8">
      <c r="A8" s="12" t="inlineStr">
        <is>
          <t>R4</t>
        </is>
      </c>
      <c r="B8" s="6" t="inlineStr">
        <is>
          <t>C</t>
        </is>
      </c>
      <c r="C8" s="51" t="n">
        <v>80</v>
      </c>
      <c r="D8" s="52" t="n">
        <v>5</v>
      </c>
      <c r="E8" s="52" t="n">
        <v>25</v>
      </c>
      <c r="F8" s="50">
        <f>CHOOSE(MATCH(B8,{"S","A","B","C"},0),PD_S,PD_A,PD_B,PD_C)</f>
        <v/>
      </c>
      <c r="G8" s="46">
        <f>1-(1-F8)^(Tenor/365)</f>
        <v/>
      </c>
      <c r="H8" s="45">
        <f>D8+ROUNDUP(E8/7,0)</f>
        <v/>
      </c>
      <c r="I8" s="53">
        <f>C8*(1-G8)</f>
        <v/>
      </c>
      <c r="J8" s="46">
        <f>INDEX('03_RateBuild'!$G$6:$G$9,MATCH(B8,'03_RateBuild'!$A$6:$A$9,0))</f>
        <v/>
      </c>
      <c r="K8" s="45">
        <f>(D8-SaleWeek)*7+E8</f>
        <v/>
      </c>
      <c r="L8" s="46">
        <f>J8*K8/DayBasis</f>
        <v/>
      </c>
      <c r="M8" s="45">
        <f>IF(H8&gt;SaleWeek,1,0)</f>
        <v/>
      </c>
    </row>
    <row r="9">
      <c r="A9" s="12" t="inlineStr">
        <is>
          <t>R5</t>
        </is>
      </c>
      <c r="B9" s="6" t="inlineStr">
        <is>
          <t>A</t>
        </is>
      </c>
      <c r="C9" s="51" t="n">
        <v>110</v>
      </c>
      <c r="D9" s="52" t="n">
        <v>6</v>
      </c>
      <c r="E9" s="52" t="n">
        <v>3</v>
      </c>
      <c r="F9" s="50">
        <f>CHOOSE(MATCH(B9,{"S","A","B","C"},0),PD_S,PD_A,PD_B,PD_C)</f>
        <v/>
      </c>
      <c r="G9" s="46">
        <f>1-(1-F9)^(Tenor/365)</f>
        <v/>
      </c>
      <c r="H9" s="45">
        <f>D9+ROUNDUP(E9/7,0)</f>
        <v/>
      </c>
      <c r="I9" s="53">
        <f>C9*(1-G9)</f>
        <v/>
      </c>
      <c r="J9" s="46">
        <f>INDEX('03_RateBuild'!$G$6:$G$9,MATCH(B9,'03_RateBuild'!$A$6:$A$9,0))</f>
        <v/>
      </c>
      <c r="K9" s="45">
        <f>(D9-SaleWeek)*7+E9</f>
        <v/>
      </c>
      <c r="L9" s="46">
        <f>J9*K9/DayBasis</f>
        <v/>
      </c>
      <c r="M9" s="45">
        <f>IF(H9&gt;SaleWeek,1,0)</f>
        <v/>
      </c>
    </row>
    <row r="10">
      <c r="A10" s="12" t="inlineStr">
        <is>
          <t>R6</t>
        </is>
      </c>
      <c r="B10" s="6" t="inlineStr">
        <is>
          <t>S</t>
        </is>
      </c>
      <c r="C10" s="51" t="n">
        <v>130</v>
      </c>
      <c r="D10" s="52" t="n">
        <v>7</v>
      </c>
      <c r="E10" s="52" t="n">
        <v>0</v>
      </c>
      <c r="F10" s="50">
        <f>CHOOSE(MATCH(B10,{"S","A","B","C"},0),PD_S,PD_A,PD_B,PD_C)</f>
        <v/>
      </c>
      <c r="G10" s="46">
        <f>1-(1-F10)^(Tenor/365)</f>
        <v/>
      </c>
      <c r="H10" s="45">
        <f>D10+ROUNDUP(E10/7,0)</f>
        <v/>
      </c>
      <c r="I10" s="53">
        <f>C10*(1-G10)</f>
        <v/>
      </c>
      <c r="J10" s="46">
        <f>INDEX('03_RateBuild'!$G$6:$G$9,MATCH(B10,'03_RateBuild'!$A$6:$A$9,0))</f>
        <v/>
      </c>
      <c r="K10" s="45">
        <f>(D10-SaleWeek)*7+E10</f>
        <v/>
      </c>
      <c r="L10" s="46">
        <f>J10*K10/DayBasis</f>
        <v/>
      </c>
      <c r="M10" s="45">
        <f>IF(H10&gt;SaleWeek,1,0)</f>
        <v/>
      </c>
    </row>
    <row r="11">
      <c r="A11" s="12" t="inlineStr">
        <is>
          <t>R7</t>
        </is>
      </c>
      <c r="B11" s="6" t="inlineStr">
        <is>
          <t>B</t>
        </is>
      </c>
      <c r="C11" s="51" t="n">
        <v>70</v>
      </c>
      <c r="D11" s="52" t="n">
        <v>8</v>
      </c>
      <c r="E11" s="52" t="n">
        <v>10</v>
      </c>
      <c r="F11" s="50">
        <f>CHOOSE(MATCH(B11,{"S","A","B","C"},0),PD_S,PD_A,PD_B,PD_C)</f>
        <v/>
      </c>
      <c r="G11" s="46">
        <f>1-(1-F11)^(Tenor/365)</f>
        <v/>
      </c>
      <c r="H11" s="45">
        <f>D11+ROUNDUP(E11/7,0)</f>
        <v/>
      </c>
      <c r="I11" s="53">
        <f>C11*(1-G11)</f>
        <v/>
      </c>
      <c r="J11" s="46">
        <f>INDEX('03_RateBuild'!$G$6:$G$9,MATCH(B11,'03_RateBuild'!$A$6:$A$9,0))</f>
        <v/>
      </c>
      <c r="K11" s="45">
        <f>(D11-SaleWeek)*7+E11</f>
        <v/>
      </c>
      <c r="L11" s="46">
        <f>J11*K11/DayBasis</f>
        <v/>
      </c>
      <c r="M11" s="45">
        <f>IF(H11&gt;SaleWeek,1,0)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05_NPV — 은행 견적 대조(하나은행 고시) + 바이어별 채권 NPV</t>
        </is>
      </c>
    </row>
    <row r="2">
      <c r="A2" s="10" t="inlineStr">
        <is>
          <t>환가료 = 금액 × 환가료율 × 일수 ÷ 360(USD) · 실효 = (환가료 + 수수료) ÷ 금액 × 360 ÷ 일수 [G03 §2.8 Step 3]</t>
        </is>
      </c>
    </row>
    <row r="4">
      <c r="A4" s="12" t="inlineStr">
        <is>
          <t>매입 금액(USD)</t>
        </is>
      </c>
      <c r="B4" s="44">
        <f>CheckAmt</f>
        <v/>
      </c>
    </row>
    <row r="5">
      <c r="A5" s="12" t="inlineStr">
        <is>
          <t>일수</t>
        </is>
      </c>
      <c r="B5" s="52" t="n">
        <v>92</v>
      </c>
    </row>
    <row r="6">
      <c r="A6" s="12" t="inlineStr">
        <is>
          <t>환가료율(하나 92일)</t>
        </is>
      </c>
      <c r="B6" s="54">
        <f>Hana92</f>
        <v/>
      </c>
    </row>
    <row r="7">
      <c r="A7" s="12" t="inlineStr">
        <is>
          <t>환가료(USD)</t>
        </is>
      </c>
      <c r="B7" s="55">
        <f>B4*B6*B5/DayBasis</f>
        <v/>
      </c>
      <c r="C7" s="56" t="n">
        <v>1669.54</v>
      </c>
      <c r="D7" s="7">
        <f>IF(ABS(B7-C7)&lt;0.01,"✔ G03 일치","✘")</f>
        <v/>
      </c>
    </row>
    <row r="8">
      <c r="A8" s="12" t="inlineStr">
        <is>
          <t>매입수수료(USD) = ₩20,000 ÷ 원/달러</t>
        </is>
      </c>
      <c r="B8" s="55">
        <f>Fee_KRW/USDKRW</f>
        <v/>
      </c>
    </row>
    <row r="9">
      <c r="A9" s="12" t="inlineStr">
        <is>
          <t>합계(USD)</t>
        </is>
      </c>
      <c r="B9" s="55">
        <f>B7+B8</f>
        <v/>
      </c>
    </row>
    <row r="10">
      <c r="A10" s="12" t="inlineStr">
        <is>
          <t>연환산 실효비용</t>
        </is>
      </c>
      <c r="B10" s="50">
        <f>B9/B4*DayBasis/B5</f>
        <v/>
      </c>
      <c r="C10" s="47" t="n">
        <v>0.0659</v>
      </c>
      <c r="D10" s="7">
        <f>IF(ABS(B10-C10)&lt;0.00005,"✔ G03 일치","✘")</f>
        <v/>
      </c>
    </row>
    <row r="11">
      <c r="A11" s="12" t="inlineStr">
        <is>
          <t>31일이면 환가료(USD)</t>
        </is>
      </c>
      <c r="B11" s="55">
        <f>B4*Hana31*31/DayBasis</f>
        <v/>
      </c>
      <c r="C11" s="56" t="n">
        <v>495.01</v>
      </c>
      <c r="D11" s="7">
        <f>IF(ABS(B11-C11)&lt;0.01,"✔ G03 일치","✘")</f>
        <v/>
      </c>
    </row>
    <row r="12">
      <c r="A12" s="4" t="inlineStr">
        <is>
          <t>읽는 법</t>
        </is>
      </c>
      <c r="B12" s="49" t="inlineStr">
        <is>
          <t>실효 6.59%는 A~B등급 '자금비용 + EL' 구간(6.45~8.45%) 안 → 은행 고시 환가료 = 우대 전 상한</t>
        </is>
      </c>
    </row>
    <row r="14">
      <c r="A14" s="11" t="inlineStr">
        <is>
          <t>buyer_id</t>
        </is>
      </c>
      <c r="B14" s="11" t="inlineStr">
        <is>
          <t>등급</t>
        </is>
      </c>
      <c r="C14" s="11" t="inlineStr">
        <is>
          <t>미결 잔액(USD)</t>
        </is>
      </c>
      <c r="D14" s="11" t="inlineStr">
        <is>
          <t>결제기간(일)</t>
        </is>
      </c>
      <c r="E14" s="11" t="inlineStr">
        <is>
          <t>r 무보험</t>
        </is>
      </c>
      <c r="F14" s="11" t="inlineStr">
        <is>
          <t>r 부보</t>
        </is>
      </c>
      <c r="G14" s="11" t="inlineStr">
        <is>
          <t>NPV 무보험</t>
        </is>
      </c>
      <c r="H14" s="11" t="inlineStr">
        <is>
          <t>NPV 부보</t>
        </is>
      </c>
      <c r="I14" s="11" t="inlineStr">
        <is>
          <t>부보 판정</t>
        </is>
      </c>
      <c r="J14" s="11" t="inlineStr">
        <is>
          <t>현재 부보</t>
        </is>
      </c>
      <c r="K14" s="11" t="inlineStr">
        <is>
          <t>판정과 다름</t>
        </is>
      </c>
    </row>
    <row r="15">
      <c r="A15" s="7">
        <f>IF('02_Buyers'!$A2="","",'02_Buyers'!$A2)</f>
        <v/>
      </c>
      <c r="B15" s="7">
        <f>IF($A15="","",'02_Buyers'!$AK2)</f>
        <v/>
      </c>
      <c r="C15" s="44">
        <f>IF($A15="","",'02_Buyers'!$Z2)</f>
        <v/>
      </c>
      <c r="D15" s="45">
        <f>IF($A15="","",'02_Buyers'!$V2)</f>
        <v/>
      </c>
      <c r="E15" s="46">
        <f>IF($A15="","",'02_Buyers'!$AR2)</f>
        <v/>
      </c>
      <c r="F15" s="46">
        <f>IF($A15="","",'02_Buyers'!$AS2)</f>
        <v/>
      </c>
      <c r="G15" s="44">
        <f>IF(OR($A15="",$E15=""),"",$C15/(1+$E15*$D15/DayBasis))</f>
        <v/>
      </c>
      <c r="H15" s="44">
        <f>IF(OR($A15="",$F15=""),"",$C15/(1+$F15*$D15/DayBasis))</f>
        <v/>
      </c>
      <c r="I15" s="7">
        <f>IF($A15="","",'02_Buyers'!$AU2)</f>
        <v/>
      </c>
      <c r="J15" s="7">
        <f>IF($A15="","",'02_Buyers'!$W2)</f>
        <v/>
      </c>
      <c r="K15" s="7">
        <f>IF(OR($A15="",$I15=""),"",IF(OR(AND($I15="부보 유리",$J15="N"),AND($I15="무보험 유리",$J15="Y")),"검토",""))</f>
        <v/>
      </c>
    </row>
    <row r="16">
      <c r="A16" s="7">
        <f>IF('02_Buyers'!$A3="","",'02_Buyers'!$A3)</f>
        <v/>
      </c>
      <c r="B16" s="7">
        <f>IF($A16="","",'02_Buyers'!$AK3)</f>
        <v/>
      </c>
      <c r="C16" s="44">
        <f>IF($A16="","",'02_Buyers'!$Z3)</f>
        <v/>
      </c>
      <c r="D16" s="45">
        <f>IF($A16="","",'02_Buyers'!$V3)</f>
        <v/>
      </c>
      <c r="E16" s="46">
        <f>IF($A16="","",'02_Buyers'!$AR3)</f>
        <v/>
      </c>
      <c r="F16" s="46">
        <f>IF($A16="","",'02_Buyers'!$AS3)</f>
        <v/>
      </c>
      <c r="G16" s="44">
        <f>IF(OR($A16="",$E16=""),"",$C16/(1+$E16*$D16/DayBasis))</f>
        <v/>
      </c>
      <c r="H16" s="44">
        <f>IF(OR($A16="",$F16=""),"",$C16/(1+$F16*$D16/DayBasis))</f>
        <v/>
      </c>
      <c r="I16" s="7">
        <f>IF($A16="","",'02_Buyers'!$AU3)</f>
        <v/>
      </c>
      <c r="J16" s="7">
        <f>IF($A16="","",'02_Buyers'!$W3)</f>
        <v/>
      </c>
      <c r="K16" s="7">
        <f>IF(OR($A16="",$I16=""),"",IF(OR(AND($I16="부보 유리",$J16="N"),AND($I16="무보험 유리",$J16="Y")),"검토",""))</f>
        <v/>
      </c>
    </row>
    <row r="17">
      <c r="A17" s="7">
        <f>IF('02_Buyers'!$A4="","",'02_Buyers'!$A4)</f>
        <v/>
      </c>
      <c r="B17" s="7">
        <f>IF($A17="","",'02_Buyers'!$AK4)</f>
        <v/>
      </c>
      <c r="C17" s="44">
        <f>IF($A17="","",'02_Buyers'!$Z4)</f>
        <v/>
      </c>
      <c r="D17" s="45">
        <f>IF($A17="","",'02_Buyers'!$V4)</f>
        <v/>
      </c>
      <c r="E17" s="46">
        <f>IF($A17="","",'02_Buyers'!$AR4)</f>
        <v/>
      </c>
      <c r="F17" s="46">
        <f>IF($A17="","",'02_Buyers'!$AS4)</f>
        <v/>
      </c>
      <c r="G17" s="44">
        <f>IF(OR($A17="",$E17=""),"",$C17/(1+$E17*$D17/DayBasis))</f>
        <v/>
      </c>
      <c r="H17" s="44">
        <f>IF(OR($A17="",$F17=""),"",$C17/(1+$F17*$D17/DayBasis))</f>
        <v/>
      </c>
      <c r="I17" s="7">
        <f>IF($A17="","",'02_Buyers'!$AU4)</f>
        <v/>
      </c>
      <c r="J17" s="7">
        <f>IF($A17="","",'02_Buyers'!$W4)</f>
        <v/>
      </c>
      <c r="K17" s="7">
        <f>IF(OR($A17="",$I17=""),"",IF(OR(AND($I17="부보 유리",$J17="N"),AND($I17="무보험 유리",$J17="Y")),"검토",""))</f>
        <v/>
      </c>
    </row>
    <row r="18">
      <c r="A18" s="7">
        <f>IF('02_Buyers'!$A5="","",'02_Buyers'!$A5)</f>
        <v/>
      </c>
      <c r="B18" s="7">
        <f>IF($A18="","",'02_Buyers'!$AK5)</f>
        <v/>
      </c>
      <c r="C18" s="44">
        <f>IF($A18="","",'02_Buyers'!$Z5)</f>
        <v/>
      </c>
      <c r="D18" s="45">
        <f>IF($A18="","",'02_Buyers'!$V5)</f>
        <v/>
      </c>
      <c r="E18" s="46">
        <f>IF($A18="","",'02_Buyers'!$AR5)</f>
        <v/>
      </c>
      <c r="F18" s="46">
        <f>IF($A18="","",'02_Buyers'!$AS5)</f>
        <v/>
      </c>
      <c r="G18" s="44">
        <f>IF(OR($A18="",$E18=""),"",$C18/(1+$E18*$D18/DayBasis))</f>
        <v/>
      </c>
      <c r="H18" s="44">
        <f>IF(OR($A18="",$F18=""),"",$C18/(1+$F18*$D18/DayBasis))</f>
        <v/>
      </c>
      <c r="I18" s="7">
        <f>IF($A18="","",'02_Buyers'!$AU5)</f>
        <v/>
      </c>
      <c r="J18" s="7">
        <f>IF($A18="","",'02_Buyers'!$W5)</f>
        <v/>
      </c>
      <c r="K18" s="7">
        <f>IF(OR($A18="",$I18=""),"",IF(OR(AND($I18="부보 유리",$J18="N"),AND($I18="무보험 유리",$J18="Y")),"검토",""))</f>
        <v/>
      </c>
    </row>
    <row r="19">
      <c r="A19" s="7">
        <f>IF('02_Buyers'!$A6="","",'02_Buyers'!$A6)</f>
        <v/>
      </c>
      <c r="B19" s="7">
        <f>IF($A19="","",'02_Buyers'!$AK6)</f>
        <v/>
      </c>
      <c r="C19" s="44">
        <f>IF($A19="","",'02_Buyers'!$Z6)</f>
        <v/>
      </c>
      <c r="D19" s="45">
        <f>IF($A19="","",'02_Buyers'!$V6)</f>
        <v/>
      </c>
      <c r="E19" s="46">
        <f>IF($A19="","",'02_Buyers'!$AR6)</f>
        <v/>
      </c>
      <c r="F19" s="46">
        <f>IF($A19="","",'02_Buyers'!$AS6)</f>
        <v/>
      </c>
      <c r="G19" s="44">
        <f>IF(OR($A19="",$E19=""),"",$C19/(1+$E19*$D19/DayBasis))</f>
        <v/>
      </c>
      <c r="H19" s="44">
        <f>IF(OR($A19="",$F19=""),"",$C19/(1+$F19*$D19/DayBasis))</f>
        <v/>
      </c>
      <c r="I19" s="7">
        <f>IF($A19="","",'02_Buyers'!$AU6)</f>
        <v/>
      </c>
      <c r="J19" s="7">
        <f>IF($A19="","",'02_Buyers'!$W6)</f>
        <v/>
      </c>
      <c r="K19" s="7">
        <f>IF(OR($A19="",$I19=""),"",IF(OR(AND($I19="부보 유리",$J19="N"),AND($I19="무보험 유리",$J19="Y")),"검토",""))</f>
        <v/>
      </c>
    </row>
    <row r="20">
      <c r="A20" s="7">
        <f>IF('02_Buyers'!$A7="","",'02_Buyers'!$A7)</f>
        <v/>
      </c>
      <c r="B20" s="7">
        <f>IF($A20="","",'02_Buyers'!$AK7)</f>
        <v/>
      </c>
      <c r="C20" s="44">
        <f>IF($A20="","",'02_Buyers'!$Z7)</f>
        <v/>
      </c>
      <c r="D20" s="45">
        <f>IF($A20="","",'02_Buyers'!$V7)</f>
        <v/>
      </c>
      <c r="E20" s="46">
        <f>IF($A20="","",'02_Buyers'!$AR7)</f>
        <v/>
      </c>
      <c r="F20" s="46">
        <f>IF($A20="","",'02_Buyers'!$AS7)</f>
        <v/>
      </c>
      <c r="G20" s="44">
        <f>IF(OR($A20="",$E20=""),"",$C20/(1+$E20*$D20/DayBasis))</f>
        <v/>
      </c>
      <c r="H20" s="44">
        <f>IF(OR($A20="",$F20=""),"",$C20/(1+$F20*$D20/DayBasis))</f>
        <v/>
      </c>
      <c r="I20" s="7">
        <f>IF($A20="","",'02_Buyers'!$AU7)</f>
        <v/>
      </c>
      <c r="J20" s="7">
        <f>IF($A20="","",'02_Buyers'!$W7)</f>
        <v/>
      </c>
      <c r="K20" s="7">
        <f>IF(OR($A20="",$I20=""),"",IF(OR(AND($I20="부보 유리",$J20="N"),AND($I20="무보험 유리",$J20="Y")),"검토",""))</f>
        <v/>
      </c>
    </row>
    <row r="21">
      <c r="A21" s="7">
        <f>IF('02_Buyers'!$A8="","",'02_Buyers'!$A8)</f>
        <v/>
      </c>
      <c r="B21" s="7">
        <f>IF($A21="","",'02_Buyers'!$AK8)</f>
        <v/>
      </c>
      <c r="C21" s="44">
        <f>IF($A21="","",'02_Buyers'!$Z8)</f>
        <v/>
      </c>
      <c r="D21" s="45">
        <f>IF($A21="","",'02_Buyers'!$V8)</f>
        <v/>
      </c>
      <c r="E21" s="46">
        <f>IF($A21="","",'02_Buyers'!$AR8)</f>
        <v/>
      </c>
      <c r="F21" s="46">
        <f>IF($A21="","",'02_Buyers'!$AS8)</f>
        <v/>
      </c>
      <c r="G21" s="44">
        <f>IF(OR($A21="",$E21=""),"",$C21/(1+$E21*$D21/DayBasis))</f>
        <v/>
      </c>
      <c r="H21" s="44">
        <f>IF(OR($A21="",$F21=""),"",$C21/(1+$F21*$D21/DayBasis))</f>
        <v/>
      </c>
      <c r="I21" s="7">
        <f>IF($A21="","",'02_Buyers'!$AU8)</f>
        <v/>
      </c>
      <c r="J21" s="7">
        <f>IF($A21="","",'02_Buyers'!$W8)</f>
        <v/>
      </c>
      <c r="K21" s="7">
        <f>IF(OR($A21="",$I21=""),"",IF(OR(AND($I21="부보 유리",$J21="N"),AND($I21="무보험 유리",$J21="Y")),"검토",""))</f>
        <v/>
      </c>
    </row>
    <row r="22">
      <c r="A22" s="7">
        <f>IF('02_Buyers'!$A9="","",'02_Buyers'!$A9)</f>
        <v/>
      </c>
      <c r="B22" s="7">
        <f>IF($A22="","",'02_Buyers'!$AK9)</f>
        <v/>
      </c>
      <c r="C22" s="44">
        <f>IF($A22="","",'02_Buyers'!$Z9)</f>
        <v/>
      </c>
      <c r="D22" s="45">
        <f>IF($A22="","",'02_Buyers'!$V9)</f>
        <v/>
      </c>
      <c r="E22" s="46">
        <f>IF($A22="","",'02_Buyers'!$AR9)</f>
        <v/>
      </c>
      <c r="F22" s="46">
        <f>IF($A22="","",'02_Buyers'!$AS9)</f>
        <v/>
      </c>
      <c r="G22" s="44">
        <f>IF(OR($A22="",$E22=""),"",$C22/(1+$E22*$D22/DayBasis))</f>
        <v/>
      </c>
      <c r="H22" s="44">
        <f>IF(OR($A22="",$F22=""),"",$C22/(1+$F22*$D22/DayBasis))</f>
        <v/>
      </c>
      <c r="I22" s="7">
        <f>IF($A22="","",'02_Buyers'!$AU9)</f>
        <v/>
      </c>
      <c r="J22" s="7">
        <f>IF($A22="","",'02_Buyers'!$W9)</f>
        <v/>
      </c>
      <c r="K22" s="7">
        <f>IF(OR($A22="",$I22=""),"",IF(OR(AND($I22="부보 유리",$J22="N"),AND($I22="무보험 유리",$J22="Y")),"검토",""))</f>
        <v/>
      </c>
    </row>
    <row r="23">
      <c r="A23" s="7">
        <f>IF('02_Buyers'!$A10="","",'02_Buyers'!$A10)</f>
        <v/>
      </c>
      <c r="B23" s="7">
        <f>IF($A23="","",'02_Buyers'!$AK10)</f>
        <v/>
      </c>
      <c r="C23" s="44">
        <f>IF($A23="","",'02_Buyers'!$Z10)</f>
        <v/>
      </c>
      <c r="D23" s="45">
        <f>IF($A23="","",'02_Buyers'!$V10)</f>
        <v/>
      </c>
      <c r="E23" s="46">
        <f>IF($A23="","",'02_Buyers'!$AR10)</f>
        <v/>
      </c>
      <c r="F23" s="46">
        <f>IF($A23="","",'02_Buyers'!$AS10)</f>
        <v/>
      </c>
      <c r="G23" s="44">
        <f>IF(OR($A23="",$E23=""),"",$C23/(1+$E23*$D23/DayBasis))</f>
        <v/>
      </c>
      <c r="H23" s="44">
        <f>IF(OR($A23="",$F23=""),"",$C23/(1+$F23*$D23/DayBasis))</f>
        <v/>
      </c>
      <c r="I23" s="7">
        <f>IF($A23="","",'02_Buyers'!$AU10)</f>
        <v/>
      </c>
      <c r="J23" s="7">
        <f>IF($A23="","",'02_Buyers'!$W10)</f>
        <v/>
      </c>
      <c r="K23" s="7">
        <f>IF(OR($A23="",$I23=""),"",IF(OR(AND($I23="부보 유리",$J23="N"),AND($I23="무보험 유리",$J23="Y")),"검토",""))</f>
        <v/>
      </c>
    </row>
    <row r="24">
      <c r="A24" s="7">
        <f>IF('02_Buyers'!$A11="","",'02_Buyers'!$A11)</f>
        <v/>
      </c>
      <c r="B24" s="7">
        <f>IF($A24="","",'02_Buyers'!$AK11)</f>
        <v/>
      </c>
      <c r="C24" s="44">
        <f>IF($A24="","",'02_Buyers'!$Z11)</f>
        <v/>
      </c>
      <c r="D24" s="45">
        <f>IF($A24="","",'02_Buyers'!$V11)</f>
        <v/>
      </c>
      <c r="E24" s="46">
        <f>IF($A24="","",'02_Buyers'!$AR11)</f>
        <v/>
      </c>
      <c r="F24" s="46">
        <f>IF($A24="","",'02_Buyers'!$AS11)</f>
        <v/>
      </c>
      <c r="G24" s="44">
        <f>IF(OR($A24="",$E24=""),"",$C24/(1+$E24*$D24/DayBasis))</f>
        <v/>
      </c>
      <c r="H24" s="44">
        <f>IF(OR($A24="",$F24=""),"",$C24/(1+$F24*$D24/DayBasis))</f>
        <v/>
      </c>
      <c r="I24" s="7">
        <f>IF($A24="","",'02_Buyers'!$AU11)</f>
        <v/>
      </c>
      <c r="J24" s="7">
        <f>IF($A24="","",'02_Buyers'!$W11)</f>
        <v/>
      </c>
      <c r="K24" s="7">
        <f>IF(OR($A24="",$I24=""),"",IF(OR(AND($I24="부보 유리",$J24="N"),AND($I24="무보험 유리",$J24="Y")),"검토",""))</f>
        <v/>
      </c>
    </row>
    <row r="25">
      <c r="A25" s="7">
        <f>IF('02_Buyers'!$A12="","",'02_Buyers'!$A12)</f>
        <v/>
      </c>
      <c r="B25" s="7">
        <f>IF($A25="","",'02_Buyers'!$AK12)</f>
        <v/>
      </c>
      <c r="C25" s="44">
        <f>IF($A25="","",'02_Buyers'!$Z12)</f>
        <v/>
      </c>
      <c r="D25" s="45">
        <f>IF($A25="","",'02_Buyers'!$V12)</f>
        <v/>
      </c>
      <c r="E25" s="46">
        <f>IF($A25="","",'02_Buyers'!$AR12)</f>
        <v/>
      </c>
      <c r="F25" s="46">
        <f>IF($A25="","",'02_Buyers'!$AS12)</f>
        <v/>
      </c>
      <c r="G25" s="44">
        <f>IF(OR($A25="",$E25=""),"",$C25/(1+$E25*$D25/DayBasis))</f>
        <v/>
      </c>
      <c r="H25" s="44">
        <f>IF(OR($A25="",$F25=""),"",$C25/(1+$F25*$D25/DayBasis))</f>
        <v/>
      </c>
      <c r="I25" s="7">
        <f>IF($A25="","",'02_Buyers'!$AU12)</f>
        <v/>
      </c>
      <c r="J25" s="7">
        <f>IF($A25="","",'02_Buyers'!$W12)</f>
        <v/>
      </c>
      <c r="K25" s="7">
        <f>IF(OR($A25="",$I25=""),"",IF(OR(AND($I25="부보 유리",$J25="N"),AND($I25="무보험 유리",$J25="Y")),"검토",""))</f>
        <v/>
      </c>
    </row>
    <row r="26">
      <c r="A26" s="7">
        <f>IF('02_Buyers'!$A13="","",'02_Buyers'!$A13)</f>
        <v/>
      </c>
      <c r="B26" s="7">
        <f>IF($A26="","",'02_Buyers'!$AK13)</f>
        <v/>
      </c>
      <c r="C26" s="44">
        <f>IF($A26="","",'02_Buyers'!$Z13)</f>
        <v/>
      </c>
      <c r="D26" s="45">
        <f>IF($A26="","",'02_Buyers'!$V13)</f>
        <v/>
      </c>
      <c r="E26" s="46">
        <f>IF($A26="","",'02_Buyers'!$AR13)</f>
        <v/>
      </c>
      <c r="F26" s="46">
        <f>IF($A26="","",'02_Buyers'!$AS13)</f>
        <v/>
      </c>
      <c r="G26" s="44">
        <f>IF(OR($A26="",$E26=""),"",$C26/(1+$E26*$D26/DayBasis))</f>
        <v/>
      </c>
      <c r="H26" s="44">
        <f>IF(OR($A26="",$F26=""),"",$C26/(1+$F26*$D26/DayBasis))</f>
        <v/>
      </c>
      <c r="I26" s="7">
        <f>IF($A26="","",'02_Buyers'!$AU13)</f>
        <v/>
      </c>
      <c r="J26" s="7">
        <f>IF($A26="","",'02_Buyers'!$W13)</f>
        <v/>
      </c>
      <c r="K26" s="7">
        <f>IF(OR($A26="",$I26=""),"",IF(OR(AND($I26="부보 유리",$J26="N"),AND($I26="무보험 유리",$J26="Y")),"검토",""))</f>
        <v/>
      </c>
    </row>
    <row r="27">
      <c r="A27" s="7">
        <f>IF('02_Buyers'!$A14="","",'02_Buyers'!$A14)</f>
        <v/>
      </c>
      <c r="B27" s="7">
        <f>IF($A27="","",'02_Buyers'!$AK14)</f>
        <v/>
      </c>
      <c r="C27" s="44">
        <f>IF($A27="","",'02_Buyers'!$Z14)</f>
        <v/>
      </c>
      <c r="D27" s="45">
        <f>IF($A27="","",'02_Buyers'!$V14)</f>
        <v/>
      </c>
      <c r="E27" s="46">
        <f>IF($A27="","",'02_Buyers'!$AR14)</f>
        <v/>
      </c>
      <c r="F27" s="46">
        <f>IF($A27="","",'02_Buyers'!$AS14)</f>
        <v/>
      </c>
      <c r="G27" s="44">
        <f>IF(OR($A27="",$E27=""),"",$C27/(1+$E27*$D27/DayBasis))</f>
        <v/>
      </c>
      <c r="H27" s="44">
        <f>IF(OR($A27="",$F27=""),"",$C27/(1+$F27*$D27/DayBasis))</f>
        <v/>
      </c>
      <c r="I27" s="7">
        <f>IF($A27="","",'02_Buyers'!$AU14)</f>
        <v/>
      </c>
      <c r="J27" s="7">
        <f>IF($A27="","",'02_Buyers'!$W14)</f>
        <v/>
      </c>
      <c r="K27" s="7">
        <f>IF(OR($A27="",$I27=""),"",IF(OR(AND($I27="부보 유리",$J27="N"),AND($I27="무보험 유리",$J27="Y")),"검토",""))</f>
        <v/>
      </c>
    </row>
    <row r="28">
      <c r="A28" s="7">
        <f>IF('02_Buyers'!$A15="","",'02_Buyers'!$A15)</f>
        <v/>
      </c>
      <c r="B28" s="7">
        <f>IF($A28="","",'02_Buyers'!$AK15)</f>
        <v/>
      </c>
      <c r="C28" s="44">
        <f>IF($A28="","",'02_Buyers'!$Z15)</f>
        <v/>
      </c>
      <c r="D28" s="45">
        <f>IF($A28="","",'02_Buyers'!$V15)</f>
        <v/>
      </c>
      <c r="E28" s="46">
        <f>IF($A28="","",'02_Buyers'!$AR15)</f>
        <v/>
      </c>
      <c r="F28" s="46">
        <f>IF($A28="","",'02_Buyers'!$AS15)</f>
        <v/>
      </c>
      <c r="G28" s="44">
        <f>IF(OR($A28="",$E28=""),"",$C28/(1+$E28*$D28/DayBasis))</f>
        <v/>
      </c>
      <c r="H28" s="44">
        <f>IF(OR($A28="",$F28=""),"",$C28/(1+$F28*$D28/DayBasis))</f>
        <v/>
      </c>
      <c r="I28" s="7">
        <f>IF($A28="","",'02_Buyers'!$AU15)</f>
        <v/>
      </c>
      <c r="J28" s="7">
        <f>IF($A28="","",'02_Buyers'!$W15)</f>
        <v/>
      </c>
      <c r="K28" s="7">
        <f>IF(OR($A28="",$I28=""),"",IF(OR(AND($I28="부보 유리",$J28="N"),AND($I28="무보험 유리",$J28="Y")),"검토",""))</f>
        <v/>
      </c>
    </row>
    <row r="29">
      <c r="A29" s="7">
        <f>IF('02_Buyers'!$A16="","",'02_Buyers'!$A16)</f>
        <v/>
      </c>
      <c r="B29" s="7">
        <f>IF($A29="","",'02_Buyers'!$AK16)</f>
        <v/>
      </c>
      <c r="C29" s="44">
        <f>IF($A29="","",'02_Buyers'!$Z16)</f>
        <v/>
      </c>
      <c r="D29" s="45">
        <f>IF($A29="","",'02_Buyers'!$V16)</f>
        <v/>
      </c>
      <c r="E29" s="46">
        <f>IF($A29="","",'02_Buyers'!$AR16)</f>
        <v/>
      </c>
      <c r="F29" s="46">
        <f>IF($A29="","",'02_Buyers'!$AS16)</f>
        <v/>
      </c>
      <c r="G29" s="44">
        <f>IF(OR($A29="",$E29=""),"",$C29/(1+$E29*$D29/DayBasis))</f>
        <v/>
      </c>
      <c r="H29" s="44">
        <f>IF(OR($A29="",$F29=""),"",$C29/(1+$F29*$D29/DayBasis))</f>
        <v/>
      </c>
      <c r="I29" s="7">
        <f>IF($A29="","",'02_Buyers'!$AU16)</f>
        <v/>
      </c>
      <c r="J29" s="7">
        <f>IF($A29="","",'02_Buyers'!$W16)</f>
        <v/>
      </c>
      <c r="K29" s="7">
        <f>IF(OR($A29="",$I29=""),"",IF(OR(AND($I29="부보 유리",$J29="N"),AND($I29="무보험 유리",$J29="Y")),"검토",""))</f>
        <v/>
      </c>
    </row>
    <row r="30">
      <c r="A30" s="7">
        <f>IF('02_Buyers'!$A17="","",'02_Buyers'!$A17)</f>
        <v/>
      </c>
      <c r="B30" s="7">
        <f>IF($A30="","",'02_Buyers'!$AK17)</f>
        <v/>
      </c>
      <c r="C30" s="44">
        <f>IF($A30="","",'02_Buyers'!$Z17)</f>
        <v/>
      </c>
      <c r="D30" s="45">
        <f>IF($A30="","",'02_Buyers'!$V17)</f>
        <v/>
      </c>
      <c r="E30" s="46">
        <f>IF($A30="","",'02_Buyers'!$AR17)</f>
        <v/>
      </c>
      <c r="F30" s="46">
        <f>IF($A30="","",'02_Buyers'!$AS17)</f>
        <v/>
      </c>
      <c r="G30" s="44">
        <f>IF(OR($A30="",$E30=""),"",$C30/(1+$E30*$D30/DayBasis))</f>
        <v/>
      </c>
      <c r="H30" s="44">
        <f>IF(OR($A30="",$F30=""),"",$C30/(1+$F30*$D30/DayBasis))</f>
        <v/>
      </c>
      <c r="I30" s="7">
        <f>IF($A30="","",'02_Buyers'!$AU17)</f>
        <v/>
      </c>
      <c r="J30" s="7">
        <f>IF($A30="","",'02_Buyers'!$W17)</f>
        <v/>
      </c>
      <c r="K30" s="7">
        <f>IF(OR($A30="",$I30=""),"",IF(OR(AND($I30="부보 유리",$J30="N"),AND($I30="무보험 유리",$J30="Y")),"검토",""))</f>
        <v/>
      </c>
    </row>
    <row r="31">
      <c r="A31" s="7">
        <f>IF('02_Buyers'!$A18="","",'02_Buyers'!$A18)</f>
        <v/>
      </c>
      <c r="B31" s="7">
        <f>IF($A31="","",'02_Buyers'!$AK18)</f>
        <v/>
      </c>
      <c r="C31" s="44">
        <f>IF($A31="","",'02_Buyers'!$Z18)</f>
        <v/>
      </c>
      <c r="D31" s="45">
        <f>IF($A31="","",'02_Buyers'!$V18)</f>
        <v/>
      </c>
      <c r="E31" s="46">
        <f>IF($A31="","",'02_Buyers'!$AR18)</f>
        <v/>
      </c>
      <c r="F31" s="46">
        <f>IF($A31="","",'02_Buyers'!$AS18)</f>
        <v/>
      </c>
      <c r="G31" s="44">
        <f>IF(OR($A31="",$E31=""),"",$C31/(1+$E31*$D31/DayBasis))</f>
        <v/>
      </c>
      <c r="H31" s="44">
        <f>IF(OR($A31="",$F31=""),"",$C31/(1+$F31*$D31/DayBasis))</f>
        <v/>
      </c>
      <c r="I31" s="7">
        <f>IF($A31="","",'02_Buyers'!$AU18)</f>
        <v/>
      </c>
      <c r="J31" s="7">
        <f>IF($A31="","",'02_Buyers'!$W18)</f>
        <v/>
      </c>
      <c r="K31" s="7">
        <f>IF(OR($A31="",$I31=""),"",IF(OR(AND($I31="부보 유리",$J31="N"),AND($I31="무보험 유리",$J31="Y")),"검토",""))</f>
        <v/>
      </c>
    </row>
    <row r="32">
      <c r="A32" s="7">
        <f>IF('02_Buyers'!$A19="","",'02_Buyers'!$A19)</f>
        <v/>
      </c>
      <c r="B32" s="7">
        <f>IF($A32="","",'02_Buyers'!$AK19)</f>
        <v/>
      </c>
      <c r="C32" s="44">
        <f>IF($A32="","",'02_Buyers'!$Z19)</f>
        <v/>
      </c>
      <c r="D32" s="45">
        <f>IF($A32="","",'02_Buyers'!$V19)</f>
        <v/>
      </c>
      <c r="E32" s="46">
        <f>IF($A32="","",'02_Buyers'!$AR19)</f>
        <v/>
      </c>
      <c r="F32" s="46">
        <f>IF($A32="","",'02_Buyers'!$AS19)</f>
        <v/>
      </c>
      <c r="G32" s="44">
        <f>IF(OR($A32="",$E32=""),"",$C32/(1+$E32*$D32/DayBasis))</f>
        <v/>
      </c>
      <c r="H32" s="44">
        <f>IF(OR($A32="",$F32=""),"",$C32/(1+$F32*$D32/DayBasis))</f>
        <v/>
      </c>
      <c r="I32" s="7">
        <f>IF($A32="","",'02_Buyers'!$AU19)</f>
        <v/>
      </c>
      <c r="J32" s="7">
        <f>IF($A32="","",'02_Buyers'!$W19)</f>
        <v/>
      </c>
      <c r="K32" s="7">
        <f>IF(OR($A32="",$I32=""),"",IF(OR(AND($I32="부보 유리",$J32="N"),AND($I32="무보험 유리",$J32="Y")),"검토",""))</f>
        <v/>
      </c>
    </row>
    <row r="33">
      <c r="A33" s="7">
        <f>IF('02_Buyers'!$A20="","",'02_Buyers'!$A20)</f>
        <v/>
      </c>
      <c r="B33" s="7">
        <f>IF($A33="","",'02_Buyers'!$AK20)</f>
        <v/>
      </c>
      <c r="C33" s="44">
        <f>IF($A33="","",'02_Buyers'!$Z20)</f>
        <v/>
      </c>
      <c r="D33" s="45">
        <f>IF($A33="","",'02_Buyers'!$V20)</f>
        <v/>
      </c>
      <c r="E33" s="46">
        <f>IF($A33="","",'02_Buyers'!$AR20)</f>
        <v/>
      </c>
      <c r="F33" s="46">
        <f>IF($A33="","",'02_Buyers'!$AS20)</f>
        <v/>
      </c>
      <c r="G33" s="44">
        <f>IF(OR($A33="",$E33=""),"",$C33/(1+$E33*$D33/DayBasis))</f>
        <v/>
      </c>
      <c r="H33" s="44">
        <f>IF(OR($A33="",$F33=""),"",$C33/(1+$F33*$D33/DayBasis))</f>
        <v/>
      </c>
      <c r="I33" s="7">
        <f>IF($A33="","",'02_Buyers'!$AU20)</f>
        <v/>
      </c>
      <c r="J33" s="7">
        <f>IF($A33="","",'02_Buyers'!$W20)</f>
        <v/>
      </c>
      <c r="K33" s="7">
        <f>IF(OR($A33="",$I33=""),"",IF(OR(AND($I33="부보 유리",$J33="N"),AND($I33="무보험 유리",$J33="Y")),"검토",""))</f>
        <v/>
      </c>
    </row>
    <row r="34">
      <c r="A34" s="7">
        <f>IF('02_Buyers'!$A21="","",'02_Buyers'!$A21)</f>
        <v/>
      </c>
      <c r="B34" s="7">
        <f>IF($A34="","",'02_Buyers'!$AK21)</f>
        <v/>
      </c>
      <c r="C34" s="44">
        <f>IF($A34="","",'02_Buyers'!$Z21)</f>
        <v/>
      </c>
      <c r="D34" s="45">
        <f>IF($A34="","",'02_Buyers'!$V21)</f>
        <v/>
      </c>
      <c r="E34" s="46">
        <f>IF($A34="","",'02_Buyers'!$AR21)</f>
        <v/>
      </c>
      <c r="F34" s="46">
        <f>IF($A34="","",'02_Buyers'!$AS21)</f>
        <v/>
      </c>
      <c r="G34" s="44">
        <f>IF(OR($A34="",$E34=""),"",$C34/(1+$E34*$D34/DayBasis))</f>
        <v/>
      </c>
      <c r="H34" s="44">
        <f>IF(OR($A34="",$F34=""),"",$C34/(1+$F34*$D34/DayBasis))</f>
        <v/>
      </c>
      <c r="I34" s="7">
        <f>IF($A34="","",'02_Buyers'!$AU21)</f>
        <v/>
      </c>
      <c r="J34" s="7">
        <f>IF($A34="","",'02_Buyers'!$W21)</f>
        <v/>
      </c>
      <c r="K34" s="7">
        <f>IF(OR($A34="",$I34=""),"",IF(OR(AND($I34="부보 유리",$J34="N"),AND($I34="무보험 유리",$J34="Y")),"검토",""))</f>
        <v/>
      </c>
    </row>
    <row r="35">
      <c r="A35" s="7">
        <f>IF('02_Buyers'!$A22="","",'02_Buyers'!$A22)</f>
        <v/>
      </c>
      <c r="B35" s="7">
        <f>IF($A35="","",'02_Buyers'!$AK22)</f>
        <v/>
      </c>
      <c r="C35" s="44">
        <f>IF($A35="","",'02_Buyers'!$Z22)</f>
        <v/>
      </c>
      <c r="D35" s="45">
        <f>IF($A35="","",'02_Buyers'!$V22)</f>
        <v/>
      </c>
      <c r="E35" s="46">
        <f>IF($A35="","",'02_Buyers'!$AR22)</f>
        <v/>
      </c>
      <c r="F35" s="46">
        <f>IF($A35="","",'02_Buyers'!$AS22)</f>
        <v/>
      </c>
      <c r="G35" s="44">
        <f>IF(OR($A35="",$E35=""),"",$C35/(1+$E35*$D35/DayBasis))</f>
        <v/>
      </c>
      <c r="H35" s="44">
        <f>IF(OR($A35="",$F35=""),"",$C35/(1+$F35*$D35/DayBasis))</f>
        <v/>
      </c>
      <c r="I35" s="7">
        <f>IF($A35="","",'02_Buyers'!$AU22)</f>
        <v/>
      </c>
      <c r="J35" s="7">
        <f>IF($A35="","",'02_Buyers'!$W22)</f>
        <v/>
      </c>
      <c r="K35" s="7">
        <f>IF(OR($A35="",$I35=""),"",IF(OR(AND($I35="부보 유리",$J35="N"),AND($I35="무보험 유리",$J35="Y")),"검토",""))</f>
        <v/>
      </c>
    </row>
    <row r="36">
      <c r="A36" s="7">
        <f>IF('02_Buyers'!$A23="","",'02_Buyers'!$A23)</f>
        <v/>
      </c>
      <c r="B36" s="7">
        <f>IF($A36="","",'02_Buyers'!$AK23)</f>
        <v/>
      </c>
      <c r="C36" s="44">
        <f>IF($A36="","",'02_Buyers'!$Z23)</f>
        <v/>
      </c>
      <c r="D36" s="45">
        <f>IF($A36="","",'02_Buyers'!$V23)</f>
        <v/>
      </c>
      <c r="E36" s="46">
        <f>IF($A36="","",'02_Buyers'!$AR23)</f>
        <v/>
      </c>
      <c r="F36" s="46">
        <f>IF($A36="","",'02_Buyers'!$AS23)</f>
        <v/>
      </c>
      <c r="G36" s="44">
        <f>IF(OR($A36="",$E36=""),"",$C36/(1+$E36*$D36/DayBasis))</f>
        <v/>
      </c>
      <c r="H36" s="44">
        <f>IF(OR($A36="",$F36=""),"",$C36/(1+$F36*$D36/DayBasis))</f>
        <v/>
      </c>
      <c r="I36" s="7">
        <f>IF($A36="","",'02_Buyers'!$AU23)</f>
        <v/>
      </c>
      <c r="J36" s="7">
        <f>IF($A36="","",'02_Buyers'!$W23)</f>
        <v/>
      </c>
      <c r="K36" s="7">
        <f>IF(OR($A36="",$I36=""),"",IF(OR(AND($I36="부보 유리",$J36="N"),AND($I36="무보험 유리",$J36="Y")),"검토",""))</f>
        <v/>
      </c>
    </row>
    <row r="37">
      <c r="A37" s="7">
        <f>IF('02_Buyers'!$A24="","",'02_Buyers'!$A24)</f>
        <v/>
      </c>
      <c r="B37" s="7">
        <f>IF($A37="","",'02_Buyers'!$AK24)</f>
        <v/>
      </c>
      <c r="C37" s="44">
        <f>IF($A37="","",'02_Buyers'!$Z24)</f>
        <v/>
      </c>
      <c r="D37" s="45">
        <f>IF($A37="","",'02_Buyers'!$V24)</f>
        <v/>
      </c>
      <c r="E37" s="46">
        <f>IF($A37="","",'02_Buyers'!$AR24)</f>
        <v/>
      </c>
      <c r="F37" s="46">
        <f>IF($A37="","",'02_Buyers'!$AS24)</f>
        <v/>
      </c>
      <c r="G37" s="44">
        <f>IF(OR($A37="",$E37=""),"",$C37/(1+$E37*$D37/DayBasis))</f>
        <v/>
      </c>
      <c r="H37" s="44">
        <f>IF(OR($A37="",$F37=""),"",$C37/(1+$F37*$D37/DayBasis))</f>
        <v/>
      </c>
      <c r="I37" s="7">
        <f>IF($A37="","",'02_Buyers'!$AU24)</f>
        <v/>
      </c>
      <c r="J37" s="7">
        <f>IF($A37="","",'02_Buyers'!$W24)</f>
        <v/>
      </c>
      <c r="K37" s="7">
        <f>IF(OR($A37="",$I37=""),"",IF(OR(AND($I37="부보 유리",$J37="N"),AND($I37="무보험 유리",$J37="Y")),"검토",""))</f>
        <v/>
      </c>
    </row>
    <row r="38">
      <c r="A38" s="7">
        <f>IF('02_Buyers'!$A25="","",'02_Buyers'!$A25)</f>
        <v/>
      </c>
      <c r="B38" s="7">
        <f>IF($A38="","",'02_Buyers'!$AK25)</f>
        <v/>
      </c>
      <c r="C38" s="44">
        <f>IF($A38="","",'02_Buyers'!$Z25)</f>
        <v/>
      </c>
      <c r="D38" s="45">
        <f>IF($A38="","",'02_Buyers'!$V25)</f>
        <v/>
      </c>
      <c r="E38" s="46">
        <f>IF($A38="","",'02_Buyers'!$AR25)</f>
        <v/>
      </c>
      <c r="F38" s="46">
        <f>IF($A38="","",'02_Buyers'!$AS25)</f>
        <v/>
      </c>
      <c r="G38" s="44">
        <f>IF(OR($A38="",$E38=""),"",$C38/(1+$E38*$D38/DayBasis))</f>
        <v/>
      </c>
      <c r="H38" s="44">
        <f>IF(OR($A38="",$F38=""),"",$C38/(1+$F38*$D38/DayBasis))</f>
        <v/>
      </c>
      <c r="I38" s="7">
        <f>IF($A38="","",'02_Buyers'!$AU25)</f>
        <v/>
      </c>
      <c r="J38" s="7">
        <f>IF($A38="","",'02_Buyers'!$W25)</f>
        <v/>
      </c>
      <c r="K38" s="7">
        <f>IF(OR($A38="",$I38=""),"",IF(OR(AND($I38="부보 유리",$J38="N"),AND($I38="무보험 유리",$J38="Y")),"검토",""))</f>
        <v/>
      </c>
    </row>
    <row r="39">
      <c r="A39" s="7">
        <f>IF('02_Buyers'!$A26="","",'02_Buyers'!$A26)</f>
        <v/>
      </c>
      <c r="B39" s="7">
        <f>IF($A39="","",'02_Buyers'!$AK26)</f>
        <v/>
      </c>
      <c r="C39" s="44">
        <f>IF($A39="","",'02_Buyers'!$Z26)</f>
        <v/>
      </c>
      <c r="D39" s="45">
        <f>IF($A39="","",'02_Buyers'!$V26)</f>
        <v/>
      </c>
      <c r="E39" s="46">
        <f>IF($A39="","",'02_Buyers'!$AR26)</f>
        <v/>
      </c>
      <c r="F39" s="46">
        <f>IF($A39="","",'02_Buyers'!$AS26)</f>
        <v/>
      </c>
      <c r="G39" s="44">
        <f>IF(OR($A39="",$E39=""),"",$C39/(1+$E39*$D39/DayBasis))</f>
        <v/>
      </c>
      <c r="H39" s="44">
        <f>IF(OR($A39="",$F39=""),"",$C39/(1+$F39*$D39/DayBasis))</f>
        <v/>
      </c>
      <c r="I39" s="7">
        <f>IF($A39="","",'02_Buyers'!$AU26)</f>
        <v/>
      </c>
      <c r="J39" s="7">
        <f>IF($A39="","",'02_Buyers'!$W26)</f>
        <v/>
      </c>
      <c r="K39" s="7">
        <f>IF(OR($A39="",$I39=""),"",IF(OR(AND($I39="부보 유리",$J39="N"),AND($I39="무보험 유리",$J39="Y")),"검토",""))</f>
        <v/>
      </c>
    </row>
    <row r="40">
      <c r="A40" s="7">
        <f>IF('02_Buyers'!$A27="","",'02_Buyers'!$A27)</f>
        <v/>
      </c>
      <c r="B40" s="7">
        <f>IF($A40="","",'02_Buyers'!$AK27)</f>
        <v/>
      </c>
      <c r="C40" s="44">
        <f>IF($A40="","",'02_Buyers'!$Z27)</f>
        <v/>
      </c>
      <c r="D40" s="45">
        <f>IF($A40="","",'02_Buyers'!$V27)</f>
        <v/>
      </c>
      <c r="E40" s="46">
        <f>IF($A40="","",'02_Buyers'!$AR27)</f>
        <v/>
      </c>
      <c r="F40" s="46">
        <f>IF($A40="","",'02_Buyers'!$AS27)</f>
        <v/>
      </c>
      <c r="G40" s="44">
        <f>IF(OR($A40="",$E40=""),"",$C40/(1+$E40*$D40/DayBasis))</f>
        <v/>
      </c>
      <c r="H40" s="44">
        <f>IF(OR($A40="",$F40=""),"",$C40/(1+$F40*$D40/DayBasis))</f>
        <v/>
      </c>
      <c r="I40" s="7">
        <f>IF($A40="","",'02_Buyers'!$AU27)</f>
        <v/>
      </c>
      <c r="J40" s="7">
        <f>IF($A40="","",'02_Buyers'!$W27)</f>
        <v/>
      </c>
      <c r="K40" s="7">
        <f>IF(OR($A40="",$I40=""),"",IF(OR(AND($I40="부보 유리",$J40="N"),AND($I40="무보험 유리",$J40="Y")),"검토",""))</f>
        <v/>
      </c>
    </row>
    <row r="41">
      <c r="A41" s="7">
        <f>IF('02_Buyers'!$A28="","",'02_Buyers'!$A28)</f>
        <v/>
      </c>
      <c r="B41" s="7">
        <f>IF($A41="","",'02_Buyers'!$AK28)</f>
        <v/>
      </c>
      <c r="C41" s="44">
        <f>IF($A41="","",'02_Buyers'!$Z28)</f>
        <v/>
      </c>
      <c r="D41" s="45">
        <f>IF($A41="","",'02_Buyers'!$V28)</f>
        <v/>
      </c>
      <c r="E41" s="46">
        <f>IF($A41="","",'02_Buyers'!$AR28)</f>
        <v/>
      </c>
      <c r="F41" s="46">
        <f>IF($A41="","",'02_Buyers'!$AS28)</f>
        <v/>
      </c>
      <c r="G41" s="44">
        <f>IF(OR($A41="",$E41=""),"",$C41/(1+$E41*$D41/DayBasis))</f>
        <v/>
      </c>
      <c r="H41" s="44">
        <f>IF(OR($A41="",$F41=""),"",$C41/(1+$F41*$D41/DayBasis))</f>
        <v/>
      </c>
      <c r="I41" s="7">
        <f>IF($A41="","",'02_Buyers'!$AU28)</f>
        <v/>
      </c>
      <c r="J41" s="7">
        <f>IF($A41="","",'02_Buyers'!$W28)</f>
        <v/>
      </c>
      <c r="K41" s="7">
        <f>IF(OR($A41="",$I41=""),"",IF(OR(AND($I41="부보 유리",$J41="N"),AND($I41="무보험 유리",$J41="Y")),"검토",""))</f>
        <v/>
      </c>
    </row>
    <row r="42">
      <c r="A42" s="7">
        <f>IF('02_Buyers'!$A29="","",'02_Buyers'!$A29)</f>
        <v/>
      </c>
      <c r="B42" s="7">
        <f>IF($A42="","",'02_Buyers'!$AK29)</f>
        <v/>
      </c>
      <c r="C42" s="44">
        <f>IF($A42="","",'02_Buyers'!$Z29)</f>
        <v/>
      </c>
      <c r="D42" s="45">
        <f>IF($A42="","",'02_Buyers'!$V29)</f>
        <v/>
      </c>
      <c r="E42" s="46">
        <f>IF($A42="","",'02_Buyers'!$AR29)</f>
        <v/>
      </c>
      <c r="F42" s="46">
        <f>IF($A42="","",'02_Buyers'!$AS29)</f>
        <v/>
      </c>
      <c r="G42" s="44">
        <f>IF(OR($A42="",$E42=""),"",$C42/(1+$E42*$D42/DayBasis))</f>
        <v/>
      </c>
      <c r="H42" s="44">
        <f>IF(OR($A42="",$F42=""),"",$C42/(1+$F42*$D42/DayBasis))</f>
        <v/>
      </c>
      <c r="I42" s="7">
        <f>IF($A42="","",'02_Buyers'!$AU29)</f>
        <v/>
      </c>
      <c r="J42" s="7">
        <f>IF($A42="","",'02_Buyers'!$W29)</f>
        <v/>
      </c>
      <c r="K42" s="7">
        <f>IF(OR($A42="",$I42=""),"",IF(OR(AND($I42="부보 유리",$J42="N"),AND($I42="무보험 유리",$J42="Y")),"검토",""))</f>
        <v/>
      </c>
    </row>
    <row r="43">
      <c r="A43" s="7">
        <f>IF('02_Buyers'!$A30="","",'02_Buyers'!$A30)</f>
        <v/>
      </c>
      <c r="B43" s="7">
        <f>IF($A43="","",'02_Buyers'!$AK30)</f>
        <v/>
      </c>
      <c r="C43" s="44">
        <f>IF($A43="","",'02_Buyers'!$Z30)</f>
        <v/>
      </c>
      <c r="D43" s="45">
        <f>IF($A43="","",'02_Buyers'!$V30)</f>
        <v/>
      </c>
      <c r="E43" s="46">
        <f>IF($A43="","",'02_Buyers'!$AR30)</f>
        <v/>
      </c>
      <c r="F43" s="46">
        <f>IF($A43="","",'02_Buyers'!$AS30)</f>
        <v/>
      </c>
      <c r="G43" s="44">
        <f>IF(OR($A43="",$E43=""),"",$C43/(1+$E43*$D43/DayBasis))</f>
        <v/>
      </c>
      <c r="H43" s="44">
        <f>IF(OR($A43="",$F43=""),"",$C43/(1+$F43*$D43/DayBasis))</f>
        <v/>
      </c>
      <c r="I43" s="7">
        <f>IF($A43="","",'02_Buyers'!$AU30)</f>
        <v/>
      </c>
      <c r="J43" s="7">
        <f>IF($A43="","",'02_Buyers'!$W30)</f>
        <v/>
      </c>
      <c r="K43" s="7">
        <f>IF(OR($A43="",$I43=""),"",IF(OR(AND($I43="부보 유리",$J43="N"),AND($I43="무보험 유리",$J43="Y")),"검토",""))</f>
        <v/>
      </c>
    </row>
    <row r="44">
      <c r="A44" s="7">
        <f>IF('02_Buyers'!$A31="","",'02_Buyers'!$A31)</f>
        <v/>
      </c>
      <c r="B44" s="7">
        <f>IF($A44="","",'02_Buyers'!$AK31)</f>
        <v/>
      </c>
      <c r="C44" s="44">
        <f>IF($A44="","",'02_Buyers'!$Z31)</f>
        <v/>
      </c>
      <c r="D44" s="45">
        <f>IF($A44="","",'02_Buyers'!$V31)</f>
        <v/>
      </c>
      <c r="E44" s="46">
        <f>IF($A44="","",'02_Buyers'!$AR31)</f>
        <v/>
      </c>
      <c r="F44" s="46">
        <f>IF($A44="","",'02_Buyers'!$AS31)</f>
        <v/>
      </c>
      <c r="G44" s="44">
        <f>IF(OR($A44="",$E44=""),"",$C44/(1+$E44*$D44/DayBasis))</f>
        <v/>
      </c>
      <c r="H44" s="44">
        <f>IF(OR($A44="",$F44=""),"",$C44/(1+$F44*$D44/DayBasis))</f>
        <v/>
      </c>
      <c r="I44" s="7">
        <f>IF($A44="","",'02_Buyers'!$AU31)</f>
        <v/>
      </c>
      <c r="J44" s="7">
        <f>IF($A44="","",'02_Buyers'!$W31)</f>
        <v/>
      </c>
      <c r="K44" s="7">
        <f>IF(OR($A44="",$I44=""),"",IF(OR(AND($I44="부보 유리",$J44="N"),AND($I44="무보험 유리",$J44="Y")),"검토",""))</f>
        <v/>
      </c>
    </row>
    <row r="45">
      <c r="A45" s="7">
        <f>IF('02_Buyers'!$A32="","",'02_Buyers'!$A32)</f>
        <v/>
      </c>
      <c r="B45" s="7">
        <f>IF($A45="","",'02_Buyers'!$AK32)</f>
        <v/>
      </c>
      <c r="C45" s="44">
        <f>IF($A45="","",'02_Buyers'!$Z32)</f>
        <v/>
      </c>
      <c r="D45" s="45">
        <f>IF($A45="","",'02_Buyers'!$V32)</f>
        <v/>
      </c>
      <c r="E45" s="46">
        <f>IF($A45="","",'02_Buyers'!$AR32)</f>
        <v/>
      </c>
      <c r="F45" s="46">
        <f>IF($A45="","",'02_Buyers'!$AS32)</f>
        <v/>
      </c>
      <c r="G45" s="44">
        <f>IF(OR($A45="",$E45=""),"",$C45/(1+$E45*$D45/DayBasis))</f>
        <v/>
      </c>
      <c r="H45" s="44">
        <f>IF(OR($A45="",$F45=""),"",$C45/(1+$F45*$D45/DayBasis))</f>
        <v/>
      </c>
      <c r="I45" s="7">
        <f>IF($A45="","",'02_Buyers'!$AU32)</f>
        <v/>
      </c>
      <c r="J45" s="7">
        <f>IF($A45="","",'02_Buyers'!$W32)</f>
        <v/>
      </c>
      <c r="K45" s="7">
        <f>IF(OR($A45="",$I45=""),"",IF(OR(AND($I45="부보 유리",$J45="N"),AND($I45="무보험 유리",$J45="Y")),"검토",""))</f>
        <v/>
      </c>
    </row>
    <row r="46">
      <c r="A46" s="7">
        <f>IF('02_Buyers'!$A33="","",'02_Buyers'!$A33)</f>
        <v/>
      </c>
      <c r="B46" s="7">
        <f>IF($A46="","",'02_Buyers'!$AK33)</f>
        <v/>
      </c>
      <c r="C46" s="44">
        <f>IF($A46="","",'02_Buyers'!$Z33)</f>
        <v/>
      </c>
      <c r="D46" s="45">
        <f>IF($A46="","",'02_Buyers'!$V33)</f>
        <v/>
      </c>
      <c r="E46" s="46">
        <f>IF($A46="","",'02_Buyers'!$AR33)</f>
        <v/>
      </c>
      <c r="F46" s="46">
        <f>IF($A46="","",'02_Buyers'!$AS33)</f>
        <v/>
      </c>
      <c r="G46" s="44">
        <f>IF(OR($A46="",$E46=""),"",$C46/(1+$E46*$D46/DayBasis))</f>
        <v/>
      </c>
      <c r="H46" s="44">
        <f>IF(OR($A46="",$F46=""),"",$C46/(1+$F46*$D46/DayBasis))</f>
        <v/>
      </c>
      <c r="I46" s="7">
        <f>IF($A46="","",'02_Buyers'!$AU33)</f>
        <v/>
      </c>
      <c r="J46" s="7">
        <f>IF($A46="","",'02_Buyers'!$W33)</f>
        <v/>
      </c>
      <c r="K46" s="7">
        <f>IF(OR($A46="",$I46=""),"",IF(OR(AND($I46="부보 유리",$J46="N"),AND($I46="무보험 유리",$J46="Y")),"검토",""))</f>
        <v/>
      </c>
    </row>
    <row r="47">
      <c r="A47" s="7">
        <f>IF('02_Buyers'!$A34="","",'02_Buyers'!$A34)</f>
        <v/>
      </c>
      <c r="B47" s="7">
        <f>IF($A47="","",'02_Buyers'!$AK34)</f>
        <v/>
      </c>
      <c r="C47" s="44">
        <f>IF($A47="","",'02_Buyers'!$Z34)</f>
        <v/>
      </c>
      <c r="D47" s="45">
        <f>IF($A47="","",'02_Buyers'!$V34)</f>
        <v/>
      </c>
      <c r="E47" s="46">
        <f>IF($A47="","",'02_Buyers'!$AR34)</f>
        <v/>
      </c>
      <c r="F47" s="46">
        <f>IF($A47="","",'02_Buyers'!$AS34)</f>
        <v/>
      </c>
      <c r="G47" s="44">
        <f>IF(OR($A47="",$E47=""),"",$C47/(1+$E47*$D47/DayBasis))</f>
        <v/>
      </c>
      <c r="H47" s="44">
        <f>IF(OR($A47="",$F47=""),"",$C47/(1+$F47*$D47/DayBasis))</f>
        <v/>
      </c>
      <c r="I47" s="7">
        <f>IF($A47="","",'02_Buyers'!$AU34)</f>
        <v/>
      </c>
      <c r="J47" s="7">
        <f>IF($A47="","",'02_Buyers'!$W34)</f>
        <v/>
      </c>
      <c r="K47" s="7">
        <f>IF(OR($A47="",$I47=""),"",IF(OR(AND($I47="부보 유리",$J47="N"),AND($I47="무보험 유리",$J47="Y")),"검토",""))</f>
        <v/>
      </c>
    </row>
    <row r="48">
      <c r="A48" s="7">
        <f>IF('02_Buyers'!$A35="","",'02_Buyers'!$A35)</f>
        <v/>
      </c>
      <c r="B48" s="7">
        <f>IF($A48="","",'02_Buyers'!$AK35)</f>
        <v/>
      </c>
      <c r="C48" s="44">
        <f>IF($A48="","",'02_Buyers'!$Z35)</f>
        <v/>
      </c>
      <c r="D48" s="45">
        <f>IF($A48="","",'02_Buyers'!$V35)</f>
        <v/>
      </c>
      <c r="E48" s="46">
        <f>IF($A48="","",'02_Buyers'!$AR35)</f>
        <v/>
      </c>
      <c r="F48" s="46">
        <f>IF($A48="","",'02_Buyers'!$AS35)</f>
        <v/>
      </c>
      <c r="G48" s="44">
        <f>IF(OR($A48="",$E48=""),"",$C48/(1+$E48*$D48/DayBasis))</f>
        <v/>
      </c>
      <c r="H48" s="44">
        <f>IF(OR($A48="",$F48=""),"",$C48/(1+$F48*$D48/DayBasis))</f>
        <v/>
      </c>
      <c r="I48" s="7">
        <f>IF($A48="","",'02_Buyers'!$AU35)</f>
        <v/>
      </c>
      <c r="J48" s="7">
        <f>IF($A48="","",'02_Buyers'!$W35)</f>
        <v/>
      </c>
      <c r="K48" s="7">
        <f>IF(OR($A48="",$I48=""),"",IF(OR(AND($I48="부보 유리",$J48="N"),AND($I48="무보험 유리",$J48="Y")),"검토",""))</f>
        <v/>
      </c>
    </row>
    <row r="49">
      <c r="A49" s="7">
        <f>IF('02_Buyers'!$A36="","",'02_Buyers'!$A36)</f>
        <v/>
      </c>
      <c r="B49" s="7">
        <f>IF($A49="","",'02_Buyers'!$AK36)</f>
        <v/>
      </c>
      <c r="C49" s="44">
        <f>IF($A49="","",'02_Buyers'!$Z36)</f>
        <v/>
      </c>
      <c r="D49" s="45">
        <f>IF($A49="","",'02_Buyers'!$V36)</f>
        <v/>
      </c>
      <c r="E49" s="46">
        <f>IF($A49="","",'02_Buyers'!$AR36)</f>
        <v/>
      </c>
      <c r="F49" s="46">
        <f>IF($A49="","",'02_Buyers'!$AS36)</f>
        <v/>
      </c>
      <c r="G49" s="44">
        <f>IF(OR($A49="",$E49=""),"",$C49/(1+$E49*$D49/DayBasis))</f>
        <v/>
      </c>
      <c r="H49" s="44">
        <f>IF(OR($A49="",$F49=""),"",$C49/(1+$F49*$D49/DayBasis))</f>
        <v/>
      </c>
      <c r="I49" s="7">
        <f>IF($A49="","",'02_Buyers'!$AU36)</f>
        <v/>
      </c>
      <c r="J49" s="7">
        <f>IF($A49="","",'02_Buyers'!$W36)</f>
        <v/>
      </c>
      <c r="K49" s="7">
        <f>IF(OR($A49="",$I49=""),"",IF(OR(AND($I49="부보 유리",$J49="N"),AND($I49="무보험 유리",$J49="Y")),"검토",""))</f>
        <v/>
      </c>
    </row>
    <row r="50">
      <c r="A50" s="7">
        <f>IF('02_Buyers'!$A37="","",'02_Buyers'!$A37)</f>
        <v/>
      </c>
      <c r="B50" s="7">
        <f>IF($A50="","",'02_Buyers'!$AK37)</f>
        <v/>
      </c>
      <c r="C50" s="44">
        <f>IF($A50="","",'02_Buyers'!$Z37)</f>
        <v/>
      </c>
      <c r="D50" s="45">
        <f>IF($A50="","",'02_Buyers'!$V37)</f>
        <v/>
      </c>
      <c r="E50" s="46">
        <f>IF($A50="","",'02_Buyers'!$AR37)</f>
        <v/>
      </c>
      <c r="F50" s="46">
        <f>IF($A50="","",'02_Buyers'!$AS37)</f>
        <v/>
      </c>
      <c r="G50" s="44">
        <f>IF(OR($A50="",$E50=""),"",$C50/(1+$E50*$D50/DayBasis))</f>
        <v/>
      </c>
      <c r="H50" s="44">
        <f>IF(OR($A50="",$F50=""),"",$C50/(1+$F50*$D50/DayBasis))</f>
        <v/>
      </c>
      <c r="I50" s="7">
        <f>IF($A50="","",'02_Buyers'!$AU37)</f>
        <v/>
      </c>
      <c r="J50" s="7">
        <f>IF($A50="","",'02_Buyers'!$W37)</f>
        <v/>
      </c>
      <c r="K50" s="7">
        <f>IF(OR($A50="",$I50=""),"",IF(OR(AND($I50="부보 유리",$J50="N"),AND($I50="무보험 유리",$J50="Y")),"검토",""))</f>
        <v/>
      </c>
    </row>
    <row r="51">
      <c r="A51" s="7">
        <f>IF('02_Buyers'!$A38="","",'02_Buyers'!$A38)</f>
        <v/>
      </c>
      <c r="B51" s="7">
        <f>IF($A51="","",'02_Buyers'!$AK38)</f>
        <v/>
      </c>
      <c r="C51" s="44">
        <f>IF($A51="","",'02_Buyers'!$Z38)</f>
        <v/>
      </c>
      <c r="D51" s="45">
        <f>IF($A51="","",'02_Buyers'!$V38)</f>
        <v/>
      </c>
      <c r="E51" s="46">
        <f>IF($A51="","",'02_Buyers'!$AR38)</f>
        <v/>
      </c>
      <c r="F51" s="46">
        <f>IF($A51="","",'02_Buyers'!$AS38)</f>
        <v/>
      </c>
      <c r="G51" s="44">
        <f>IF(OR($A51="",$E51=""),"",$C51/(1+$E51*$D51/DayBasis))</f>
        <v/>
      </c>
      <c r="H51" s="44">
        <f>IF(OR($A51="",$F51=""),"",$C51/(1+$F51*$D51/DayBasis))</f>
        <v/>
      </c>
      <c r="I51" s="7">
        <f>IF($A51="","",'02_Buyers'!$AU38)</f>
        <v/>
      </c>
      <c r="J51" s="7">
        <f>IF($A51="","",'02_Buyers'!$W38)</f>
        <v/>
      </c>
      <c r="K51" s="7">
        <f>IF(OR($A51="",$I51=""),"",IF(OR(AND($I51="부보 유리",$J51="N"),AND($I51="무보험 유리",$J51="Y")),"검토",""))</f>
        <v/>
      </c>
    </row>
    <row r="52">
      <c r="A52" s="7">
        <f>IF('02_Buyers'!$A39="","",'02_Buyers'!$A39)</f>
        <v/>
      </c>
      <c r="B52" s="7">
        <f>IF($A52="","",'02_Buyers'!$AK39)</f>
        <v/>
      </c>
      <c r="C52" s="44">
        <f>IF($A52="","",'02_Buyers'!$Z39)</f>
        <v/>
      </c>
      <c r="D52" s="45">
        <f>IF($A52="","",'02_Buyers'!$V39)</f>
        <v/>
      </c>
      <c r="E52" s="46">
        <f>IF($A52="","",'02_Buyers'!$AR39)</f>
        <v/>
      </c>
      <c r="F52" s="46">
        <f>IF($A52="","",'02_Buyers'!$AS39)</f>
        <v/>
      </c>
      <c r="G52" s="44">
        <f>IF(OR($A52="",$E52=""),"",$C52/(1+$E52*$D52/DayBasis))</f>
        <v/>
      </c>
      <c r="H52" s="44">
        <f>IF(OR($A52="",$F52=""),"",$C52/(1+$F52*$D52/DayBasis))</f>
        <v/>
      </c>
      <c r="I52" s="7">
        <f>IF($A52="","",'02_Buyers'!$AU39)</f>
        <v/>
      </c>
      <c r="J52" s="7">
        <f>IF($A52="","",'02_Buyers'!$W39)</f>
        <v/>
      </c>
      <c r="K52" s="7">
        <f>IF(OR($A52="",$I52=""),"",IF(OR(AND($I52="부보 유리",$J52="N"),AND($I52="무보험 유리",$J52="Y")),"검토",""))</f>
        <v/>
      </c>
    </row>
    <row r="53">
      <c r="A53" s="7">
        <f>IF('02_Buyers'!$A40="","",'02_Buyers'!$A40)</f>
        <v/>
      </c>
      <c r="B53" s="7">
        <f>IF($A53="","",'02_Buyers'!$AK40)</f>
        <v/>
      </c>
      <c r="C53" s="44">
        <f>IF($A53="","",'02_Buyers'!$Z40)</f>
        <v/>
      </c>
      <c r="D53" s="45">
        <f>IF($A53="","",'02_Buyers'!$V40)</f>
        <v/>
      </c>
      <c r="E53" s="46">
        <f>IF($A53="","",'02_Buyers'!$AR40)</f>
        <v/>
      </c>
      <c r="F53" s="46">
        <f>IF($A53="","",'02_Buyers'!$AS40)</f>
        <v/>
      </c>
      <c r="G53" s="44">
        <f>IF(OR($A53="",$E53=""),"",$C53/(1+$E53*$D53/DayBasis))</f>
        <v/>
      </c>
      <c r="H53" s="44">
        <f>IF(OR($A53="",$F53=""),"",$C53/(1+$F53*$D53/DayBasis))</f>
        <v/>
      </c>
      <c r="I53" s="7">
        <f>IF($A53="","",'02_Buyers'!$AU40)</f>
        <v/>
      </c>
      <c r="J53" s="7">
        <f>IF($A53="","",'02_Buyers'!$W40)</f>
        <v/>
      </c>
      <c r="K53" s="7">
        <f>IF(OR($A53="",$I53=""),"",IF(OR(AND($I53="부보 유리",$J53="N"),AND($I53="무보험 유리",$J53="Y")),"검토",""))</f>
        <v/>
      </c>
    </row>
    <row r="54">
      <c r="A54" s="7">
        <f>IF('02_Buyers'!$A41="","",'02_Buyers'!$A41)</f>
        <v/>
      </c>
      <c r="B54" s="7">
        <f>IF($A54="","",'02_Buyers'!$AK41)</f>
        <v/>
      </c>
      <c r="C54" s="44">
        <f>IF($A54="","",'02_Buyers'!$Z41)</f>
        <v/>
      </c>
      <c r="D54" s="45">
        <f>IF($A54="","",'02_Buyers'!$V41)</f>
        <v/>
      </c>
      <c r="E54" s="46">
        <f>IF($A54="","",'02_Buyers'!$AR41)</f>
        <v/>
      </c>
      <c r="F54" s="46">
        <f>IF($A54="","",'02_Buyers'!$AS41)</f>
        <v/>
      </c>
      <c r="G54" s="44">
        <f>IF(OR($A54="",$E54=""),"",$C54/(1+$E54*$D54/DayBasis))</f>
        <v/>
      </c>
      <c r="H54" s="44">
        <f>IF(OR($A54="",$F54=""),"",$C54/(1+$F54*$D54/DayBasis))</f>
        <v/>
      </c>
      <c r="I54" s="7">
        <f>IF($A54="","",'02_Buyers'!$AU41)</f>
        <v/>
      </c>
      <c r="J54" s="7">
        <f>IF($A54="","",'02_Buyers'!$W41)</f>
        <v/>
      </c>
      <c r="K54" s="7">
        <f>IF(OR($A54="",$I54=""),"",IF(OR(AND($I54="부보 유리",$J54="N"),AND($I54="무보험 유리",$J54="Y")),"검토",""))</f>
        <v/>
      </c>
    </row>
    <row r="55">
      <c r="A55" s="7">
        <f>IF('02_Buyers'!$A42="","",'02_Buyers'!$A42)</f>
        <v/>
      </c>
      <c r="B55" s="7">
        <f>IF($A55="","",'02_Buyers'!$AK42)</f>
        <v/>
      </c>
      <c r="C55" s="44">
        <f>IF($A55="","",'02_Buyers'!$Z42)</f>
        <v/>
      </c>
      <c r="D55" s="45">
        <f>IF($A55="","",'02_Buyers'!$V42)</f>
        <v/>
      </c>
      <c r="E55" s="46">
        <f>IF($A55="","",'02_Buyers'!$AR42)</f>
        <v/>
      </c>
      <c r="F55" s="46">
        <f>IF($A55="","",'02_Buyers'!$AS42)</f>
        <v/>
      </c>
      <c r="G55" s="44">
        <f>IF(OR($A55="",$E55=""),"",$C55/(1+$E55*$D55/DayBasis))</f>
        <v/>
      </c>
      <c r="H55" s="44">
        <f>IF(OR($A55="",$F55=""),"",$C55/(1+$F55*$D55/DayBasis))</f>
        <v/>
      </c>
      <c r="I55" s="7">
        <f>IF($A55="","",'02_Buyers'!$AU42)</f>
        <v/>
      </c>
      <c r="J55" s="7">
        <f>IF($A55="","",'02_Buyers'!$W42)</f>
        <v/>
      </c>
      <c r="K55" s="7">
        <f>IF(OR($A55="",$I55=""),"",IF(OR(AND($I55="부보 유리",$J55="N"),AND($I55="무보험 유리",$J55="Y")),"검토",""))</f>
        <v/>
      </c>
    </row>
    <row r="56">
      <c r="A56" s="7">
        <f>IF('02_Buyers'!$A43="","",'02_Buyers'!$A43)</f>
        <v/>
      </c>
      <c r="B56" s="7">
        <f>IF($A56="","",'02_Buyers'!$AK43)</f>
        <v/>
      </c>
      <c r="C56" s="44">
        <f>IF($A56="","",'02_Buyers'!$Z43)</f>
        <v/>
      </c>
      <c r="D56" s="45">
        <f>IF($A56="","",'02_Buyers'!$V43)</f>
        <v/>
      </c>
      <c r="E56" s="46">
        <f>IF($A56="","",'02_Buyers'!$AR43)</f>
        <v/>
      </c>
      <c r="F56" s="46">
        <f>IF($A56="","",'02_Buyers'!$AS43)</f>
        <v/>
      </c>
      <c r="G56" s="44">
        <f>IF(OR($A56="",$E56=""),"",$C56/(1+$E56*$D56/DayBasis))</f>
        <v/>
      </c>
      <c r="H56" s="44">
        <f>IF(OR($A56="",$F56=""),"",$C56/(1+$F56*$D56/DayBasis))</f>
        <v/>
      </c>
      <c r="I56" s="7">
        <f>IF($A56="","",'02_Buyers'!$AU43)</f>
        <v/>
      </c>
      <c r="J56" s="7">
        <f>IF($A56="","",'02_Buyers'!$W43)</f>
        <v/>
      </c>
      <c r="K56" s="7">
        <f>IF(OR($A56="",$I56=""),"",IF(OR(AND($I56="부보 유리",$J56="N"),AND($I56="무보험 유리",$J56="Y")),"검토",""))</f>
        <v/>
      </c>
    </row>
    <row r="57">
      <c r="A57" s="7">
        <f>IF('02_Buyers'!$A44="","",'02_Buyers'!$A44)</f>
        <v/>
      </c>
      <c r="B57" s="7">
        <f>IF($A57="","",'02_Buyers'!$AK44)</f>
        <v/>
      </c>
      <c r="C57" s="44">
        <f>IF($A57="","",'02_Buyers'!$Z44)</f>
        <v/>
      </c>
      <c r="D57" s="45">
        <f>IF($A57="","",'02_Buyers'!$V44)</f>
        <v/>
      </c>
      <c r="E57" s="46">
        <f>IF($A57="","",'02_Buyers'!$AR44)</f>
        <v/>
      </c>
      <c r="F57" s="46">
        <f>IF($A57="","",'02_Buyers'!$AS44)</f>
        <v/>
      </c>
      <c r="G57" s="44">
        <f>IF(OR($A57="",$E57=""),"",$C57/(1+$E57*$D57/DayBasis))</f>
        <v/>
      </c>
      <c r="H57" s="44">
        <f>IF(OR($A57="",$F57=""),"",$C57/(1+$F57*$D57/DayBasis))</f>
        <v/>
      </c>
      <c r="I57" s="7">
        <f>IF($A57="","",'02_Buyers'!$AU44)</f>
        <v/>
      </c>
      <c r="J57" s="7">
        <f>IF($A57="","",'02_Buyers'!$W44)</f>
        <v/>
      </c>
      <c r="K57" s="7">
        <f>IF(OR($A57="",$I57=""),"",IF(OR(AND($I57="부보 유리",$J57="N"),AND($I57="무보험 유리",$J57="Y")),"검토",""))</f>
        <v/>
      </c>
    </row>
    <row r="58">
      <c r="A58" s="7">
        <f>IF('02_Buyers'!$A45="","",'02_Buyers'!$A45)</f>
        <v/>
      </c>
      <c r="B58" s="7">
        <f>IF($A58="","",'02_Buyers'!$AK45)</f>
        <v/>
      </c>
      <c r="C58" s="44">
        <f>IF($A58="","",'02_Buyers'!$Z45)</f>
        <v/>
      </c>
      <c r="D58" s="45">
        <f>IF($A58="","",'02_Buyers'!$V45)</f>
        <v/>
      </c>
      <c r="E58" s="46">
        <f>IF($A58="","",'02_Buyers'!$AR45)</f>
        <v/>
      </c>
      <c r="F58" s="46">
        <f>IF($A58="","",'02_Buyers'!$AS45)</f>
        <v/>
      </c>
      <c r="G58" s="44">
        <f>IF(OR($A58="",$E58=""),"",$C58/(1+$E58*$D58/DayBasis))</f>
        <v/>
      </c>
      <c r="H58" s="44">
        <f>IF(OR($A58="",$F58=""),"",$C58/(1+$F58*$D58/DayBasis))</f>
        <v/>
      </c>
      <c r="I58" s="7">
        <f>IF($A58="","",'02_Buyers'!$AU45)</f>
        <v/>
      </c>
      <c r="J58" s="7">
        <f>IF($A58="","",'02_Buyers'!$W45)</f>
        <v/>
      </c>
      <c r="K58" s="7">
        <f>IF(OR($A58="",$I58=""),"",IF(OR(AND($I58="부보 유리",$J58="N"),AND($I58="무보험 유리",$J58="Y")),"검토",""))</f>
        <v/>
      </c>
    </row>
    <row r="59">
      <c r="A59" s="7">
        <f>IF('02_Buyers'!$A46="","",'02_Buyers'!$A46)</f>
        <v/>
      </c>
      <c r="B59" s="7">
        <f>IF($A59="","",'02_Buyers'!$AK46)</f>
        <v/>
      </c>
      <c r="C59" s="44">
        <f>IF($A59="","",'02_Buyers'!$Z46)</f>
        <v/>
      </c>
      <c r="D59" s="45">
        <f>IF($A59="","",'02_Buyers'!$V46)</f>
        <v/>
      </c>
      <c r="E59" s="46">
        <f>IF($A59="","",'02_Buyers'!$AR46)</f>
        <v/>
      </c>
      <c r="F59" s="46">
        <f>IF($A59="","",'02_Buyers'!$AS46)</f>
        <v/>
      </c>
      <c r="G59" s="44">
        <f>IF(OR($A59="",$E59=""),"",$C59/(1+$E59*$D59/DayBasis))</f>
        <v/>
      </c>
      <c r="H59" s="44">
        <f>IF(OR($A59="",$F59=""),"",$C59/(1+$F59*$D59/DayBasis))</f>
        <v/>
      </c>
      <c r="I59" s="7">
        <f>IF($A59="","",'02_Buyers'!$AU46)</f>
        <v/>
      </c>
      <c r="J59" s="7">
        <f>IF($A59="","",'02_Buyers'!$W46)</f>
        <v/>
      </c>
      <c r="K59" s="7">
        <f>IF(OR($A59="",$I59=""),"",IF(OR(AND($I59="부보 유리",$J59="N"),AND($I59="무보험 유리",$J59="Y")),"검토",""))</f>
        <v/>
      </c>
    </row>
    <row r="60">
      <c r="A60" s="7">
        <f>IF('02_Buyers'!$A47="","",'02_Buyers'!$A47)</f>
        <v/>
      </c>
      <c r="B60" s="7">
        <f>IF($A60="","",'02_Buyers'!$AK47)</f>
        <v/>
      </c>
      <c r="C60" s="44">
        <f>IF($A60="","",'02_Buyers'!$Z47)</f>
        <v/>
      </c>
      <c r="D60" s="45">
        <f>IF($A60="","",'02_Buyers'!$V47)</f>
        <v/>
      </c>
      <c r="E60" s="46">
        <f>IF($A60="","",'02_Buyers'!$AR47)</f>
        <v/>
      </c>
      <c r="F60" s="46">
        <f>IF($A60="","",'02_Buyers'!$AS47)</f>
        <v/>
      </c>
      <c r="G60" s="44">
        <f>IF(OR($A60="",$E60=""),"",$C60/(1+$E60*$D60/DayBasis))</f>
        <v/>
      </c>
      <c r="H60" s="44">
        <f>IF(OR($A60="",$F60=""),"",$C60/(1+$F60*$D60/DayBasis))</f>
        <v/>
      </c>
      <c r="I60" s="7">
        <f>IF($A60="","",'02_Buyers'!$AU47)</f>
        <v/>
      </c>
      <c r="J60" s="7">
        <f>IF($A60="","",'02_Buyers'!$W47)</f>
        <v/>
      </c>
      <c r="K60" s="7">
        <f>IF(OR($A60="",$I60=""),"",IF(OR(AND($I60="부보 유리",$J60="N"),AND($I60="무보험 유리",$J60="Y")),"검토",""))</f>
        <v/>
      </c>
    </row>
    <row r="61">
      <c r="A61" s="7">
        <f>IF('02_Buyers'!$A48="","",'02_Buyers'!$A48)</f>
        <v/>
      </c>
      <c r="B61" s="7">
        <f>IF($A61="","",'02_Buyers'!$AK48)</f>
        <v/>
      </c>
      <c r="C61" s="44">
        <f>IF($A61="","",'02_Buyers'!$Z48)</f>
        <v/>
      </c>
      <c r="D61" s="45">
        <f>IF($A61="","",'02_Buyers'!$V48)</f>
        <v/>
      </c>
      <c r="E61" s="46">
        <f>IF($A61="","",'02_Buyers'!$AR48)</f>
        <v/>
      </c>
      <c r="F61" s="46">
        <f>IF($A61="","",'02_Buyers'!$AS48)</f>
        <v/>
      </c>
      <c r="G61" s="44">
        <f>IF(OR($A61="",$E61=""),"",$C61/(1+$E61*$D61/DayBasis))</f>
        <v/>
      </c>
      <c r="H61" s="44">
        <f>IF(OR($A61="",$F61=""),"",$C61/(1+$F61*$D61/DayBasis))</f>
        <v/>
      </c>
      <c r="I61" s="7">
        <f>IF($A61="","",'02_Buyers'!$AU48)</f>
        <v/>
      </c>
      <c r="J61" s="7">
        <f>IF($A61="","",'02_Buyers'!$W48)</f>
        <v/>
      </c>
      <c r="K61" s="7">
        <f>IF(OR($A61="",$I61=""),"",IF(OR(AND($I61="부보 유리",$J61="N"),AND($I61="무보험 유리",$J61="Y")),"검토",""))</f>
        <v/>
      </c>
    </row>
    <row r="62">
      <c r="A62" s="7">
        <f>IF('02_Buyers'!$A49="","",'02_Buyers'!$A49)</f>
        <v/>
      </c>
      <c r="B62" s="7">
        <f>IF($A62="","",'02_Buyers'!$AK49)</f>
        <v/>
      </c>
      <c r="C62" s="44">
        <f>IF($A62="","",'02_Buyers'!$Z49)</f>
        <v/>
      </c>
      <c r="D62" s="45">
        <f>IF($A62="","",'02_Buyers'!$V49)</f>
        <v/>
      </c>
      <c r="E62" s="46">
        <f>IF($A62="","",'02_Buyers'!$AR49)</f>
        <v/>
      </c>
      <c r="F62" s="46">
        <f>IF($A62="","",'02_Buyers'!$AS49)</f>
        <v/>
      </c>
      <c r="G62" s="44">
        <f>IF(OR($A62="",$E62=""),"",$C62/(1+$E62*$D62/DayBasis))</f>
        <v/>
      </c>
      <c r="H62" s="44">
        <f>IF(OR($A62="",$F62=""),"",$C62/(1+$F62*$D62/DayBasis))</f>
        <v/>
      </c>
      <c r="I62" s="7">
        <f>IF($A62="","",'02_Buyers'!$AU49)</f>
        <v/>
      </c>
      <c r="J62" s="7">
        <f>IF($A62="","",'02_Buyers'!$W49)</f>
        <v/>
      </c>
      <c r="K62" s="7">
        <f>IF(OR($A62="",$I62=""),"",IF(OR(AND($I62="부보 유리",$J62="N"),AND($I62="무보험 유리",$J62="Y")),"검토",""))</f>
        <v/>
      </c>
    </row>
    <row r="63">
      <c r="A63" s="7">
        <f>IF('02_Buyers'!$A50="","",'02_Buyers'!$A50)</f>
        <v/>
      </c>
      <c r="B63" s="7">
        <f>IF($A63="","",'02_Buyers'!$AK50)</f>
        <v/>
      </c>
      <c r="C63" s="44">
        <f>IF($A63="","",'02_Buyers'!$Z50)</f>
        <v/>
      </c>
      <c r="D63" s="45">
        <f>IF($A63="","",'02_Buyers'!$V50)</f>
        <v/>
      </c>
      <c r="E63" s="46">
        <f>IF($A63="","",'02_Buyers'!$AR50)</f>
        <v/>
      </c>
      <c r="F63" s="46">
        <f>IF($A63="","",'02_Buyers'!$AS50)</f>
        <v/>
      </c>
      <c r="G63" s="44">
        <f>IF(OR($A63="",$E63=""),"",$C63/(1+$E63*$D63/DayBasis))</f>
        <v/>
      </c>
      <c r="H63" s="44">
        <f>IF(OR($A63="",$F63=""),"",$C63/(1+$F63*$D63/DayBasis))</f>
        <v/>
      </c>
      <c r="I63" s="7">
        <f>IF($A63="","",'02_Buyers'!$AU50)</f>
        <v/>
      </c>
      <c r="J63" s="7">
        <f>IF($A63="","",'02_Buyers'!$W50)</f>
        <v/>
      </c>
      <c r="K63" s="7">
        <f>IF(OR($A63="",$I63=""),"",IF(OR(AND($I63="부보 유리",$J63="N"),AND($I63="무보험 유리",$J63="Y")),"검토",""))</f>
        <v/>
      </c>
    </row>
    <row r="64">
      <c r="A64" s="7">
        <f>IF('02_Buyers'!$A51="","",'02_Buyers'!$A51)</f>
        <v/>
      </c>
      <c r="B64" s="7">
        <f>IF($A64="","",'02_Buyers'!$AK51)</f>
        <v/>
      </c>
      <c r="C64" s="44">
        <f>IF($A64="","",'02_Buyers'!$Z51)</f>
        <v/>
      </c>
      <c r="D64" s="45">
        <f>IF($A64="","",'02_Buyers'!$V51)</f>
        <v/>
      </c>
      <c r="E64" s="46">
        <f>IF($A64="","",'02_Buyers'!$AR51)</f>
        <v/>
      </c>
      <c r="F64" s="46">
        <f>IF($A64="","",'02_Buyers'!$AS51)</f>
        <v/>
      </c>
      <c r="G64" s="44">
        <f>IF(OR($A64="",$E64=""),"",$C64/(1+$E64*$D64/DayBasis))</f>
        <v/>
      </c>
      <c r="H64" s="44">
        <f>IF(OR($A64="",$F64=""),"",$C64/(1+$F64*$D64/DayBasis))</f>
        <v/>
      </c>
      <c r="I64" s="7">
        <f>IF($A64="","",'02_Buyers'!$AU51)</f>
        <v/>
      </c>
      <c r="J64" s="7">
        <f>IF($A64="","",'02_Buyers'!$W51)</f>
        <v/>
      </c>
      <c r="K64" s="7">
        <f>IF(OR($A64="",$I64=""),"",IF(OR(AND($I64="부보 유리",$J64="N"),AND($I64="무보험 유리",$J64="Y")),"검토",""))</f>
        <v/>
      </c>
    </row>
    <row r="65">
      <c r="A65" s="7">
        <f>IF('02_Buyers'!$A52="","",'02_Buyers'!$A52)</f>
        <v/>
      </c>
      <c r="B65" s="7">
        <f>IF($A65="","",'02_Buyers'!$AK52)</f>
        <v/>
      </c>
      <c r="C65" s="44">
        <f>IF($A65="","",'02_Buyers'!$Z52)</f>
        <v/>
      </c>
      <c r="D65" s="45">
        <f>IF($A65="","",'02_Buyers'!$V52)</f>
        <v/>
      </c>
      <c r="E65" s="46">
        <f>IF($A65="","",'02_Buyers'!$AR52)</f>
        <v/>
      </c>
      <c r="F65" s="46">
        <f>IF($A65="","",'02_Buyers'!$AS52)</f>
        <v/>
      </c>
      <c r="G65" s="44">
        <f>IF(OR($A65="",$E65=""),"",$C65/(1+$E65*$D65/DayBasis))</f>
        <v/>
      </c>
      <c r="H65" s="44">
        <f>IF(OR($A65="",$F65=""),"",$C65/(1+$F65*$D65/DayBasis))</f>
        <v/>
      </c>
      <c r="I65" s="7">
        <f>IF($A65="","",'02_Buyers'!$AU52)</f>
        <v/>
      </c>
      <c r="J65" s="7">
        <f>IF($A65="","",'02_Buyers'!$W52)</f>
        <v/>
      </c>
      <c r="K65" s="7">
        <f>IF(OR($A65="",$I65=""),"",IF(OR(AND($I65="부보 유리",$J65="N"),AND($I65="무보험 유리",$J65="Y")),"검토",""))</f>
        <v/>
      </c>
    </row>
    <row r="66">
      <c r="A66" s="7">
        <f>IF('02_Buyers'!$A53="","",'02_Buyers'!$A53)</f>
        <v/>
      </c>
      <c r="B66" s="7">
        <f>IF($A66="","",'02_Buyers'!$AK53)</f>
        <v/>
      </c>
      <c r="C66" s="44">
        <f>IF($A66="","",'02_Buyers'!$Z53)</f>
        <v/>
      </c>
      <c r="D66" s="45">
        <f>IF($A66="","",'02_Buyers'!$V53)</f>
        <v/>
      </c>
      <c r="E66" s="46">
        <f>IF($A66="","",'02_Buyers'!$AR53)</f>
        <v/>
      </c>
      <c r="F66" s="46">
        <f>IF($A66="","",'02_Buyers'!$AS53)</f>
        <v/>
      </c>
      <c r="G66" s="44">
        <f>IF(OR($A66="",$E66=""),"",$C66/(1+$E66*$D66/DayBasis))</f>
        <v/>
      </c>
      <c r="H66" s="44">
        <f>IF(OR($A66="",$F66=""),"",$C66/(1+$F66*$D66/DayBasis))</f>
        <v/>
      </c>
      <c r="I66" s="7">
        <f>IF($A66="","",'02_Buyers'!$AU53)</f>
        <v/>
      </c>
      <c r="J66" s="7">
        <f>IF($A66="","",'02_Buyers'!$W53)</f>
        <v/>
      </c>
      <c r="K66" s="7">
        <f>IF(OR($A66="",$I66=""),"",IF(OR(AND($I66="부보 유리",$J66="N"),AND($I66="무보험 유리",$J66="Y")),"검토",""))</f>
        <v/>
      </c>
    </row>
    <row r="67">
      <c r="A67" s="7">
        <f>IF('02_Buyers'!$A54="","",'02_Buyers'!$A54)</f>
        <v/>
      </c>
      <c r="B67" s="7">
        <f>IF($A67="","",'02_Buyers'!$AK54)</f>
        <v/>
      </c>
      <c r="C67" s="44">
        <f>IF($A67="","",'02_Buyers'!$Z54)</f>
        <v/>
      </c>
      <c r="D67" s="45">
        <f>IF($A67="","",'02_Buyers'!$V54)</f>
        <v/>
      </c>
      <c r="E67" s="46">
        <f>IF($A67="","",'02_Buyers'!$AR54)</f>
        <v/>
      </c>
      <c r="F67" s="46">
        <f>IF($A67="","",'02_Buyers'!$AS54)</f>
        <v/>
      </c>
      <c r="G67" s="44">
        <f>IF(OR($A67="",$E67=""),"",$C67/(1+$E67*$D67/DayBasis))</f>
        <v/>
      </c>
      <c r="H67" s="44">
        <f>IF(OR($A67="",$F67=""),"",$C67/(1+$F67*$D67/DayBasis))</f>
        <v/>
      </c>
      <c r="I67" s="7">
        <f>IF($A67="","",'02_Buyers'!$AU54)</f>
        <v/>
      </c>
      <c r="J67" s="7">
        <f>IF($A67="","",'02_Buyers'!$W54)</f>
        <v/>
      </c>
      <c r="K67" s="7">
        <f>IF(OR($A67="",$I67=""),"",IF(OR(AND($I67="부보 유리",$J67="N"),AND($I67="무보험 유리",$J67="Y")),"검토",""))</f>
        <v/>
      </c>
    </row>
    <row r="68">
      <c r="A68" s="7">
        <f>IF('02_Buyers'!$A55="","",'02_Buyers'!$A55)</f>
        <v/>
      </c>
      <c r="B68" s="7">
        <f>IF($A68="","",'02_Buyers'!$AK55)</f>
        <v/>
      </c>
      <c r="C68" s="44">
        <f>IF($A68="","",'02_Buyers'!$Z55)</f>
        <v/>
      </c>
      <c r="D68" s="45">
        <f>IF($A68="","",'02_Buyers'!$V55)</f>
        <v/>
      </c>
      <c r="E68" s="46">
        <f>IF($A68="","",'02_Buyers'!$AR55)</f>
        <v/>
      </c>
      <c r="F68" s="46">
        <f>IF($A68="","",'02_Buyers'!$AS55)</f>
        <v/>
      </c>
      <c r="G68" s="44">
        <f>IF(OR($A68="",$E68=""),"",$C68/(1+$E68*$D68/DayBasis))</f>
        <v/>
      </c>
      <c r="H68" s="44">
        <f>IF(OR($A68="",$F68=""),"",$C68/(1+$F68*$D68/DayBasis))</f>
        <v/>
      </c>
      <c r="I68" s="7">
        <f>IF($A68="","",'02_Buyers'!$AU55)</f>
        <v/>
      </c>
      <c r="J68" s="7">
        <f>IF($A68="","",'02_Buyers'!$W55)</f>
        <v/>
      </c>
      <c r="K68" s="7">
        <f>IF(OR($A68="",$I68=""),"",IF(OR(AND($I68="부보 유리",$J68="N"),AND($I68="무보험 유리",$J68="Y")),"검토",""))</f>
        <v/>
      </c>
    </row>
    <row r="69">
      <c r="A69" s="7">
        <f>IF('02_Buyers'!$A56="","",'02_Buyers'!$A56)</f>
        <v/>
      </c>
      <c r="B69" s="7">
        <f>IF($A69="","",'02_Buyers'!$AK56)</f>
        <v/>
      </c>
      <c r="C69" s="44">
        <f>IF($A69="","",'02_Buyers'!$Z56)</f>
        <v/>
      </c>
      <c r="D69" s="45">
        <f>IF($A69="","",'02_Buyers'!$V56)</f>
        <v/>
      </c>
      <c r="E69" s="46">
        <f>IF($A69="","",'02_Buyers'!$AR56)</f>
        <v/>
      </c>
      <c r="F69" s="46">
        <f>IF($A69="","",'02_Buyers'!$AS56)</f>
        <v/>
      </c>
      <c r="G69" s="44">
        <f>IF(OR($A69="",$E69=""),"",$C69/(1+$E69*$D69/DayBasis))</f>
        <v/>
      </c>
      <c r="H69" s="44">
        <f>IF(OR($A69="",$F69=""),"",$C69/(1+$F69*$D69/DayBasis))</f>
        <v/>
      </c>
      <c r="I69" s="7">
        <f>IF($A69="","",'02_Buyers'!$AU56)</f>
        <v/>
      </c>
      <c r="J69" s="7">
        <f>IF($A69="","",'02_Buyers'!$W56)</f>
        <v/>
      </c>
      <c r="K69" s="7">
        <f>IF(OR($A69="",$I69=""),"",IF(OR(AND($I69="부보 유리",$J69="N"),AND($I69="무보험 유리",$J69="Y")),"검토",""))</f>
        <v/>
      </c>
    </row>
    <row r="70">
      <c r="A70" s="7">
        <f>IF('02_Buyers'!$A57="","",'02_Buyers'!$A57)</f>
        <v/>
      </c>
      <c r="B70" s="7">
        <f>IF($A70="","",'02_Buyers'!$AK57)</f>
        <v/>
      </c>
      <c r="C70" s="44">
        <f>IF($A70="","",'02_Buyers'!$Z57)</f>
        <v/>
      </c>
      <c r="D70" s="45">
        <f>IF($A70="","",'02_Buyers'!$V57)</f>
        <v/>
      </c>
      <c r="E70" s="46">
        <f>IF($A70="","",'02_Buyers'!$AR57)</f>
        <v/>
      </c>
      <c r="F70" s="46">
        <f>IF($A70="","",'02_Buyers'!$AS57)</f>
        <v/>
      </c>
      <c r="G70" s="44">
        <f>IF(OR($A70="",$E70=""),"",$C70/(1+$E70*$D70/DayBasis))</f>
        <v/>
      </c>
      <c r="H70" s="44">
        <f>IF(OR($A70="",$F70=""),"",$C70/(1+$F70*$D70/DayBasis))</f>
        <v/>
      </c>
      <c r="I70" s="7">
        <f>IF($A70="","",'02_Buyers'!$AU57)</f>
        <v/>
      </c>
      <c r="J70" s="7">
        <f>IF($A70="","",'02_Buyers'!$W57)</f>
        <v/>
      </c>
      <c r="K70" s="7">
        <f>IF(OR($A70="",$I70=""),"",IF(OR(AND($I70="부보 유리",$J70="N"),AND($I70="무보험 유리",$J70="Y")),"검토",""))</f>
        <v/>
      </c>
    </row>
    <row r="71">
      <c r="A71" s="7">
        <f>IF('02_Buyers'!$A58="","",'02_Buyers'!$A58)</f>
        <v/>
      </c>
      <c r="B71" s="7">
        <f>IF($A71="","",'02_Buyers'!$AK58)</f>
        <v/>
      </c>
      <c r="C71" s="44">
        <f>IF($A71="","",'02_Buyers'!$Z58)</f>
        <v/>
      </c>
      <c r="D71" s="45">
        <f>IF($A71="","",'02_Buyers'!$V58)</f>
        <v/>
      </c>
      <c r="E71" s="46">
        <f>IF($A71="","",'02_Buyers'!$AR58)</f>
        <v/>
      </c>
      <c r="F71" s="46">
        <f>IF($A71="","",'02_Buyers'!$AS58)</f>
        <v/>
      </c>
      <c r="G71" s="44">
        <f>IF(OR($A71="",$E71=""),"",$C71/(1+$E71*$D71/DayBasis))</f>
        <v/>
      </c>
      <c r="H71" s="44">
        <f>IF(OR($A71="",$F71=""),"",$C71/(1+$F71*$D71/DayBasis))</f>
        <v/>
      </c>
      <c r="I71" s="7">
        <f>IF($A71="","",'02_Buyers'!$AU58)</f>
        <v/>
      </c>
      <c r="J71" s="7">
        <f>IF($A71="","",'02_Buyers'!$W58)</f>
        <v/>
      </c>
      <c r="K71" s="7">
        <f>IF(OR($A71="",$I71=""),"",IF(OR(AND($I71="부보 유리",$J71="N"),AND($I71="무보험 유리",$J71="Y")),"검토",""))</f>
        <v/>
      </c>
    </row>
    <row r="72">
      <c r="A72" s="7">
        <f>IF('02_Buyers'!$A59="","",'02_Buyers'!$A59)</f>
        <v/>
      </c>
      <c r="B72" s="7">
        <f>IF($A72="","",'02_Buyers'!$AK59)</f>
        <v/>
      </c>
      <c r="C72" s="44">
        <f>IF($A72="","",'02_Buyers'!$Z59)</f>
        <v/>
      </c>
      <c r="D72" s="45">
        <f>IF($A72="","",'02_Buyers'!$V59)</f>
        <v/>
      </c>
      <c r="E72" s="46">
        <f>IF($A72="","",'02_Buyers'!$AR59)</f>
        <v/>
      </c>
      <c r="F72" s="46">
        <f>IF($A72="","",'02_Buyers'!$AS59)</f>
        <v/>
      </c>
      <c r="G72" s="44">
        <f>IF(OR($A72="",$E72=""),"",$C72/(1+$E72*$D72/DayBasis))</f>
        <v/>
      </c>
      <c r="H72" s="44">
        <f>IF(OR($A72="",$F72=""),"",$C72/(1+$F72*$D72/DayBasis))</f>
        <v/>
      </c>
      <c r="I72" s="7">
        <f>IF($A72="","",'02_Buyers'!$AU59)</f>
        <v/>
      </c>
      <c r="J72" s="7">
        <f>IF($A72="","",'02_Buyers'!$W59)</f>
        <v/>
      </c>
      <c r="K72" s="7">
        <f>IF(OR($A72="",$I72=""),"",IF(OR(AND($I72="부보 유리",$J72="N"),AND($I72="무보험 유리",$J72="Y")),"검토",""))</f>
        <v/>
      </c>
    </row>
    <row r="73">
      <c r="A73" s="7">
        <f>IF('02_Buyers'!$A60="","",'02_Buyers'!$A60)</f>
        <v/>
      </c>
      <c r="B73" s="7">
        <f>IF($A73="","",'02_Buyers'!$AK60)</f>
        <v/>
      </c>
      <c r="C73" s="44">
        <f>IF($A73="","",'02_Buyers'!$Z60)</f>
        <v/>
      </c>
      <c r="D73" s="45">
        <f>IF($A73="","",'02_Buyers'!$V60)</f>
        <v/>
      </c>
      <c r="E73" s="46">
        <f>IF($A73="","",'02_Buyers'!$AR60)</f>
        <v/>
      </c>
      <c r="F73" s="46">
        <f>IF($A73="","",'02_Buyers'!$AS60)</f>
        <v/>
      </c>
      <c r="G73" s="44">
        <f>IF(OR($A73="",$E73=""),"",$C73/(1+$E73*$D73/DayBasis))</f>
        <v/>
      </c>
      <c r="H73" s="44">
        <f>IF(OR($A73="",$F73=""),"",$C73/(1+$F73*$D73/DayBasis))</f>
        <v/>
      </c>
      <c r="I73" s="7">
        <f>IF($A73="","",'02_Buyers'!$AU60)</f>
        <v/>
      </c>
      <c r="J73" s="7">
        <f>IF($A73="","",'02_Buyers'!$W60)</f>
        <v/>
      </c>
      <c r="K73" s="7">
        <f>IF(OR($A73="",$I73=""),"",IF(OR(AND($I73="부보 유리",$J73="N"),AND($I73="무보험 유리",$J73="Y")),"검토",""))</f>
        <v/>
      </c>
    </row>
    <row r="74">
      <c r="A74" s="7">
        <f>IF('02_Buyers'!$A61="","",'02_Buyers'!$A61)</f>
        <v/>
      </c>
      <c r="B74" s="7">
        <f>IF($A74="","",'02_Buyers'!$AK61)</f>
        <v/>
      </c>
      <c r="C74" s="44">
        <f>IF($A74="","",'02_Buyers'!$Z61)</f>
        <v/>
      </c>
      <c r="D74" s="45">
        <f>IF($A74="","",'02_Buyers'!$V61)</f>
        <v/>
      </c>
      <c r="E74" s="46">
        <f>IF($A74="","",'02_Buyers'!$AR61)</f>
        <v/>
      </c>
      <c r="F74" s="46">
        <f>IF($A74="","",'02_Buyers'!$AS61)</f>
        <v/>
      </c>
      <c r="G74" s="44">
        <f>IF(OR($A74="",$E74=""),"",$C74/(1+$E74*$D74/DayBasis))</f>
        <v/>
      </c>
      <c r="H74" s="44">
        <f>IF(OR($A74="",$F74=""),"",$C74/(1+$F74*$D74/DayBasis))</f>
        <v/>
      </c>
      <c r="I74" s="7">
        <f>IF($A74="","",'02_Buyers'!$AU61)</f>
        <v/>
      </c>
      <c r="J74" s="7">
        <f>IF($A74="","",'02_Buyers'!$W61)</f>
        <v/>
      </c>
      <c r="K74" s="7">
        <f>IF(OR($A74="",$I74=""),"",IF(OR(AND($I74="부보 유리",$J74="N"),AND($I74="무보험 유리",$J74="Y")),"검토",""))</f>
        <v/>
      </c>
    </row>
    <row r="75">
      <c r="A75" s="7">
        <f>IF('02_Buyers'!$A62="","",'02_Buyers'!$A62)</f>
        <v/>
      </c>
      <c r="B75" s="7">
        <f>IF($A75="","",'02_Buyers'!$AK62)</f>
        <v/>
      </c>
      <c r="C75" s="44">
        <f>IF($A75="","",'02_Buyers'!$Z62)</f>
        <v/>
      </c>
      <c r="D75" s="45">
        <f>IF($A75="","",'02_Buyers'!$V62)</f>
        <v/>
      </c>
      <c r="E75" s="46">
        <f>IF($A75="","",'02_Buyers'!$AR62)</f>
        <v/>
      </c>
      <c r="F75" s="46">
        <f>IF($A75="","",'02_Buyers'!$AS62)</f>
        <v/>
      </c>
      <c r="G75" s="44">
        <f>IF(OR($A75="",$E75=""),"",$C75/(1+$E75*$D75/DayBasis))</f>
        <v/>
      </c>
      <c r="H75" s="44">
        <f>IF(OR($A75="",$F75=""),"",$C75/(1+$F75*$D75/DayBasis))</f>
        <v/>
      </c>
      <c r="I75" s="7">
        <f>IF($A75="","",'02_Buyers'!$AU62)</f>
        <v/>
      </c>
      <c r="J75" s="7">
        <f>IF($A75="","",'02_Buyers'!$W62)</f>
        <v/>
      </c>
      <c r="K75" s="7">
        <f>IF(OR($A75="",$I75=""),"",IF(OR(AND($I75="부보 유리",$J75="N"),AND($I75="무보험 유리",$J75="Y")),"검토",""))</f>
        <v/>
      </c>
    </row>
    <row r="76">
      <c r="A76" s="7">
        <f>IF('02_Buyers'!$A63="","",'02_Buyers'!$A63)</f>
        <v/>
      </c>
      <c r="B76" s="7">
        <f>IF($A76="","",'02_Buyers'!$AK63)</f>
        <v/>
      </c>
      <c r="C76" s="44">
        <f>IF($A76="","",'02_Buyers'!$Z63)</f>
        <v/>
      </c>
      <c r="D76" s="45">
        <f>IF($A76="","",'02_Buyers'!$V63)</f>
        <v/>
      </c>
      <c r="E76" s="46">
        <f>IF($A76="","",'02_Buyers'!$AR63)</f>
        <v/>
      </c>
      <c r="F76" s="46">
        <f>IF($A76="","",'02_Buyers'!$AS63)</f>
        <v/>
      </c>
      <c r="G76" s="44">
        <f>IF(OR($A76="",$E76=""),"",$C76/(1+$E76*$D76/DayBasis))</f>
        <v/>
      </c>
      <c r="H76" s="44">
        <f>IF(OR($A76="",$F76=""),"",$C76/(1+$F76*$D76/DayBasis))</f>
        <v/>
      </c>
      <c r="I76" s="7">
        <f>IF($A76="","",'02_Buyers'!$AU63)</f>
        <v/>
      </c>
      <c r="J76" s="7">
        <f>IF($A76="","",'02_Buyers'!$W63)</f>
        <v/>
      </c>
      <c r="K76" s="7">
        <f>IF(OR($A76="",$I76=""),"",IF(OR(AND($I76="부보 유리",$J76="N"),AND($I76="무보험 유리",$J76="Y")),"검토",""))</f>
        <v/>
      </c>
    </row>
    <row r="77">
      <c r="A77" s="7">
        <f>IF('02_Buyers'!$A64="","",'02_Buyers'!$A64)</f>
        <v/>
      </c>
      <c r="B77" s="7">
        <f>IF($A77="","",'02_Buyers'!$AK64)</f>
        <v/>
      </c>
      <c r="C77" s="44">
        <f>IF($A77="","",'02_Buyers'!$Z64)</f>
        <v/>
      </c>
      <c r="D77" s="45">
        <f>IF($A77="","",'02_Buyers'!$V64)</f>
        <v/>
      </c>
      <c r="E77" s="46">
        <f>IF($A77="","",'02_Buyers'!$AR64)</f>
        <v/>
      </c>
      <c r="F77" s="46">
        <f>IF($A77="","",'02_Buyers'!$AS64)</f>
        <v/>
      </c>
      <c r="G77" s="44">
        <f>IF(OR($A77="",$E77=""),"",$C77/(1+$E77*$D77/DayBasis))</f>
        <v/>
      </c>
      <c r="H77" s="44">
        <f>IF(OR($A77="",$F77=""),"",$C77/(1+$F77*$D77/DayBasis))</f>
        <v/>
      </c>
      <c r="I77" s="7">
        <f>IF($A77="","",'02_Buyers'!$AU64)</f>
        <v/>
      </c>
      <c r="J77" s="7">
        <f>IF($A77="","",'02_Buyers'!$W64)</f>
        <v/>
      </c>
      <c r="K77" s="7">
        <f>IF(OR($A77="",$I77=""),"",IF(OR(AND($I77="부보 유리",$J77="N"),AND($I77="무보험 유리",$J77="Y")),"검토",""))</f>
        <v/>
      </c>
    </row>
    <row r="78">
      <c r="A78" s="7">
        <f>IF('02_Buyers'!$A65="","",'02_Buyers'!$A65)</f>
        <v/>
      </c>
      <c r="B78" s="7">
        <f>IF($A78="","",'02_Buyers'!$AK65)</f>
        <v/>
      </c>
      <c r="C78" s="44">
        <f>IF($A78="","",'02_Buyers'!$Z65)</f>
        <v/>
      </c>
      <c r="D78" s="45">
        <f>IF($A78="","",'02_Buyers'!$V65)</f>
        <v/>
      </c>
      <c r="E78" s="46">
        <f>IF($A78="","",'02_Buyers'!$AR65)</f>
        <v/>
      </c>
      <c r="F78" s="46">
        <f>IF($A78="","",'02_Buyers'!$AS65)</f>
        <v/>
      </c>
      <c r="G78" s="44">
        <f>IF(OR($A78="",$E78=""),"",$C78/(1+$E78*$D78/DayBasis))</f>
        <v/>
      </c>
      <c r="H78" s="44">
        <f>IF(OR($A78="",$F78=""),"",$C78/(1+$F78*$D78/DayBasis))</f>
        <v/>
      </c>
      <c r="I78" s="7">
        <f>IF($A78="","",'02_Buyers'!$AU65)</f>
        <v/>
      </c>
      <c r="J78" s="7">
        <f>IF($A78="","",'02_Buyers'!$W65)</f>
        <v/>
      </c>
      <c r="K78" s="7">
        <f>IF(OR($A78="",$I78=""),"",IF(OR(AND($I78="부보 유리",$J78="N"),AND($I78="무보험 유리",$J78="Y")),"검토",""))</f>
        <v/>
      </c>
    </row>
    <row r="79">
      <c r="A79" s="7">
        <f>IF('02_Buyers'!$A66="","",'02_Buyers'!$A66)</f>
        <v/>
      </c>
      <c r="B79" s="7">
        <f>IF($A79="","",'02_Buyers'!$AK66)</f>
        <v/>
      </c>
      <c r="C79" s="44">
        <f>IF($A79="","",'02_Buyers'!$Z66)</f>
        <v/>
      </c>
      <c r="D79" s="45">
        <f>IF($A79="","",'02_Buyers'!$V66)</f>
        <v/>
      </c>
      <c r="E79" s="46">
        <f>IF($A79="","",'02_Buyers'!$AR66)</f>
        <v/>
      </c>
      <c r="F79" s="46">
        <f>IF($A79="","",'02_Buyers'!$AS66)</f>
        <v/>
      </c>
      <c r="G79" s="44">
        <f>IF(OR($A79="",$E79=""),"",$C79/(1+$E79*$D79/DayBasis))</f>
        <v/>
      </c>
      <c r="H79" s="44">
        <f>IF(OR($A79="",$F79=""),"",$C79/(1+$F79*$D79/DayBasis))</f>
        <v/>
      </c>
      <c r="I79" s="7">
        <f>IF($A79="","",'02_Buyers'!$AU66)</f>
        <v/>
      </c>
      <c r="J79" s="7">
        <f>IF($A79="","",'02_Buyers'!$W66)</f>
        <v/>
      </c>
      <c r="K79" s="7">
        <f>IF(OR($A79="",$I79=""),"",IF(OR(AND($I79="부보 유리",$J79="N"),AND($I79="무보험 유리",$J79="Y")),"검토",""))</f>
        <v/>
      </c>
    </row>
    <row r="80">
      <c r="A80" s="7">
        <f>IF('02_Buyers'!$A67="","",'02_Buyers'!$A67)</f>
        <v/>
      </c>
      <c r="B80" s="7">
        <f>IF($A80="","",'02_Buyers'!$AK67)</f>
        <v/>
      </c>
      <c r="C80" s="44">
        <f>IF($A80="","",'02_Buyers'!$Z67)</f>
        <v/>
      </c>
      <c r="D80" s="45">
        <f>IF($A80="","",'02_Buyers'!$V67)</f>
        <v/>
      </c>
      <c r="E80" s="46">
        <f>IF($A80="","",'02_Buyers'!$AR67)</f>
        <v/>
      </c>
      <c r="F80" s="46">
        <f>IF($A80="","",'02_Buyers'!$AS67)</f>
        <v/>
      </c>
      <c r="G80" s="44">
        <f>IF(OR($A80="",$E80=""),"",$C80/(1+$E80*$D80/DayBasis))</f>
        <v/>
      </c>
      <c r="H80" s="44">
        <f>IF(OR($A80="",$F80=""),"",$C80/(1+$F80*$D80/DayBasis))</f>
        <v/>
      </c>
      <c r="I80" s="7">
        <f>IF($A80="","",'02_Buyers'!$AU67)</f>
        <v/>
      </c>
      <c r="J80" s="7">
        <f>IF($A80="","",'02_Buyers'!$W67)</f>
        <v/>
      </c>
      <c r="K80" s="7">
        <f>IF(OR($A80="",$I80=""),"",IF(OR(AND($I80="부보 유리",$J80="N"),AND($I80="무보험 유리",$J80="Y")),"검토",""))</f>
        <v/>
      </c>
    </row>
    <row r="81">
      <c r="A81" s="7">
        <f>IF('02_Buyers'!$A68="","",'02_Buyers'!$A68)</f>
        <v/>
      </c>
      <c r="B81" s="7">
        <f>IF($A81="","",'02_Buyers'!$AK68)</f>
        <v/>
      </c>
      <c r="C81" s="44">
        <f>IF($A81="","",'02_Buyers'!$Z68)</f>
        <v/>
      </c>
      <c r="D81" s="45">
        <f>IF($A81="","",'02_Buyers'!$V68)</f>
        <v/>
      </c>
      <c r="E81" s="46">
        <f>IF($A81="","",'02_Buyers'!$AR68)</f>
        <v/>
      </c>
      <c r="F81" s="46">
        <f>IF($A81="","",'02_Buyers'!$AS68)</f>
        <v/>
      </c>
      <c r="G81" s="44">
        <f>IF(OR($A81="",$E81=""),"",$C81/(1+$E81*$D81/DayBasis))</f>
        <v/>
      </c>
      <c r="H81" s="44">
        <f>IF(OR($A81="",$F81=""),"",$C81/(1+$F81*$D81/DayBasis))</f>
        <v/>
      </c>
      <c r="I81" s="7">
        <f>IF($A81="","",'02_Buyers'!$AU68)</f>
        <v/>
      </c>
      <c r="J81" s="7">
        <f>IF($A81="","",'02_Buyers'!$W68)</f>
        <v/>
      </c>
      <c r="K81" s="7">
        <f>IF(OR($A81="",$I81=""),"",IF(OR(AND($I81="부보 유리",$J81="N"),AND($I81="무보험 유리",$J81="Y")),"검토",""))</f>
        <v/>
      </c>
    </row>
    <row r="82">
      <c r="A82" s="7">
        <f>IF('02_Buyers'!$A69="","",'02_Buyers'!$A69)</f>
        <v/>
      </c>
      <c r="B82" s="7">
        <f>IF($A82="","",'02_Buyers'!$AK69)</f>
        <v/>
      </c>
      <c r="C82" s="44">
        <f>IF($A82="","",'02_Buyers'!$Z69)</f>
        <v/>
      </c>
      <c r="D82" s="45">
        <f>IF($A82="","",'02_Buyers'!$V69)</f>
        <v/>
      </c>
      <c r="E82" s="46">
        <f>IF($A82="","",'02_Buyers'!$AR69)</f>
        <v/>
      </c>
      <c r="F82" s="46">
        <f>IF($A82="","",'02_Buyers'!$AS69)</f>
        <v/>
      </c>
      <c r="G82" s="44">
        <f>IF(OR($A82="",$E82=""),"",$C82/(1+$E82*$D82/DayBasis))</f>
        <v/>
      </c>
      <c r="H82" s="44">
        <f>IF(OR($A82="",$F82=""),"",$C82/(1+$F82*$D82/DayBasis))</f>
        <v/>
      </c>
      <c r="I82" s="7">
        <f>IF($A82="","",'02_Buyers'!$AU69)</f>
        <v/>
      </c>
      <c r="J82" s="7">
        <f>IF($A82="","",'02_Buyers'!$W69)</f>
        <v/>
      </c>
      <c r="K82" s="7">
        <f>IF(OR($A82="",$I82=""),"",IF(OR(AND($I82="부보 유리",$J82="N"),AND($I82="무보험 유리",$J82="Y")),"검토",""))</f>
        <v/>
      </c>
    </row>
    <row r="83">
      <c r="A83" s="7">
        <f>IF('02_Buyers'!$A70="","",'02_Buyers'!$A70)</f>
        <v/>
      </c>
      <c r="B83" s="7">
        <f>IF($A83="","",'02_Buyers'!$AK70)</f>
        <v/>
      </c>
      <c r="C83" s="44">
        <f>IF($A83="","",'02_Buyers'!$Z70)</f>
        <v/>
      </c>
      <c r="D83" s="45">
        <f>IF($A83="","",'02_Buyers'!$V70)</f>
        <v/>
      </c>
      <c r="E83" s="46">
        <f>IF($A83="","",'02_Buyers'!$AR70)</f>
        <v/>
      </c>
      <c r="F83" s="46">
        <f>IF($A83="","",'02_Buyers'!$AS70)</f>
        <v/>
      </c>
      <c r="G83" s="44">
        <f>IF(OR($A83="",$E83=""),"",$C83/(1+$E83*$D83/DayBasis))</f>
        <v/>
      </c>
      <c r="H83" s="44">
        <f>IF(OR($A83="",$F83=""),"",$C83/(1+$F83*$D83/DayBasis))</f>
        <v/>
      </c>
      <c r="I83" s="7">
        <f>IF($A83="","",'02_Buyers'!$AU70)</f>
        <v/>
      </c>
      <c r="J83" s="7">
        <f>IF($A83="","",'02_Buyers'!$W70)</f>
        <v/>
      </c>
      <c r="K83" s="7">
        <f>IF(OR($A83="",$I83=""),"",IF(OR(AND($I83="부보 유리",$J83="N"),AND($I83="무보험 유리",$J83="Y")),"검토",""))</f>
        <v/>
      </c>
    </row>
    <row r="84">
      <c r="A84" s="7">
        <f>IF('02_Buyers'!$A71="","",'02_Buyers'!$A71)</f>
        <v/>
      </c>
      <c r="B84" s="7">
        <f>IF($A84="","",'02_Buyers'!$AK71)</f>
        <v/>
      </c>
      <c r="C84" s="44">
        <f>IF($A84="","",'02_Buyers'!$Z71)</f>
        <v/>
      </c>
      <c r="D84" s="45">
        <f>IF($A84="","",'02_Buyers'!$V71)</f>
        <v/>
      </c>
      <c r="E84" s="46">
        <f>IF($A84="","",'02_Buyers'!$AR71)</f>
        <v/>
      </c>
      <c r="F84" s="46">
        <f>IF($A84="","",'02_Buyers'!$AS71)</f>
        <v/>
      </c>
      <c r="G84" s="44">
        <f>IF(OR($A84="",$E84=""),"",$C84/(1+$E84*$D84/DayBasis))</f>
        <v/>
      </c>
      <c r="H84" s="44">
        <f>IF(OR($A84="",$F84=""),"",$C84/(1+$F84*$D84/DayBasis))</f>
        <v/>
      </c>
      <c r="I84" s="7">
        <f>IF($A84="","",'02_Buyers'!$AU71)</f>
        <v/>
      </c>
      <c r="J84" s="7">
        <f>IF($A84="","",'02_Buyers'!$W71)</f>
        <v/>
      </c>
      <c r="K84" s="7">
        <f>IF(OR($A84="",$I84=""),"",IF(OR(AND($I84="부보 유리",$J84="N"),AND($I84="무보험 유리",$J84="Y")),"검토",""))</f>
        <v/>
      </c>
    </row>
    <row r="85">
      <c r="A85" s="7">
        <f>IF('02_Buyers'!$A72="","",'02_Buyers'!$A72)</f>
        <v/>
      </c>
      <c r="B85" s="7">
        <f>IF($A85="","",'02_Buyers'!$AK72)</f>
        <v/>
      </c>
      <c r="C85" s="44">
        <f>IF($A85="","",'02_Buyers'!$Z72)</f>
        <v/>
      </c>
      <c r="D85" s="45">
        <f>IF($A85="","",'02_Buyers'!$V72)</f>
        <v/>
      </c>
      <c r="E85" s="46">
        <f>IF($A85="","",'02_Buyers'!$AR72)</f>
        <v/>
      </c>
      <c r="F85" s="46">
        <f>IF($A85="","",'02_Buyers'!$AS72)</f>
        <v/>
      </c>
      <c r="G85" s="44">
        <f>IF(OR($A85="",$E85=""),"",$C85/(1+$E85*$D85/DayBasis))</f>
        <v/>
      </c>
      <c r="H85" s="44">
        <f>IF(OR($A85="",$F85=""),"",$C85/(1+$F85*$D85/DayBasis))</f>
        <v/>
      </c>
      <c r="I85" s="7">
        <f>IF($A85="","",'02_Buyers'!$AU72)</f>
        <v/>
      </c>
      <c r="J85" s="7">
        <f>IF($A85="","",'02_Buyers'!$W72)</f>
        <v/>
      </c>
      <c r="K85" s="7">
        <f>IF(OR($A85="",$I85=""),"",IF(OR(AND($I85="부보 유리",$J85="N"),AND($I85="무보험 유리",$J85="Y")),"검토",""))</f>
        <v/>
      </c>
    </row>
    <row r="86">
      <c r="A86" s="7">
        <f>IF('02_Buyers'!$A73="","",'02_Buyers'!$A73)</f>
        <v/>
      </c>
      <c r="B86" s="7">
        <f>IF($A86="","",'02_Buyers'!$AK73)</f>
        <v/>
      </c>
      <c r="C86" s="44">
        <f>IF($A86="","",'02_Buyers'!$Z73)</f>
        <v/>
      </c>
      <c r="D86" s="45">
        <f>IF($A86="","",'02_Buyers'!$V73)</f>
        <v/>
      </c>
      <c r="E86" s="46">
        <f>IF($A86="","",'02_Buyers'!$AR73)</f>
        <v/>
      </c>
      <c r="F86" s="46">
        <f>IF($A86="","",'02_Buyers'!$AS73)</f>
        <v/>
      </c>
      <c r="G86" s="44">
        <f>IF(OR($A86="",$E86=""),"",$C86/(1+$E86*$D86/DayBasis))</f>
        <v/>
      </c>
      <c r="H86" s="44">
        <f>IF(OR($A86="",$F86=""),"",$C86/(1+$F86*$D86/DayBasis))</f>
        <v/>
      </c>
      <c r="I86" s="7">
        <f>IF($A86="","",'02_Buyers'!$AU73)</f>
        <v/>
      </c>
      <c r="J86" s="7">
        <f>IF($A86="","",'02_Buyers'!$W73)</f>
        <v/>
      </c>
      <c r="K86" s="7">
        <f>IF(OR($A86="",$I86=""),"",IF(OR(AND($I86="부보 유리",$J86="N"),AND($I86="무보험 유리",$J86="Y")),"검토",""))</f>
        <v/>
      </c>
    </row>
    <row r="87">
      <c r="A87" s="7">
        <f>IF('02_Buyers'!$A74="","",'02_Buyers'!$A74)</f>
        <v/>
      </c>
      <c r="B87" s="7">
        <f>IF($A87="","",'02_Buyers'!$AK74)</f>
        <v/>
      </c>
      <c r="C87" s="44">
        <f>IF($A87="","",'02_Buyers'!$Z74)</f>
        <v/>
      </c>
      <c r="D87" s="45">
        <f>IF($A87="","",'02_Buyers'!$V74)</f>
        <v/>
      </c>
      <c r="E87" s="46">
        <f>IF($A87="","",'02_Buyers'!$AR74)</f>
        <v/>
      </c>
      <c r="F87" s="46">
        <f>IF($A87="","",'02_Buyers'!$AS74)</f>
        <v/>
      </c>
      <c r="G87" s="44">
        <f>IF(OR($A87="",$E87=""),"",$C87/(1+$E87*$D87/DayBasis))</f>
        <v/>
      </c>
      <c r="H87" s="44">
        <f>IF(OR($A87="",$F87=""),"",$C87/(1+$F87*$D87/DayBasis))</f>
        <v/>
      </c>
      <c r="I87" s="7">
        <f>IF($A87="","",'02_Buyers'!$AU74)</f>
        <v/>
      </c>
      <c r="J87" s="7">
        <f>IF($A87="","",'02_Buyers'!$W74)</f>
        <v/>
      </c>
      <c r="K87" s="7">
        <f>IF(OR($A87="",$I87=""),"",IF(OR(AND($I87="부보 유리",$J87="N"),AND($I87="무보험 유리",$J87="Y")),"검토",""))</f>
        <v/>
      </c>
    </row>
    <row r="88">
      <c r="A88" s="7">
        <f>IF('02_Buyers'!$A75="","",'02_Buyers'!$A75)</f>
        <v/>
      </c>
      <c r="B88" s="7">
        <f>IF($A88="","",'02_Buyers'!$AK75)</f>
        <v/>
      </c>
      <c r="C88" s="44">
        <f>IF($A88="","",'02_Buyers'!$Z75)</f>
        <v/>
      </c>
      <c r="D88" s="45">
        <f>IF($A88="","",'02_Buyers'!$V75)</f>
        <v/>
      </c>
      <c r="E88" s="46">
        <f>IF($A88="","",'02_Buyers'!$AR75)</f>
        <v/>
      </c>
      <c r="F88" s="46">
        <f>IF($A88="","",'02_Buyers'!$AS75)</f>
        <v/>
      </c>
      <c r="G88" s="44">
        <f>IF(OR($A88="",$E88=""),"",$C88/(1+$E88*$D88/DayBasis))</f>
        <v/>
      </c>
      <c r="H88" s="44">
        <f>IF(OR($A88="",$F88=""),"",$C88/(1+$F88*$D88/DayBasis))</f>
        <v/>
      </c>
      <c r="I88" s="7">
        <f>IF($A88="","",'02_Buyers'!$AU75)</f>
        <v/>
      </c>
      <c r="J88" s="7">
        <f>IF($A88="","",'02_Buyers'!$W75)</f>
        <v/>
      </c>
      <c r="K88" s="7">
        <f>IF(OR($A88="",$I88=""),"",IF(OR(AND($I88="부보 유리",$J88="N"),AND($I88="무보험 유리",$J88="Y")),"검토",""))</f>
        <v/>
      </c>
    </row>
    <row r="89">
      <c r="A89" s="7">
        <f>IF('02_Buyers'!$A76="","",'02_Buyers'!$A76)</f>
        <v/>
      </c>
      <c r="B89" s="7">
        <f>IF($A89="","",'02_Buyers'!$AK76)</f>
        <v/>
      </c>
      <c r="C89" s="44">
        <f>IF($A89="","",'02_Buyers'!$Z76)</f>
        <v/>
      </c>
      <c r="D89" s="45">
        <f>IF($A89="","",'02_Buyers'!$V76)</f>
        <v/>
      </c>
      <c r="E89" s="46">
        <f>IF($A89="","",'02_Buyers'!$AR76)</f>
        <v/>
      </c>
      <c r="F89" s="46">
        <f>IF($A89="","",'02_Buyers'!$AS76)</f>
        <v/>
      </c>
      <c r="G89" s="44">
        <f>IF(OR($A89="",$E89=""),"",$C89/(1+$E89*$D89/DayBasis))</f>
        <v/>
      </c>
      <c r="H89" s="44">
        <f>IF(OR($A89="",$F89=""),"",$C89/(1+$F89*$D89/DayBasis))</f>
        <v/>
      </c>
      <c r="I89" s="7">
        <f>IF($A89="","",'02_Buyers'!$AU76)</f>
        <v/>
      </c>
      <c r="J89" s="7">
        <f>IF($A89="","",'02_Buyers'!$W76)</f>
        <v/>
      </c>
      <c r="K89" s="7">
        <f>IF(OR($A89="",$I89=""),"",IF(OR(AND($I89="부보 유리",$J89="N"),AND($I89="무보험 유리",$J89="Y")),"검토",""))</f>
        <v/>
      </c>
    </row>
    <row r="90">
      <c r="A90" s="7">
        <f>IF('02_Buyers'!$A77="","",'02_Buyers'!$A77)</f>
        <v/>
      </c>
      <c r="B90" s="7">
        <f>IF($A90="","",'02_Buyers'!$AK77)</f>
        <v/>
      </c>
      <c r="C90" s="44">
        <f>IF($A90="","",'02_Buyers'!$Z77)</f>
        <v/>
      </c>
      <c r="D90" s="45">
        <f>IF($A90="","",'02_Buyers'!$V77)</f>
        <v/>
      </c>
      <c r="E90" s="46">
        <f>IF($A90="","",'02_Buyers'!$AR77)</f>
        <v/>
      </c>
      <c r="F90" s="46">
        <f>IF($A90="","",'02_Buyers'!$AS77)</f>
        <v/>
      </c>
      <c r="G90" s="44">
        <f>IF(OR($A90="",$E90=""),"",$C90/(1+$E90*$D90/DayBasis))</f>
        <v/>
      </c>
      <c r="H90" s="44">
        <f>IF(OR($A90="",$F90=""),"",$C90/(1+$F90*$D90/DayBasis))</f>
        <v/>
      </c>
      <c r="I90" s="7">
        <f>IF($A90="","",'02_Buyers'!$AU77)</f>
        <v/>
      </c>
      <c r="J90" s="7">
        <f>IF($A90="","",'02_Buyers'!$W77)</f>
        <v/>
      </c>
      <c r="K90" s="7">
        <f>IF(OR($A90="",$I90=""),"",IF(OR(AND($I90="부보 유리",$J90="N"),AND($I90="무보험 유리",$J90="Y")),"검토",""))</f>
        <v/>
      </c>
    </row>
    <row r="91">
      <c r="A91" s="7">
        <f>IF('02_Buyers'!$A78="","",'02_Buyers'!$A78)</f>
        <v/>
      </c>
      <c r="B91" s="7">
        <f>IF($A91="","",'02_Buyers'!$AK78)</f>
        <v/>
      </c>
      <c r="C91" s="44">
        <f>IF($A91="","",'02_Buyers'!$Z78)</f>
        <v/>
      </c>
      <c r="D91" s="45">
        <f>IF($A91="","",'02_Buyers'!$V78)</f>
        <v/>
      </c>
      <c r="E91" s="46">
        <f>IF($A91="","",'02_Buyers'!$AR78)</f>
        <v/>
      </c>
      <c r="F91" s="46">
        <f>IF($A91="","",'02_Buyers'!$AS78)</f>
        <v/>
      </c>
      <c r="G91" s="44">
        <f>IF(OR($A91="",$E91=""),"",$C91/(1+$E91*$D91/DayBasis))</f>
        <v/>
      </c>
      <c r="H91" s="44">
        <f>IF(OR($A91="",$F91=""),"",$C91/(1+$F91*$D91/DayBasis))</f>
        <v/>
      </c>
      <c r="I91" s="7">
        <f>IF($A91="","",'02_Buyers'!$AU78)</f>
        <v/>
      </c>
      <c r="J91" s="7">
        <f>IF($A91="","",'02_Buyers'!$W78)</f>
        <v/>
      </c>
      <c r="K91" s="7">
        <f>IF(OR($A91="",$I91=""),"",IF(OR(AND($I91="부보 유리",$J91="N"),AND($I91="무보험 유리",$J91="Y")),"검토",""))</f>
        <v/>
      </c>
    </row>
    <row r="92">
      <c r="A92" s="7">
        <f>IF('02_Buyers'!$A79="","",'02_Buyers'!$A79)</f>
        <v/>
      </c>
      <c r="B92" s="7">
        <f>IF($A92="","",'02_Buyers'!$AK79)</f>
        <v/>
      </c>
      <c r="C92" s="44">
        <f>IF($A92="","",'02_Buyers'!$Z79)</f>
        <v/>
      </c>
      <c r="D92" s="45">
        <f>IF($A92="","",'02_Buyers'!$V79)</f>
        <v/>
      </c>
      <c r="E92" s="46">
        <f>IF($A92="","",'02_Buyers'!$AR79)</f>
        <v/>
      </c>
      <c r="F92" s="46">
        <f>IF($A92="","",'02_Buyers'!$AS79)</f>
        <v/>
      </c>
      <c r="G92" s="44">
        <f>IF(OR($A92="",$E92=""),"",$C92/(1+$E92*$D92/DayBasis))</f>
        <v/>
      </c>
      <c r="H92" s="44">
        <f>IF(OR($A92="",$F92=""),"",$C92/(1+$F92*$D92/DayBasis))</f>
        <v/>
      </c>
      <c r="I92" s="7">
        <f>IF($A92="","",'02_Buyers'!$AU79)</f>
        <v/>
      </c>
      <c r="J92" s="7">
        <f>IF($A92="","",'02_Buyers'!$W79)</f>
        <v/>
      </c>
      <c r="K92" s="7">
        <f>IF(OR($A92="",$I92=""),"",IF(OR(AND($I92="부보 유리",$J92="N"),AND($I92="무보험 유리",$J92="Y")),"검토",""))</f>
        <v/>
      </c>
    </row>
    <row r="93">
      <c r="A93" s="7">
        <f>IF('02_Buyers'!$A80="","",'02_Buyers'!$A80)</f>
        <v/>
      </c>
      <c r="B93" s="7">
        <f>IF($A93="","",'02_Buyers'!$AK80)</f>
        <v/>
      </c>
      <c r="C93" s="44">
        <f>IF($A93="","",'02_Buyers'!$Z80)</f>
        <v/>
      </c>
      <c r="D93" s="45">
        <f>IF($A93="","",'02_Buyers'!$V80)</f>
        <v/>
      </c>
      <c r="E93" s="46">
        <f>IF($A93="","",'02_Buyers'!$AR80)</f>
        <v/>
      </c>
      <c r="F93" s="46">
        <f>IF($A93="","",'02_Buyers'!$AS80)</f>
        <v/>
      </c>
      <c r="G93" s="44">
        <f>IF(OR($A93="",$E93=""),"",$C93/(1+$E93*$D93/DayBasis))</f>
        <v/>
      </c>
      <c r="H93" s="44">
        <f>IF(OR($A93="",$F93=""),"",$C93/(1+$F93*$D93/DayBasis))</f>
        <v/>
      </c>
      <c r="I93" s="7">
        <f>IF($A93="","",'02_Buyers'!$AU80)</f>
        <v/>
      </c>
      <c r="J93" s="7">
        <f>IF($A93="","",'02_Buyers'!$W80)</f>
        <v/>
      </c>
      <c r="K93" s="7">
        <f>IF(OR($A93="",$I93=""),"",IF(OR(AND($I93="부보 유리",$J93="N"),AND($I93="무보험 유리",$J93="Y")),"검토",""))</f>
        <v/>
      </c>
    </row>
    <row r="94">
      <c r="A94" s="7">
        <f>IF('02_Buyers'!$A81="","",'02_Buyers'!$A81)</f>
        <v/>
      </c>
      <c r="B94" s="7">
        <f>IF($A94="","",'02_Buyers'!$AK81)</f>
        <v/>
      </c>
      <c r="C94" s="44">
        <f>IF($A94="","",'02_Buyers'!$Z81)</f>
        <v/>
      </c>
      <c r="D94" s="45">
        <f>IF($A94="","",'02_Buyers'!$V81)</f>
        <v/>
      </c>
      <c r="E94" s="46">
        <f>IF($A94="","",'02_Buyers'!$AR81)</f>
        <v/>
      </c>
      <c r="F94" s="46">
        <f>IF($A94="","",'02_Buyers'!$AS81)</f>
        <v/>
      </c>
      <c r="G94" s="44">
        <f>IF(OR($A94="",$E94=""),"",$C94/(1+$E94*$D94/DayBasis))</f>
        <v/>
      </c>
      <c r="H94" s="44">
        <f>IF(OR($A94="",$F94=""),"",$C94/(1+$F94*$D94/DayBasis))</f>
        <v/>
      </c>
      <c r="I94" s="7">
        <f>IF($A94="","",'02_Buyers'!$AU81)</f>
        <v/>
      </c>
      <c r="J94" s="7">
        <f>IF($A94="","",'02_Buyers'!$W81)</f>
        <v/>
      </c>
      <c r="K94" s="7">
        <f>IF(OR($A94="",$I94=""),"",IF(OR(AND($I94="부보 유리",$J94="N"),AND($I94="무보험 유리",$J94="Y")),"검토",""))</f>
        <v/>
      </c>
    </row>
    <row r="95">
      <c r="A95" s="7">
        <f>IF('02_Buyers'!$A82="","",'02_Buyers'!$A82)</f>
        <v/>
      </c>
      <c r="B95" s="7">
        <f>IF($A95="","",'02_Buyers'!$AK82)</f>
        <v/>
      </c>
      <c r="C95" s="44">
        <f>IF($A95="","",'02_Buyers'!$Z82)</f>
        <v/>
      </c>
      <c r="D95" s="45">
        <f>IF($A95="","",'02_Buyers'!$V82)</f>
        <v/>
      </c>
      <c r="E95" s="46">
        <f>IF($A95="","",'02_Buyers'!$AR82)</f>
        <v/>
      </c>
      <c r="F95" s="46">
        <f>IF($A95="","",'02_Buyers'!$AS82)</f>
        <v/>
      </c>
      <c r="G95" s="44">
        <f>IF(OR($A95="",$E95=""),"",$C95/(1+$E95*$D95/DayBasis))</f>
        <v/>
      </c>
      <c r="H95" s="44">
        <f>IF(OR($A95="",$F95=""),"",$C95/(1+$F95*$D95/DayBasis))</f>
        <v/>
      </c>
      <c r="I95" s="7">
        <f>IF($A95="","",'02_Buyers'!$AU82)</f>
        <v/>
      </c>
      <c r="J95" s="7">
        <f>IF($A95="","",'02_Buyers'!$W82)</f>
        <v/>
      </c>
      <c r="K95" s="7">
        <f>IF(OR($A95="",$I95=""),"",IF(OR(AND($I95="부보 유리",$J95="N"),AND($I95="무보험 유리",$J95="Y")),"검토",""))</f>
        <v/>
      </c>
    </row>
    <row r="96">
      <c r="A96" s="7">
        <f>IF('02_Buyers'!$A83="","",'02_Buyers'!$A83)</f>
        <v/>
      </c>
      <c r="B96" s="7">
        <f>IF($A96="","",'02_Buyers'!$AK83)</f>
        <v/>
      </c>
      <c r="C96" s="44">
        <f>IF($A96="","",'02_Buyers'!$Z83)</f>
        <v/>
      </c>
      <c r="D96" s="45">
        <f>IF($A96="","",'02_Buyers'!$V83)</f>
        <v/>
      </c>
      <c r="E96" s="46">
        <f>IF($A96="","",'02_Buyers'!$AR83)</f>
        <v/>
      </c>
      <c r="F96" s="46">
        <f>IF($A96="","",'02_Buyers'!$AS83)</f>
        <v/>
      </c>
      <c r="G96" s="44">
        <f>IF(OR($A96="",$E96=""),"",$C96/(1+$E96*$D96/DayBasis))</f>
        <v/>
      </c>
      <c r="H96" s="44">
        <f>IF(OR($A96="",$F96=""),"",$C96/(1+$F96*$D96/DayBasis))</f>
        <v/>
      </c>
      <c r="I96" s="7">
        <f>IF($A96="","",'02_Buyers'!$AU83)</f>
        <v/>
      </c>
      <c r="J96" s="7">
        <f>IF($A96="","",'02_Buyers'!$W83)</f>
        <v/>
      </c>
      <c r="K96" s="7">
        <f>IF(OR($A96="",$I96=""),"",IF(OR(AND($I96="부보 유리",$J96="N"),AND($I96="무보험 유리",$J96="Y")),"검토",""))</f>
        <v/>
      </c>
    </row>
    <row r="97">
      <c r="A97" s="7">
        <f>IF('02_Buyers'!$A84="","",'02_Buyers'!$A84)</f>
        <v/>
      </c>
      <c r="B97" s="7">
        <f>IF($A97="","",'02_Buyers'!$AK84)</f>
        <v/>
      </c>
      <c r="C97" s="44">
        <f>IF($A97="","",'02_Buyers'!$Z84)</f>
        <v/>
      </c>
      <c r="D97" s="45">
        <f>IF($A97="","",'02_Buyers'!$V84)</f>
        <v/>
      </c>
      <c r="E97" s="46">
        <f>IF($A97="","",'02_Buyers'!$AR84)</f>
        <v/>
      </c>
      <c r="F97" s="46">
        <f>IF($A97="","",'02_Buyers'!$AS84)</f>
        <v/>
      </c>
      <c r="G97" s="44">
        <f>IF(OR($A97="",$E97=""),"",$C97/(1+$E97*$D97/DayBasis))</f>
        <v/>
      </c>
      <c r="H97" s="44">
        <f>IF(OR($A97="",$F97=""),"",$C97/(1+$F97*$D97/DayBasis))</f>
        <v/>
      </c>
      <c r="I97" s="7">
        <f>IF($A97="","",'02_Buyers'!$AU84)</f>
        <v/>
      </c>
      <c r="J97" s="7">
        <f>IF($A97="","",'02_Buyers'!$W84)</f>
        <v/>
      </c>
      <c r="K97" s="7">
        <f>IF(OR($A97="",$I97=""),"",IF(OR(AND($I97="부보 유리",$J97="N"),AND($I97="무보험 유리",$J97="Y")),"검토",""))</f>
        <v/>
      </c>
    </row>
    <row r="98">
      <c r="A98" s="7">
        <f>IF('02_Buyers'!$A85="","",'02_Buyers'!$A85)</f>
        <v/>
      </c>
      <c r="B98" s="7">
        <f>IF($A98="","",'02_Buyers'!$AK85)</f>
        <v/>
      </c>
      <c r="C98" s="44">
        <f>IF($A98="","",'02_Buyers'!$Z85)</f>
        <v/>
      </c>
      <c r="D98" s="45">
        <f>IF($A98="","",'02_Buyers'!$V85)</f>
        <v/>
      </c>
      <c r="E98" s="46">
        <f>IF($A98="","",'02_Buyers'!$AR85)</f>
        <v/>
      </c>
      <c r="F98" s="46">
        <f>IF($A98="","",'02_Buyers'!$AS85)</f>
        <v/>
      </c>
      <c r="G98" s="44">
        <f>IF(OR($A98="",$E98=""),"",$C98/(1+$E98*$D98/DayBasis))</f>
        <v/>
      </c>
      <c r="H98" s="44">
        <f>IF(OR($A98="",$F98=""),"",$C98/(1+$F98*$D98/DayBasis))</f>
        <v/>
      </c>
      <c r="I98" s="7">
        <f>IF($A98="","",'02_Buyers'!$AU85)</f>
        <v/>
      </c>
      <c r="J98" s="7">
        <f>IF($A98="","",'02_Buyers'!$W85)</f>
        <v/>
      </c>
      <c r="K98" s="7">
        <f>IF(OR($A98="",$I98=""),"",IF(OR(AND($I98="부보 유리",$J98="N"),AND($I98="무보험 유리",$J98="Y")),"검토",""))</f>
        <v/>
      </c>
    </row>
    <row r="99">
      <c r="A99" s="7">
        <f>IF('02_Buyers'!$A86="","",'02_Buyers'!$A86)</f>
        <v/>
      </c>
      <c r="B99" s="7">
        <f>IF($A99="","",'02_Buyers'!$AK86)</f>
        <v/>
      </c>
      <c r="C99" s="44">
        <f>IF($A99="","",'02_Buyers'!$Z86)</f>
        <v/>
      </c>
      <c r="D99" s="45">
        <f>IF($A99="","",'02_Buyers'!$V86)</f>
        <v/>
      </c>
      <c r="E99" s="46">
        <f>IF($A99="","",'02_Buyers'!$AR86)</f>
        <v/>
      </c>
      <c r="F99" s="46">
        <f>IF($A99="","",'02_Buyers'!$AS86)</f>
        <v/>
      </c>
      <c r="G99" s="44">
        <f>IF(OR($A99="",$E99=""),"",$C99/(1+$E99*$D99/DayBasis))</f>
        <v/>
      </c>
      <c r="H99" s="44">
        <f>IF(OR($A99="",$F99=""),"",$C99/(1+$F99*$D99/DayBasis))</f>
        <v/>
      </c>
      <c r="I99" s="7">
        <f>IF($A99="","",'02_Buyers'!$AU86)</f>
        <v/>
      </c>
      <c r="J99" s="7">
        <f>IF($A99="","",'02_Buyers'!$W86)</f>
        <v/>
      </c>
      <c r="K99" s="7">
        <f>IF(OR($A99="",$I99=""),"",IF(OR(AND($I99="부보 유리",$J99="N"),AND($I99="무보험 유리",$J99="Y")),"검토",""))</f>
        <v/>
      </c>
    </row>
    <row r="100">
      <c r="A100" s="7">
        <f>IF('02_Buyers'!$A87="","",'02_Buyers'!$A87)</f>
        <v/>
      </c>
      <c r="B100" s="7">
        <f>IF($A100="","",'02_Buyers'!$AK87)</f>
        <v/>
      </c>
      <c r="C100" s="44">
        <f>IF($A100="","",'02_Buyers'!$Z87)</f>
        <v/>
      </c>
      <c r="D100" s="45">
        <f>IF($A100="","",'02_Buyers'!$V87)</f>
        <v/>
      </c>
      <c r="E100" s="46">
        <f>IF($A100="","",'02_Buyers'!$AR87)</f>
        <v/>
      </c>
      <c r="F100" s="46">
        <f>IF($A100="","",'02_Buyers'!$AS87)</f>
        <v/>
      </c>
      <c r="G100" s="44">
        <f>IF(OR($A100="",$E100=""),"",$C100/(1+$E100*$D100/DayBasis))</f>
        <v/>
      </c>
      <c r="H100" s="44">
        <f>IF(OR($A100="",$F100=""),"",$C100/(1+$F100*$D100/DayBasis))</f>
        <v/>
      </c>
      <c r="I100" s="7">
        <f>IF($A100="","",'02_Buyers'!$AU87)</f>
        <v/>
      </c>
      <c r="J100" s="7">
        <f>IF($A100="","",'02_Buyers'!$W87)</f>
        <v/>
      </c>
      <c r="K100" s="7">
        <f>IF(OR($A100="",$I100=""),"",IF(OR(AND($I100="부보 유리",$J100="N"),AND($I100="무보험 유리",$J100="Y")),"검토",""))</f>
        <v/>
      </c>
    </row>
    <row r="101">
      <c r="A101" s="7">
        <f>IF('02_Buyers'!$A88="","",'02_Buyers'!$A88)</f>
        <v/>
      </c>
      <c r="B101" s="7">
        <f>IF($A101="","",'02_Buyers'!$AK88)</f>
        <v/>
      </c>
      <c r="C101" s="44">
        <f>IF($A101="","",'02_Buyers'!$Z88)</f>
        <v/>
      </c>
      <c r="D101" s="45">
        <f>IF($A101="","",'02_Buyers'!$V88)</f>
        <v/>
      </c>
      <c r="E101" s="46">
        <f>IF($A101="","",'02_Buyers'!$AR88)</f>
        <v/>
      </c>
      <c r="F101" s="46">
        <f>IF($A101="","",'02_Buyers'!$AS88)</f>
        <v/>
      </c>
      <c r="G101" s="44">
        <f>IF(OR($A101="",$E101=""),"",$C101/(1+$E101*$D101/DayBasis))</f>
        <v/>
      </c>
      <c r="H101" s="44">
        <f>IF(OR($A101="",$F101=""),"",$C101/(1+$F101*$D101/DayBasis))</f>
        <v/>
      </c>
      <c r="I101" s="7">
        <f>IF($A101="","",'02_Buyers'!$AU88)</f>
        <v/>
      </c>
      <c r="J101" s="7">
        <f>IF($A101="","",'02_Buyers'!$W88)</f>
        <v/>
      </c>
      <c r="K101" s="7">
        <f>IF(OR($A101="",$I101=""),"",IF(OR(AND($I101="부보 유리",$J101="N"),AND($I101="무보험 유리",$J101="Y")),"검토",""))</f>
        <v/>
      </c>
    </row>
    <row r="102">
      <c r="A102" s="7">
        <f>IF('02_Buyers'!$A89="","",'02_Buyers'!$A89)</f>
        <v/>
      </c>
      <c r="B102" s="7">
        <f>IF($A102="","",'02_Buyers'!$AK89)</f>
        <v/>
      </c>
      <c r="C102" s="44">
        <f>IF($A102="","",'02_Buyers'!$Z89)</f>
        <v/>
      </c>
      <c r="D102" s="45">
        <f>IF($A102="","",'02_Buyers'!$V89)</f>
        <v/>
      </c>
      <c r="E102" s="46">
        <f>IF($A102="","",'02_Buyers'!$AR89)</f>
        <v/>
      </c>
      <c r="F102" s="46">
        <f>IF($A102="","",'02_Buyers'!$AS89)</f>
        <v/>
      </c>
      <c r="G102" s="44">
        <f>IF(OR($A102="",$E102=""),"",$C102/(1+$E102*$D102/DayBasis))</f>
        <v/>
      </c>
      <c r="H102" s="44">
        <f>IF(OR($A102="",$F102=""),"",$C102/(1+$F102*$D102/DayBasis))</f>
        <v/>
      </c>
      <c r="I102" s="7">
        <f>IF($A102="","",'02_Buyers'!$AU89)</f>
        <v/>
      </c>
      <c r="J102" s="7">
        <f>IF($A102="","",'02_Buyers'!$W89)</f>
        <v/>
      </c>
      <c r="K102" s="7">
        <f>IF(OR($A102="",$I102=""),"",IF(OR(AND($I102="부보 유리",$J102="N"),AND($I102="무보험 유리",$J102="Y")),"검토",""))</f>
        <v/>
      </c>
    </row>
    <row r="103">
      <c r="A103" s="7">
        <f>IF('02_Buyers'!$A90="","",'02_Buyers'!$A90)</f>
        <v/>
      </c>
      <c r="B103" s="7">
        <f>IF($A103="","",'02_Buyers'!$AK90)</f>
        <v/>
      </c>
      <c r="C103" s="44">
        <f>IF($A103="","",'02_Buyers'!$Z90)</f>
        <v/>
      </c>
      <c r="D103" s="45">
        <f>IF($A103="","",'02_Buyers'!$V90)</f>
        <v/>
      </c>
      <c r="E103" s="46">
        <f>IF($A103="","",'02_Buyers'!$AR90)</f>
        <v/>
      </c>
      <c r="F103" s="46">
        <f>IF($A103="","",'02_Buyers'!$AS90)</f>
        <v/>
      </c>
      <c r="G103" s="44">
        <f>IF(OR($A103="",$E103=""),"",$C103/(1+$E103*$D103/DayBasis))</f>
        <v/>
      </c>
      <c r="H103" s="44">
        <f>IF(OR($A103="",$F103=""),"",$C103/(1+$F103*$D103/DayBasis))</f>
        <v/>
      </c>
      <c r="I103" s="7">
        <f>IF($A103="","",'02_Buyers'!$AU90)</f>
        <v/>
      </c>
      <c r="J103" s="7">
        <f>IF($A103="","",'02_Buyers'!$W90)</f>
        <v/>
      </c>
      <c r="K103" s="7">
        <f>IF(OR($A103="",$I103=""),"",IF(OR(AND($I103="부보 유리",$J103="N"),AND($I103="무보험 유리",$J103="Y")),"검토",""))</f>
        <v/>
      </c>
    </row>
    <row r="104">
      <c r="A104" s="7">
        <f>IF('02_Buyers'!$A91="","",'02_Buyers'!$A91)</f>
        <v/>
      </c>
      <c r="B104" s="7">
        <f>IF($A104="","",'02_Buyers'!$AK91)</f>
        <v/>
      </c>
      <c r="C104" s="44">
        <f>IF($A104="","",'02_Buyers'!$Z91)</f>
        <v/>
      </c>
      <c r="D104" s="45">
        <f>IF($A104="","",'02_Buyers'!$V91)</f>
        <v/>
      </c>
      <c r="E104" s="46">
        <f>IF($A104="","",'02_Buyers'!$AR91)</f>
        <v/>
      </c>
      <c r="F104" s="46">
        <f>IF($A104="","",'02_Buyers'!$AS91)</f>
        <v/>
      </c>
      <c r="G104" s="44">
        <f>IF(OR($A104="",$E104=""),"",$C104/(1+$E104*$D104/DayBasis))</f>
        <v/>
      </c>
      <c r="H104" s="44">
        <f>IF(OR($A104="",$F104=""),"",$C104/(1+$F104*$D104/DayBasis))</f>
        <v/>
      </c>
      <c r="I104" s="7">
        <f>IF($A104="","",'02_Buyers'!$AU91)</f>
        <v/>
      </c>
      <c r="J104" s="7">
        <f>IF($A104="","",'02_Buyers'!$W91)</f>
        <v/>
      </c>
      <c r="K104" s="7">
        <f>IF(OR($A104="",$I104=""),"",IF(OR(AND($I104="부보 유리",$J104="N"),AND($I104="무보험 유리",$J104="Y")),"검토",""))</f>
        <v/>
      </c>
    </row>
    <row r="105">
      <c r="A105" s="7">
        <f>IF('02_Buyers'!$A92="","",'02_Buyers'!$A92)</f>
        <v/>
      </c>
      <c r="B105" s="7">
        <f>IF($A105="","",'02_Buyers'!$AK92)</f>
        <v/>
      </c>
      <c r="C105" s="44">
        <f>IF($A105="","",'02_Buyers'!$Z92)</f>
        <v/>
      </c>
      <c r="D105" s="45">
        <f>IF($A105="","",'02_Buyers'!$V92)</f>
        <v/>
      </c>
      <c r="E105" s="46">
        <f>IF($A105="","",'02_Buyers'!$AR92)</f>
        <v/>
      </c>
      <c r="F105" s="46">
        <f>IF($A105="","",'02_Buyers'!$AS92)</f>
        <v/>
      </c>
      <c r="G105" s="44">
        <f>IF(OR($A105="",$E105=""),"",$C105/(1+$E105*$D105/DayBasis))</f>
        <v/>
      </c>
      <c r="H105" s="44">
        <f>IF(OR($A105="",$F105=""),"",$C105/(1+$F105*$D105/DayBasis))</f>
        <v/>
      </c>
      <c r="I105" s="7">
        <f>IF($A105="","",'02_Buyers'!$AU92)</f>
        <v/>
      </c>
      <c r="J105" s="7">
        <f>IF($A105="","",'02_Buyers'!$W92)</f>
        <v/>
      </c>
      <c r="K105" s="7">
        <f>IF(OR($A105="",$I105=""),"",IF(OR(AND($I105="부보 유리",$J105="N"),AND($I105="무보험 유리",$J105="Y")),"검토",""))</f>
        <v/>
      </c>
    </row>
    <row r="106">
      <c r="A106" s="7">
        <f>IF('02_Buyers'!$A93="","",'02_Buyers'!$A93)</f>
        <v/>
      </c>
      <c r="B106" s="7">
        <f>IF($A106="","",'02_Buyers'!$AK93)</f>
        <v/>
      </c>
      <c r="C106" s="44">
        <f>IF($A106="","",'02_Buyers'!$Z93)</f>
        <v/>
      </c>
      <c r="D106" s="45">
        <f>IF($A106="","",'02_Buyers'!$V93)</f>
        <v/>
      </c>
      <c r="E106" s="46">
        <f>IF($A106="","",'02_Buyers'!$AR93)</f>
        <v/>
      </c>
      <c r="F106" s="46">
        <f>IF($A106="","",'02_Buyers'!$AS93)</f>
        <v/>
      </c>
      <c r="G106" s="44">
        <f>IF(OR($A106="",$E106=""),"",$C106/(1+$E106*$D106/DayBasis))</f>
        <v/>
      </c>
      <c r="H106" s="44">
        <f>IF(OR($A106="",$F106=""),"",$C106/(1+$F106*$D106/DayBasis))</f>
        <v/>
      </c>
      <c r="I106" s="7">
        <f>IF($A106="","",'02_Buyers'!$AU93)</f>
        <v/>
      </c>
      <c r="J106" s="7">
        <f>IF($A106="","",'02_Buyers'!$W93)</f>
        <v/>
      </c>
      <c r="K106" s="7">
        <f>IF(OR($A106="",$I106=""),"",IF(OR(AND($I106="부보 유리",$J106="N"),AND($I106="무보험 유리",$J106="Y")),"검토",""))</f>
        <v/>
      </c>
    </row>
    <row r="107">
      <c r="A107" s="7">
        <f>IF('02_Buyers'!$A94="","",'02_Buyers'!$A94)</f>
        <v/>
      </c>
      <c r="B107" s="7">
        <f>IF($A107="","",'02_Buyers'!$AK94)</f>
        <v/>
      </c>
      <c r="C107" s="44">
        <f>IF($A107="","",'02_Buyers'!$Z94)</f>
        <v/>
      </c>
      <c r="D107" s="45">
        <f>IF($A107="","",'02_Buyers'!$V94)</f>
        <v/>
      </c>
      <c r="E107" s="46">
        <f>IF($A107="","",'02_Buyers'!$AR94)</f>
        <v/>
      </c>
      <c r="F107" s="46">
        <f>IF($A107="","",'02_Buyers'!$AS94)</f>
        <v/>
      </c>
      <c r="G107" s="44">
        <f>IF(OR($A107="",$E107=""),"",$C107/(1+$E107*$D107/DayBasis))</f>
        <v/>
      </c>
      <c r="H107" s="44">
        <f>IF(OR($A107="",$F107=""),"",$C107/(1+$F107*$D107/DayBasis))</f>
        <v/>
      </c>
      <c r="I107" s="7">
        <f>IF($A107="","",'02_Buyers'!$AU94)</f>
        <v/>
      </c>
      <c r="J107" s="7">
        <f>IF($A107="","",'02_Buyers'!$W94)</f>
        <v/>
      </c>
      <c r="K107" s="7">
        <f>IF(OR($A107="",$I107=""),"",IF(OR(AND($I107="부보 유리",$J107="N"),AND($I107="무보험 유리",$J107="Y")),"검토",""))</f>
        <v/>
      </c>
    </row>
    <row r="108">
      <c r="A108" s="7">
        <f>IF('02_Buyers'!$A95="","",'02_Buyers'!$A95)</f>
        <v/>
      </c>
      <c r="B108" s="7">
        <f>IF($A108="","",'02_Buyers'!$AK95)</f>
        <v/>
      </c>
      <c r="C108" s="44">
        <f>IF($A108="","",'02_Buyers'!$Z95)</f>
        <v/>
      </c>
      <c r="D108" s="45">
        <f>IF($A108="","",'02_Buyers'!$V95)</f>
        <v/>
      </c>
      <c r="E108" s="46">
        <f>IF($A108="","",'02_Buyers'!$AR95)</f>
        <v/>
      </c>
      <c r="F108" s="46">
        <f>IF($A108="","",'02_Buyers'!$AS95)</f>
        <v/>
      </c>
      <c r="G108" s="44">
        <f>IF(OR($A108="",$E108=""),"",$C108/(1+$E108*$D108/DayBasis))</f>
        <v/>
      </c>
      <c r="H108" s="44">
        <f>IF(OR($A108="",$F108=""),"",$C108/(1+$F108*$D108/DayBasis))</f>
        <v/>
      </c>
      <c r="I108" s="7">
        <f>IF($A108="","",'02_Buyers'!$AU95)</f>
        <v/>
      </c>
      <c r="J108" s="7">
        <f>IF($A108="","",'02_Buyers'!$W95)</f>
        <v/>
      </c>
      <c r="K108" s="7">
        <f>IF(OR($A108="",$I108=""),"",IF(OR(AND($I108="부보 유리",$J108="N"),AND($I108="무보험 유리",$J108="Y")),"검토",""))</f>
        <v/>
      </c>
    </row>
    <row r="109">
      <c r="A109" s="7">
        <f>IF('02_Buyers'!$A96="","",'02_Buyers'!$A96)</f>
        <v/>
      </c>
      <c r="B109" s="7">
        <f>IF($A109="","",'02_Buyers'!$AK96)</f>
        <v/>
      </c>
      <c r="C109" s="44">
        <f>IF($A109="","",'02_Buyers'!$Z96)</f>
        <v/>
      </c>
      <c r="D109" s="45">
        <f>IF($A109="","",'02_Buyers'!$V96)</f>
        <v/>
      </c>
      <c r="E109" s="46">
        <f>IF($A109="","",'02_Buyers'!$AR96)</f>
        <v/>
      </c>
      <c r="F109" s="46">
        <f>IF($A109="","",'02_Buyers'!$AS96)</f>
        <v/>
      </c>
      <c r="G109" s="44">
        <f>IF(OR($A109="",$E109=""),"",$C109/(1+$E109*$D109/DayBasis))</f>
        <v/>
      </c>
      <c r="H109" s="44">
        <f>IF(OR($A109="",$F109=""),"",$C109/(1+$F109*$D109/DayBasis))</f>
        <v/>
      </c>
      <c r="I109" s="7">
        <f>IF($A109="","",'02_Buyers'!$AU96)</f>
        <v/>
      </c>
      <c r="J109" s="7">
        <f>IF($A109="","",'02_Buyers'!$W96)</f>
        <v/>
      </c>
      <c r="K109" s="7">
        <f>IF(OR($A109="",$I109=""),"",IF(OR(AND($I109="부보 유리",$J109="N"),AND($I109="무보험 유리",$J109="Y")),"검토",""))</f>
        <v/>
      </c>
    </row>
    <row r="110">
      <c r="A110" s="7">
        <f>IF('02_Buyers'!$A97="","",'02_Buyers'!$A97)</f>
        <v/>
      </c>
      <c r="B110" s="7">
        <f>IF($A110="","",'02_Buyers'!$AK97)</f>
        <v/>
      </c>
      <c r="C110" s="44">
        <f>IF($A110="","",'02_Buyers'!$Z97)</f>
        <v/>
      </c>
      <c r="D110" s="45">
        <f>IF($A110="","",'02_Buyers'!$V97)</f>
        <v/>
      </c>
      <c r="E110" s="46">
        <f>IF($A110="","",'02_Buyers'!$AR97)</f>
        <v/>
      </c>
      <c r="F110" s="46">
        <f>IF($A110="","",'02_Buyers'!$AS97)</f>
        <v/>
      </c>
      <c r="G110" s="44">
        <f>IF(OR($A110="",$E110=""),"",$C110/(1+$E110*$D110/DayBasis))</f>
        <v/>
      </c>
      <c r="H110" s="44">
        <f>IF(OR($A110="",$F110=""),"",$C110/(1+$F110*$D110/DayBasis))</f>
        <v/>
      </c>
      <c r="I110" s="7">
        <f>IF($A110="","",'02_Buyers'!$AU97)</f>
        <v/>
      </c>
      <c r="J110" s="7">
        <f>IF($A110="","",'02_Buyers'!$W97)</f>
        <v/>
      </c>
      <c r="K110" s="7">
        <f>IF(OR($A110="",$I110=""),"",IF(OR(AND($I110="부보 유리",$J110="N"),AND($I110="무보험 유리",$J110="Y")),"검토",""))</f>
        <v/>
      </c>
    </row>
    <row r="111">
      <c r="A111" s="7">
        <f>IF('02_Buyers'!$A98="","",'02_Buyers'!$A98)</f>
        <v/>
      </c>
      <c r="B111" s="7">
        <f>IF($A111="","",'02_Buyers'!$AK98)</f>
        <v/>
      </c>
      <c r="C111" s="44">
        <f>IF($A111="","",'02_Buyers'!$Z98)</f>
        <v/>
      </c>
      <c r="D111" s="45">
        <f>IF($A111="","",'02_Buyers'!$V98)</f>
        <v/>
      </c>
      <c r="E111" s="46">
        <f>IF($A111="","",'02_Buyers'!$AR98)</f>
        <v/>
      </c>
      <c r="F111" s="46">
        <f>IF($A111="","",'02_Buyers'!$AS98)</f>
        <v/>
      </c>
      <c r="G111" s="44">
        <f>IF(OR($A111="",$E111=""),"",$C111/(1+$E111*$D111/DayBasis))</f>
        <v/>
      </c>
      <c r="H111" s="44">
        <f>IF(OR($A111="",$F111=""),"",$C111/(1+$F111*$D111/DayBasis))</f>
        <v/>
      </c>
      <c r="I111" s="7">
        <f>IF($A111="","",'02_Buyers'!$AU98)</f>
        <v/>
      </c>
      <c r="J111" s="7">
        <f>IF($A111="","",'02_Buyers'!$W98)</f>
        <v/>
      </c>
      <c r="K111" s="7">
        <f>IF(OR($A111="",$I111=""),"",IF(OR(AND($I111="부보 유리",$J111="N"),AND($I111="무보험 유리",$J111="Y")),"검토",""))</f>
        <v/>
      </c>
    </row>
    <row r="112">
      <c r="A112" s="7">
        <f>IF('02_Buyers'!$A99="","",'02_Buyers'!$A99)</f>
        <v/>
      </c>
      <c r="B112" s="7">
        <f>IF($A112="","",'02_Buyers'!$AK99)</f>
        <v/>
      </c>
      <c r="C112" s="44">
        <f>IF($A112="","",'02_Buyers'!$Z99)</f>
        <v/>
      </c>
      <c r="D112" s="45">
        <f>IF($A112="","",'02_Buyers'!$V99)</f>
        <v/>
      </c>
      <c r="E112" s="46">
        <f>IF($A112="","",'02_Buyers'!$AR99)</f>
        <v/>
      </c>
      <c r="F112" s="46">
        <f>IF($A112="","",'02_Buyers'!$AS99)</f>
        <v/>
      </c>
      <c r="G112" s="44">
        <f>IF(OR($A112="",$E112=""),"",$C112/(1+$E112*$D112/DayBasis))</f>
        <v/>
      </c>
      <c r="H112" s="44">
        <f>IF(OR($A112="",$F112=""),"",$C112/(1+$F112*$D112/DayBasis))</f>
        <v/>
      </c>
      <c r="I112" s="7">
        <f>IF($A112="","",'02_Buyers'!$AU99)</f>
        <v/>
      </c>
      <c r="J112" s="7">
        <f>IF($A112="","",'02_Buyers'!$W99)</f>
        <v/>
      </c>
      <c r="K112" s="7">
        <f>IF(OR($A112="",$I112=""),"",IF(OR(AND($I112="부보 유리",$J112="N"),AND($I112="무보험 유리",$J112="Y")),"검토",""))</f>
        <v/>
      </c>
    </row>
    <row r="113">
      <c r="A113" s="7">
        <f>IF('02_Buyers'!$A100="","",'02_Buyers'!$A100)</f>
        <v/>
      </c>
      <c r="B113" s="7">
        <f>IF($A113="","",'02_Buyers'!$AK100)</f>
        <v/>
      </c>
      <c r="C113" s="44">
        <f>IF($A113="","",'02_Buyers'!$Z100)</f>
        <v/>
      </c>
      <c r="D113" s="45">
        <f>IF($A113="","",'02_Buyers'!$V100)</f>
        <v/>
      </c>
      <c r="E113" s="46">
        <f>IF($A113="","",'02_Buyers'!$AR100)</f>
        <v/>
      </c>
      <c r="F113" s="46">
        <f>IF($A113="","",'02_Buyers'!$AS100)</f>
        <v/>
      </c>
      <c r="G113" s="44">
        <f>IF(OR($A113="",$E113=""),"",$C113/(1+$E113*$D113/DayBasis))</f>
        <v/>
      </c>
      <c r="H113" s="44">
        <f>IF(OR($A113="",$F113=""),"",$C113/(1+$F113*$D113/DayBasis))</f>
        <v/>
      </c>
      <c r="I113" s="7">
        <f>IF($A113="","",'02_Buyers'!$AU100)</f>
        <v/>
      </c>
      <c r="J113" s="7">
        <f>IF($A113="","",'02_Buyers'!$W100)</f>
        <v/>
      </c>
      <c r="K113" s="7">
        <f>IF(OR($A113="",$I113=""),"",IF(OR(AND($I113="부보 유리",$J113="N"),AND($I113="무보험 유리",$J113="Y")),"검토",""))</f>
        <v/>
      </c>
    </row>
    <row r="114">
      <c r="A114" s="7">
        <f>IF('02_Buyers'!$A101="","",'02_Buyers'!$A101)</f>
        <v/>
      </c>
      <c r="B114" s="7">
        <f>IF($A114="","",'02_Buyers'!$AK101)</f>
        <v/>
      </c>
      <c r="C114" s="44">
        <f>IF($A114="","",'02_Buyers'!$Z101)</f>
        <v/>
      </c>
      <c r="D114" s="45">
        <f>IF($A114="","",'02_Buyers'!$V101)</f>
        <v/>
      </c>
      <c r="E114" s="46">
        <f>IF($A114="","",'02_Buyers'!$AR101)</f>
        <v/>
      </c>
      <c r="F114" s="46">
        <f>IF($A114="","",'02_Buyers'!$AS101)</f>
        <v/>
      </c>
      <c r="G114" s="44">
        <f>IF(OR($A114="",$E114=""),"",$C114/(1+$E114*$D114/DayBasis))</f>
        <v/>
      </c>
      <c r="H114" s="44">
        <f>IF(OR($A114="",$F114=""),"",$C114/(1+$F114*$D114/DayBasis))</f>
        <v/>
      </c>
      <c r="I114" s="7">
        <f>IF($A114="","",'02_Buyers'!$AU101)</f>
        <v/>
      </c>
      <c r="J114" s="7">
        <f>IF($A114="","",'02_Buyers'!$W101)</f>
        <v/>
      </c>
      <c r="K114" s="7">
        <f>IF(OR($A114="",$I114=""),"",IF(OR(AND($I114="부보 유리",$J114="N"),AND($I114="무보험 유리",$J114="Y")),"검토",""))</f>
        <v/>
      </c>
    </row>
    <row r="115">
      <c r="A115" s="7">
        <f>IF('02_Buyers'!$A102="","",'02_Buyers'!$A102)</f>
        <v/>
      </c>
      <c r="B115" s="7">
        <f>IF($A115="","",'02_Buyers'!$AK102)</f>
        <v/>
      </c>
      <c r="C115" s="44">
        <f>IF($A115="","",'02_Buyers'!$Z102)</f>
        <v/>
      </c>
      <c r="D115" s="45">
        <f>IF($A115="","",'02_Buyers'!$V102)</f>
        <v/>
      </c>
      <c r="E115" s="46">
        <f>IF($A115="","",'02_Buyers'!$AR102)</f>
        <v/>
      </c>
      <c r="F115" s="46">
        <f>IF($A115="","",'02_Buyers'!$AS102)</f>
        <v/>
      </c>
      <c r="G115" s="44">
        <f>IF(OR($A115="",$E115=""),"",$C115/(1+$E115*$D115/DayBasis))</f>
        <v/>
      </c>
      <c r="H115" s="44">
        <f>IF(OR($A115="",$F115=""),"",$C115/(1+$F115*$D115/DayBasis))</f>
        <v/>
      </c>
      <c r="I115" s="7">
        <f>IF($A115="","",'02_Buyers'!$AU102)</f>
        <v/>
      </c>
      <c r="J115" s="7">
        <f>IF($A115="","",'02_Buyers'!$W102)</f>
        <v/>
      </c>
      <c r="K115" s="7">
        <f>IF(OR($A115="",$I115=""),"",IF(OR(AND($I115="부보 유리",$J115="N"),AND($I115="무보험 유리",$J115="Y")),"검토",""))</f>
        <v/>
      </c>
    </row>
    <row r="116">
      <c r="A116" s="7">
        <f>IF('02_Buyers'!$A103="","",'02_Buyers'!$A103)</f>
        <v/>
      </c>
      <c r="B116" s="7">
        <f>IF($A116="","",'02_Buyers'!$AK103)</f>
        <v/>
      </c>
      <c r="C116" s="44">
        <f>IF($A116="","",'02_Buyers'!$Z103)</f>
        <v/>
      </c>
      <c r="D116" s="45">
        <f>IF($A116="","",'02_Buyers'!$V103)</f>
        <v/>
      </c>
      <c r="E116" s="46">
        <f>IF($A116="","",'02_Buyers'!$AR103)</f>
        <v/>
      </c>
      <c r="F116" s="46">
        <f>IF($A116="","",'02_Buyers'!$AS103)</f>
        <v/>
      </c>
      <c r="G116" s="44">
        <f>IF(OR($A116="",$E116=""),"",$C116/(1+$E116*$D116/DayBasis))</f>
        <v/>
      </c>
      <c r="H116" s="44">
        <f>IF(OR($A116="",$F116=""),"",$C116/(1+$F116*$D116/DayBasis))</f>
        <v/>
      </c>
      <c r="I116" s="7">
        <f>IF($A116="","",'02_Buyers'!$AU103)</f>
        <v/>
      </c>
      <c r="J116" s="7">
        <f>IF($A116="","",'02_Buyers'!$W103)</f>
        <v/>
      </c>
      <c r="K116" s="7">
        <f>IF(OR($A116="",$I116=""),"",IF(OR(AND($I116="부보 유리",$J116="N"),AND($I116="무보험 유리",$J116="Y")),"검토",""))</f>
        <v/>
      </c>
    </row>
    <row r="117">
      <c r="A117" s="7">
        <f>IF('02_Buyers'!$A104="","",'02_Buyers'!$A104)</f>
        <v/>
      </c>
      <c r="B117" s="7">
        <f>IF($A117="","",'02_Buyers'!$AK104)</f>
        <v/>
      </c>
      <c r="C117" s="44">
        <f>IF($A117="","",'02_Buyers'!$Z104)</f>
        <v/>
      </c>
      <c r="D117" s="45">
        <f>IF($A117="","",'02_Buyers'!$V104)</f>
        <v/>
      </c>
      <c r="E117" s="46">
        <f>IF($A117="","",'02_Buyers'!$AR104)</f>
        <v/>
      </c>
      <c r="F117" s="46">
        <f>IF($A117="","",'02_Buyers'!$AS104)</f>
        <v/>
      </c>
      <c r="G117" s="44">
        <f>IF(OR($A117="",$E117=""),"",$C117/(1+$E117*$D117/DayBasis))</f>
        <v/>
      </c>
      <c r="H117" s="44">
        <f>IF(OR($A117="",$F117=""),"",$C117/(1+$F117*$D117/DayBasis))</f>
        <v/>
      </c>
      <c r="I117" s="7">
        <f>IF($A117="","",'02_Buyers'!$AU104)</f>
        <v/>
      </c>
      <c r="J117" s="7">
        <f>IF($A117="","",'02_Buyers'!$W104)</f>
        <v/>
      </c>
      <c r="K117" s="7">
        <f>IF(OR($A117="",$I117=""),"",IF(OR(AND($I117="부보 유리",$J117="N"),AND($I117="무보험 유리",$J117="Y")),"검토",""))</f>
        <v/>
      </c>
    </row>
    <row r="118">
      <c r="A118" s="7">
        <f>IF('02_Buyers'!$A105="","",'02_Buyers'!$A105)</f>
        <v/>
      </c>
      <c r="B118" s="7">
        <f>IF($A118="","",'02_Buyers'!$AK105)</f>
        <v/>
      </c>
      <c r="C118" s="44">
        <f>IF($A118="","",'02_Buyers'!$Z105)</f>
        <v/>
      </c>
      <c r="D118" s="45">
        <f>IF($A118="","",'02_Buyers'!$V105)</f>
        <v/>
      </c>
      <c r="E118" s="46">
        <f>IF($A118="","",'02_Buyers'!$AR105)</f>
        <v/>
      </c>
      <c r="F118" s="46">
        <f>IF($A118="","",'02_Buyers'!$AS105)</f>
        <v/>
      </c>
      <c r="G118" s="44">
        <f>IF(OR($A118="",$E118=""),"",$C118/(1+$E118*$D118/DayBasis))</f>
        <v/>
      </c>
      <c r="H118" s="44">
        <f>IF(OR($A118="",$F118=""),"",$C118/(1+$F118*$D118/DayBasis))</f>
        <v/>
      </c>
      <c r="I118" s="7">
        <f>IF($A118="","",'02_Buyers'!$AU105)</f>
        <v/>
      </c>
      <c r="J118" s="7">
        <f>IF($A118="","",'02_Buyers'!$W105)</f>
        <v/>
      </c>
      <c r="K118" s="7">
        <f>IF(OR($A118="",$I118=""),"",IF(OR(AND($I118="부보 유리",$J118="N"),AND($I118="무보험 유리",$J118="Y")),"검토",""))</f>
        <v/>
      </c>
    </row>
    <row r="119">
      <c r="A119" s="7">
        <f>IF('02_Buyers'!$A106="","",'02_Buyers'!$A106)</f>
        <v/>
      </c>
      <c r="B119" s="7">
        <f>IF($A119="","",'02_Buyers'!$AK106)</f>
        <v/>
      </c>
      <c r="C119" s="44">
        <f>IF($A119="","",'02_Buyers'!$Z106)</f>
        <v/>
      </c>
      <c r="D119" s="45">
        <f>IF($A119="","",'02_Buyers'!$V106)</f>
        <v/>
      </c>
      <c r="E119" s="46">
        <f>IF($A119="","",'02_Buyers'!$AR106)</f>
        <v/>
      </c>
      <c r="F119" s="46">
        <f>IF($A119="","",'02_Buyers'!$AS106)</f>
        <v/>
      </c>
      <c r="G119" s="44">
        <f>IF(OR($A119="",$E119=""),"",$C119/(1+$E119*$D119/DayBasis))</f>
        <v/>
      </c>
      <c r="H119" s="44">
        <f>IF(OR($A119="",$F119=""),"",$C119/(1+$F119*$D119/DayBasis))</f>
        <v/>
      </c>
      <c r="I119" s="7">
        <f>IF($A119="","",'02_Buyers'!$AU106)</f>
        <v/>
      </c>
      <c r="J119" s="7">
        <f>IF($A119="","",'02_Buyers'!$W106)</f>
        <v/>
      </c>
      <c r="K119" s="7">
        <f>IF(OR($A119="",$I119=""),"",IF(OR(AND($I119="부보 유리",$J119="N"),AND($I119="무보험 유리",$J119="Y")),"검토",""))</f>
        <v/>
      </c>
    </row>
    <row r="120">
      <c r="A120" s="7">
        <f>IF('02_Buyers'!$A107="","",'02_Buyers'!$A107)</f>
        <v/>
      </c>
      <c r="B120" s="7">
        <f>IF($A120="","",'02_Buyers'!$AK107)</f>
        <v/>
      </c>
      <c r="C120" s="44">
        <f>IF($A120="","",'02_Buyers'!$Z107)</f>
        <v/>
      </c>
      <c r="D120" s="45">
        <f>IF($A120="","",'02_Buyers'!$V107)</f>
        <v/>
      </c>
      <c r="E120" s="46">
        <f>IF($A120="","",'02_Buyers'!$AR107)</f>
        <v/>
      </c>
      <c r="F120" s="46">
        <f>IF($A120="","",'02_Buyers'!$AS107)</f>
        <v/>
      </c>
      <c r="G120" s="44">
        <f>IF(OR($A120="",$E120=""),"",$C120/(1+$E120*$D120/DayBasis))</f>
        <v/>
      </c>
      <c r="H120" s="44">
        <f>IF(OR($A120="",$F120=""),"",$C120/(1+$F120*$D120/DayBasis))</f>
        <v/>
      </c>
      <c r="I120" s="7">
        <f>IF($A120="","",'02_Buyers'!$AU107)</f>
        <v/>
      </c>
      <c r="J120" s="7">
        <f>IF($A120="","",'02_Buyers'!$W107)</f>
        <v/>
      </c>
      <c r="K120" s="7">
        <f>IF(OR($A120="",$I120=""),"",IF(OR(AND($I120="부보 유리",$J120="N"),AND($I120="무보험 유리",$J120="Y")),"검토",""))</f>
        <v/>
      </c>
    </row>
    <row r="121">
      <c r="A121" s="7">
        <f>IF('02_Buyers'!$A108="","",'02_Buyers'!$A108)</f>
        <v/>
      </c>
      <c r="B121" s="7">
        <f>IF($A121="","",'02_Buyers'!$AK108)</f>
        <v/>
      </c>
      <c r="C121" s="44">
        <f>IF($A121="","",'02_Buyers'!$Z108)</f>
        <v/>
      </c>
      <c r="D121" s="45">
        <f>IF($A121="","",'02_Buyers'!$V108)</f>
        <v/>
      </c>
      <c r="E121" s="46">
        <f>IF($A121="","",'02_Buyers'!$AR108)</f>
        <v/>
      </c>
      <c r="F121" s="46">
        <f>IF($A121="","",'02_Buyers'!$AS108)</f>
        <v/>
      </c>
      <c r="G121" s="44">
        <f>IF(OR($A121="",$E121=""),"",$C121/(1+$E121*$D121/DayBasis))</f>
        <v/>
      </c>
      <c r="H121" s="44">
        <f>IF(OR($A121="",$F121=""),"",$C121/(1+$F121*$D121/DayBasis))</f>
        <v/>
      </c>
      <c r="I121" s="7">
        <f>IF($A121="","",'02_Buyers'!$AU108)</f>
        <v/>
      </c>
      <c r="J121" s="7">
        <f>IF($A121="","",'02_Buyers'!$W108)</f>
        <v/>
      </c>
      <c r="K121" s="7">
        <f>IF(OR($A121="",$I121=""),"",IF(OR(AND($I121="부보 유리",$J121="N"),AND($I121="무보험 유리",$J121="Y")),"검토",""))</f>
        <v/>
      </c>
    </row>
    <row r="122">
      <c r="A122" s="7">
        <f>IF('02_Buyers'!$A109="","",'02_Buyers'!$A109)</f>
        <v/>
      </c>
      <c r="B122" s="7">
        <f>IF($A122="","",'02_Buyers'!$AK109)</f>
        <v/>
      </c>
      <c r="C122" s="44">
        <f>IF($A122="","",'02_Buyers'!$Z109)</f>
        <v/>
      </c>
      <c r="D122" s="45">
        <f>IF($A122="","",'02_Buyers'!$V109)</f>
        <v/>
      </c>
      <c r="E122" s="46">
        <f>IF($A122="","",'02_Buyers'!$AR109)</f>
        <v/>
      </c>
      <c r="F122" s="46">
        <f>IF($A122="","",'02_Buyers'!$AS109)</f>
        <v/>
      </c>
      <c r="G122" s="44">
        <f>IF(OR($A122="",$E122=""),"",$C122/(1+$E122*$D122/DayBasis))</f>
        <v/>
      </c>
      <c r="H122" s="44">
        <f>IF(OR($A122="",$F122=""),"",$C122/(1+$F122*$D122/DayBasis))</f>
        <v/>
      </c>
      <c r="I122" s="7">
        <f>IF($A122="","",'02_Buyers'!$AU109)</f>
        <v/>
      </c>
      <c r="J122" s="7">
        <f>IF($A122="","",'02_Buyers'!$W109)</f>
        <v/>
      </c>
      <c r="K122" s="7">
        <f>IF(OR($A122="",$I122=""),"",IF(OR(AND($I122="부보 유리",$J122="N"),AND($I122="무보험 유리",$J122="Y")),"검토",""))</f>
        <v/>
      </c>
    </row>
    <row r="123">
      <c r="A123" s="7">
        <f>IF('02_Buyers'!$A110="","",'02_Buyers'!$A110)</f>
        <v/>
      </c>
      <c r="B123" s="7">
        <f>IF($A123="","",'02_Buyers'!$AK110)</f>
        <v/>
      </c>
      <c r="C123" s="44">
        <f>IF($A123="","",'02_Buyers'!$Z110)</f>
        <v/>
      </c>
      <c r="D123" s="45">
        <f>IF($A123="","",'02_Buyers'!$V110)</f>
        <v/>
      </c>
      <c r="E123" s="46">
        <f>IF($A123="","",'02_Buyers'!$AR110)</f>
        <v/>
      </c>
      <c r="F123" s="46">
        <f>IF($A123="","",'02_Buyers'!$AS110)</f>
        <v/>
      </c>
      <c r="G123" s="44">
        <f>IF(OR($A123="",$E123=""),"",$C123/(1+$E123*$D123/DayBasis))</f>
        <v/>
      </c>
      <c r="H123" s="44">
        <f>IF(OR($A123="",$F123=""),"",$C123/(1+$F123*$D123/DayBasis))</f>
        <v/>
      </c>
      <c r="I123" s="7">
        <f>IF($A123="","",'02_Buyers'!$AU110)</f>
        <v/>
      </c>
      <c r="J123" s="7">
        <f>IF($A123="","",'02_Buyers'!$W110)</f>
        <v/>
      </c>
      <c r="K123" s="7">
        <f>IF(OR($A123="",$I123=""),"",IF(OR(AND($I123="부보 유리",$J123="N"),AND($I123="무보험 유리",$J123="Y")),"검토",""))</f>
        <v/>
      </c>
    </row>
    <row r="124">
      <c r="A124" s="7">
        <f>IF('02_Buyers'!$A111="","",'02_Buyers'!$A111)</f>
        <v/>
      </c>
      <c r="B124" s="7">
        <f>IF($A124="","",'02_Buyers'!$AK111)</f>
        <v/>
      </c>
      <c r="C124" s="44">
        <f>IF($A124="","",'02_Buyers'!$Z111)</f>
        <v/>
      </c>
      <c r="D124" s="45">
        <f>IF($A124="","",'02_Buyers'!$V111)</f>
        <v/>
      </c>
      <c r="E124" s="46">
        <f>IF($A124="","",'02_Buyers'!$AR111)</f>
        <v/>
      </c>
      <c r="F124" s="46">
        <f>IF($A124="","",'02_Buyers'!$AS111)</f>
        <v/>
      </c>
      <c r="G124" s="44">
        <f>IF(OR($A124="",$E124=""),"",$C124/(1+$E124*$D124/DayBasis))</f>
        <v/>
      </c>
      <c r="H124" s="44">
        <f>IF(OR($A124="",$F124=""),"",$C124/(1+$F124*$D124/DayBasis))</f>
        <v/>
      </c>
      <c r="I124" s="7">
        <f>IF($A124="","",'02_Buyers'!$AU111)</f>
        <v/>
      </c>
      <c r="J124" s="7">
        <f>IF($A124="","",'02_Buyers'!$W111)</f>
        <v/>
      </c>
      <c r="K124" s="7">
        <f>IF(OR($A124="",$I124=""),"",IF(OR(AND($I124="부보 유리",$J124="N"),AND($I124="무보험 유리",$J124="Y")),"검토",""))</f>
        <v/>
      </c>
    </row>
    <row r="125">
      <c r="A125" s="7">
        <f>IF('02_Buyers'!$A112="","",'02_Buyers'!$A112)</f>
        <v/>
      </c>
      <c r="B125" s="7">
        <f>IF($A125="","",'02_Buyers'!$AK112)</f>
        <v/>
      </c>
      <c r="C125" s="44">
        <f>IF($A125="","",'02_Buyers'!$Z112)</f>
        <v/>
      </c>
      <c r="D125" s="45">
        <f>IF($A125="","",'02_Buyers'!$V112)</f>
        <v/>
      </c>
      <c r="E125" s="46">
        <f>IF($A125="","",'02_Buyers'!$AR112)</f>
        <v/>
      </c>
      <c r="F125" s="46">
        <f>IF($A125="","",'02_Buyers'!$AS112)</f>
        <v/>
      </c>
      <c r="G125" s="44">
        <f>IF(OR($A125="",$E125=""),"",$C125/(1+$E125*$D125/DayBasis))</f>
        <v/>
      </c>
      <c r="H125" s="44">
        <f>IF(OR($A125="",$F125=""),"",$C125/(1+$F125*$D125/DayBasis))</f>
        <v/>
      </c>
      <c r="I125" s="7">
        <f>IF($A125="","",'02_Buyers'!$AU112)</f>
        <v/>
      </c>
      <c r="J125" s="7">
        <f>IF($A125="","",'02_Buyers'!$W112)</f>
        <v/>
      </c>
      <c r="K125" s="7">
        <f>IF(OR($A125="",$I125=""),"",IF(OR(AND($I125="부보 유리",$J125="N"),AND($I125="무보험 유리",$J125="Y")),"검토",""))</f>
        <v/>
      </c>
    </row>
    <row r="126">
      <c r="A126" s="7">
        <f>IF('02_Buyers'!$A113="","",'02_Buyers'!$A113)</f>
        <v/>
      </c>
      <c r="B126" s="7">
        <f>IF($A126="","",'02_Buyers'!$AK113)</f>
        <v/>
      </c>
      <c r="C126" s="44">
        <f>IF($A126="","",'02_Buyers'!$Z113)</f>
        <v/>
      </c>
      <c r="D126" s="45">
        <f>IF($A126="","",'02_Buyers'!$V113)</f>
        <v/>
      </c>
      <c r="E126" s="46">
        <f>IF($A126="","",'02_Buyers'!$AR113)</f>
        <v/>
      </c>
      <c r="F126" s="46">
        <f>IF($A126="","",'02_Buyers'!$AS113)</f>
        <v/>
      </c>
      <c r="G126" s="44">
        <f>IF(OR($A126="",$E126=""),"",$C126/(1+$E126*$D126/DayBasis))</f>
        <v/>
      </c>
      <c r="H126" s="44">
        <f>IF(OR($A126="",$F126=""),"",$C126/(1+$F126*$D126/DayBasis))</f>
        <v/>
      </c>
      <c r="I126" s="7">
        <f>IF($A126="","",'02_Buyers'!$AU113)</f>
        <v/>
      </c>
      <c r="J126" s="7">
        <f>IF($A126="","",'02_Buyers'!$W113)</f>
        <v/>
      </c>
      <c r="K126" s="7">
        <f>IF(OR($A126="",$I126=""),"",IF(OR(AND($I126="부보 유리",$J126="N"),AND($I126="무보험 유리",$J126="Y")),"검토",""))</f>
        <v/>
      </c>
    </row>
    <row r="127">
      <c r="A127" s="7">
        <f>IF('02_Buyers'!$A114="","",'02_Buyers'!$A114)</f>
        <v/>
      </c>
      <c r="B127" s="7">
        <f>IF($A127="","",'02_Buyers'!$AK114)</f>
        <v/>
      </c>
      <c r="C127" s="44">
        <f>IF($A127="","",'02_Buyers'!$Z114)</f>
        <v/>
      </c>
      <c r="D127" s="45">
        <f>IF($A127="","",'02_Buyers'!$V114)</f>
        <v/>
      </c>
      <c r="E127" s="46">
        <f>IF($A127="","",'02_Buyers'!$AR114)</f>
        <v/>
      </c>
      <c r="F127" s="46">
        <f>IF($A127="","",'02_Buyers'!$AS114)</f>
        <v/>
      </c>
      <c r="G127" s="44">
        <f>IF(OR($A127="",$E127=""),"",$C127/(1+$E127*$D127/DayBasis))</f>
        <v/>
      </c>
      <c r="H127" s="44">
        <f>IF(OR($A127="",$F127=""),"",$C127/(1+$F127*$D127/DayBasis))</f>
        <v/>
      </c>
      <c r="I127" s="7">
        <f>IF($A127="","",'02_Buyers'!$AU114)</f>
        <v/>
      </c>
      <c r="J127" s="7">
        <f>IF($A127="","",'02_Buyers'!$W114)</f>
        <v/>
      </c>
      <c r="K127" s="7">
        <f>IF(OR($A127="",$I127=""),"",IF(OR(AND($I127="부보 유리",$J127="N"),AND($I127="무보험 유리",$J127="Y")),"검토",""))</f>
        <v/>
      </c>
    </row>
    <row r="128">
      <c r="A128" s="7">
        <f>IF('02_Buyers'!$A115="","",'02_Buyers'!$A115)</f>
        <v/>
      </c>
      <c r="B128" s="7">
        <f>IF($A128="","",'02_Buyers'!$AK115)</f>
        <v/>
      </c>
      <c r="C128" s="44">
        <f>IF($A128="","",'02_Buyers'!$Z115)</f>
        <v/>
      </c>
      <c r="D128" s="45">
        <f>IF($A128="","",'02_Buyers'!$V115)</f>
        <v/>
      </c>
      <c r="E128" s="46">
        <f>IF($A128="","",'02_Buyers'!$AR115)</f>
        <v/>
      </c>
      <c r="F128" s="46">
        <f>IF($A128="","",'02_Buyers'!$AS115)</f>
        <v/>
      </c>
      <c r="G128" s="44">
        <f>IF(OR($A128="",$E128=""),"",$C128/(1+$E128*$D128/DayBasis))</f>
        <v/>
      </c>
      <c r="H128" s="44">
        <f>IF(OR($A128="",$F128=""),"",$C128/(1+$F128*$D128/DayBasis))</f>
        <v/>
      </c>
      <c r="I128" s="7">
        <f>IF($A128="","",'02_Buyers'!$AU115)</f>
        <v/>
      </c>
      <c r="J128" s="7">
        <f>IF($A128="","",'02_Buyers'!$W115)</f>
        <v/>
      </c>
      <c r="K128" s="7">
        <f>IF(OR($A128="",$I128=""),"",IF(OR(AND($I128="부보 유리",$J128="N"),AND($I128="무보험 유리",$J128="Y")),"검토",""))</f>
        <v/>
      </c>
    </row>
    <row r="129">
      <c r="A129" s="7">
        <f>IF('02_Buyers'!$A116="","",'02_Buyers'!$A116)</f>
        <v/>
      </c>
      <c r="B129" s="7">
        <f>IF($A129="","",'02_Buyers'!$AK116)</f>
        <v/>
      </c>
      <c r="C129" s="44">
        <f>IF($A129="","",'02_Buyers'!$Z116)</f>
        <v/>
      </c>
      <c r="D129" s="45">
        <f>IF($A129="","",'02_Buyers'!$V116)</f>
        <v/>
      </c>
      <c r="E129" s="46">
        <f>IF($A129="","",'02_Buyers'!$AR116)</f>
        <v/>
      </c>
      <c r="F129" s="46">
        <f>IF($A129="","",'02_Buyers'!$AS116)</f>
        <v/>
      </c>
      <c r="G129" s="44">
        <f>IF(OR($A129="",$E129=""),"",$C129/(1+$E129*$D129/DayBasis))</f>
        <v/>
      </c>
      <c r="H129" s="44">
        <f>IF(OR($A129="",$F129=""),"",$C129/(1+$F129*$D129/DayBasis))</f>
        <v/>
      </c>
      <c r="I129" s="7">
        <f>IF($A129="","",'02_Buyers'!$AU116)</f>
        <v/>
      </c>
      <c r="J129" s="7">
        <f>IF($A129="","",'02_Buyers'!$W116)</f>
        <v/>
      </c>
      <c r="K129" s="7">
        <f>IF(OR($A129="",$I129=""),"",IF(OR(AND($I129="부보 유리",$J129="N"),AND($I129="무보험 유리",$J129="Y")),"검토",""))</f>
        <v/>
      </c>
    </row>
    <row r="130">
      <c r="A130" s="7">
        <f>IF('02_Buyers'!$A117="","",'02_Buyers'!$A117)</f>
        <v/>
      </c>
      <c r="B130" s="7">
        <f>IF($A130="","",'02_Buyers'!$AK117)</f>
        <v/>
      </c>
      <c r="C130" s="44">
        <f>IF($A130="","",'02_Buyers'!$Z117)</f>
        <v/>
      </c>
      <c r="D130" s="45">
        <f>IF($A130="","",'02_Buyers'!$V117)</f>
        <v/>
      </c>
      <c r="E130" s="46">
        <f>IF($A130="","",'02_Buyers'!$AR117)</f>
        <v/>
      </c>
      <c r="F130" s="46">
        <f>IF($A130="","",'02_Buyers'!$AS117)</f>
        <v/>
      </c>
      <c r="G130" s="44">
        <f>IF(OR($A130="",$E130=""),"",$C130/(1+$E130*$D130/DayBasis))</f>
        <v/>
      </c>
      <c r="H130" s="44">
        <f>IF(OR($A130="",$F130=""),"",$C130/(1+$F130*$D130/DayBasis))</f>
        <v/>
      </c>
      <c r="I130" s="7">
        <f>IF($A130="","",'02_Buyers'!$AU117)</f>
        <v/>
      </c>
      <c r="J130" s="7">
        <f>IF($A130="","",'02_Buyers'!$W117)</f>
        <v/>
      </c>
      <c r="K130" s="7">
        <f>IF(OR($A130="",$I130=""),"",IF(OR(AND($I130="부보 유리",$J130="N"),AND($I130="무보험 유리",$J130="Y")),"검토",""))</f>
        <v/>
      </c>
    </row>
    <row r="131">
      <c r="A131" s="7">
        <f>IF('02_Buyers'!$A118="","",'02_Buyers'!$A118)</f>
        <v/>
      </c>
      <c r="B131" s="7">
        <f>IF($A131="","",'02_Buyers'!$AK118)</f>
        <v/>
      </c>
      <c r="C131" s="44">
        <f>IF($A131="","",'02_Buyers'!$Z118)</f>
        <v/>
      </c>
      <c r="D131" s="45">
        <f>IF($A131="","",'02_Buyers'!$V118)</f>
        <v/>
      </c>
      <c r="E131" s="46">
        <f>IF($A131="","",'02_Buyers'!$AR118)</f>
        <v/>
      </c>
      <c r="F131" s="46">
        <f>IF($A131="","",'02_Buyers'!$AS118)</f>
        <v/>
      </c>
      <c r="G131" s="44">
        <f>IF(OR($A131="",$E131=""),"",$C131/(1+$E131*$D131/DayBasis))</f>
        <v/>
      </c>
      <c r="H131" s="44">
        <f>IF(OR($A131="",$F131=""),"",$C131/(1+$F131*$D131/DayBasis))</f>
        <v/>
      </c>
      <c r="I131" s="7">
        <f>IF($A131="","",'02_Buyers'!$AU118)</f>
        <v/>
      </c>
      <c r="J131" s="7">
        <f>IF($A131="","",'02_Buyers'!$W118)</f>
        <v/>
      </c>
      <c r="K131" s="7">
        <f>IF(OR($A131="",$I131=""),"",IF(OR(AND($I131="부보 유리",$J131="N"),AND($I131="무보험 유리",$J131="Y")),"검토",""))</f>
        <v/>
      </c>
    </row>
    <row r="132">
      <c r="A132" s="7">
        <f>IF('02_Buyers'!$A119="","",'02_Buyers'!$A119)</f>
        <v/>
      </c>
      <c r="B132" s="7">
        <f>IF($A132="","",'02_Buyers'!$AK119)</f>
        <v/>
      </c>
      <c r="C132" s="44">
        <f>IF($A132="","",'02_Buyers'!$Z119)</f>
        <v/>
      </c>
      <c r="D132" s="45">
        <f>IF($A132="","",'02_Buyers'!$V119)</f>
        <v/>
      </c>
      <c r="E132" s="46">
        <f>IF($A132="","",'02_Buyers'!$AR119)</f>
        <v/>
      </c>
      <c r="F132" s="46">
        <f>IF($A132="","",'02_Buyers'!$AS119)</f>
        <v/>
      </c>
      <c r="G132" s="44">
        <f>IF(OR($A132="",$E132=""),"",$C132/(1+$E132*$D132/DayBasis))</f>
        <v/>
      </c>
      <c r="H132" s="44">
        <f>IF(OR($A132="",$F132=""),"",$C132/(1+$F132*$D132/DayBasis))</f>
        <v/>
      </c>
      <c r="I132" s="7">
        <f>IF($A132="","",'02_Buyers'!$AU119)</f>
        <v/>
      </c>
      <c r="J132" s="7">
        <f>IF($A132="","",'02_Buyers'!$W119)</f>
        <v/>
      </c>
      <c r="K132" s="7">
        <f>IF(OR($A132="",$I132=""),"",IF(OR(AND($I132="부보 유리",$J132="N"),AND($I132="무보험 유리",$J132="Y")),"검토",""))</f>
        <v/>
      </c>
    </row>
    <row r="133">
      <c r="A133" s="7">
        <f>IF('02_Buyers'!$A120="","",'02_Buyers'!$A120)</f>
        <v/>
      </c>
      <c r="B133" s="7">
        <f>IF($A133="","",'02_Buyers'!$AK120)</f>
        <v/>
      </c>
      <c r="C133" s="44">
        <f>IF($A133="","",'02_Buyers'!$Z120)</f>
        <v/>
      </c>
      <c r="D133" s="45">
        <f>IF($A133="","",'02_Buyers'!$V120)</f>
        <v/>
      </c>
      <c r="E133" s="46">
        <f>IF($A133="","",'02_Buyers'!$AR120)</f>
        <v/>
      </c>
      <c r="F133" s="46">
        <f>IF($A133="","",'02_Buyers'!$AS120)</f>
        <v/>
      </c>
      <c r="G133" s="44">
        <f>IF(OR($A133="",$E133=""),"",$C133/(1+$E133*$D133/DayBasis))</f>
        <v/>
      </c>
      <c r="H133" s="44">
        <f>IF(OR($A133="",$F133=""),"",$C133/(1+$F133*$D133/DayBasis))</f>
        <v/>
      </c>
      <c r="I133" s="7">
        <f>IF($A133="","",'02_Buyers'!$AU120)</f>
        <v/>
      </c>
      <c r="J133" s="7">
        <f>IF($A133="","",'02_Buyers'!$W120)</f>
        <v/>
      </c>
      <c r="K133" s="7">
        <f>IF(OR($A133="",$I133=""),"",IF(OR(AND($I133="부보 유리",$J133="N"),AND($I133="무보험 유리",$J133="Y")),"검토",""))</f>
        <v/>
      </c>
    </row>
    <row r="134">
      <c r="A134" s="7">
        <f>IF('02_Buyers'!$A121="","",'02_Buyers'!$A121)</f>
        <v/>
      </c>
      <c r="B134" s="7">
        <f>IF($A134="","",'02_Buyers'!$AK121)</f>
        <v/>
      </c>
      <c r="C134" s="44">
        <f>IF($A134="","",'02_Buyers'!$Z121)</f>
        <v/>
      </c>
      <c r="D134" s="45">
        <f>IF($A134="","",'02_Buyers'!$V121)</f>
        <v/>
      </c>
      <c r="E134" s="46">
        <f>IF($A134="","",'02_Buyers'!$AR121)</f>
        <v/>
      </c>
      <c r="F134" s="46">
        <f>IF($A134="","",'02_Buyers'!$AS121)</f>
        <v/>
      </c>
      <c r="G134" s="44">
        <f>IF(OR($A134="",$E134=""),"",$C134/(1+$E134*$D134/DayBasis))</f>
        <v/>
      </c>
      <c r="H134" s="44">
        <f>IF(OR($A134="",$F134=""),"",$C134/(1+$F134*$D134/DayBasis))</f>
        <v/>
      </c>
      <c r="I134" s="7">
        <f>IF($A134="","",'02_Buyers'!$AU121)</f>
        <v/>
      </c>
      <c r="J134" s="7">
        <f>IF($A134="","",'02_Buyers'!$W121)</f>
        <v/>
      </c>
      <c r="K134" s="7">
        <f>IF(OR($A134="",$I134=""),"",IF(OR(AND($I134="부보 유리",$J134="N"),AND($I134="무보험 유리",$J134="Y")),"검토",""))</f>
        <v/>
      </c>
    </row>
    <row r="135">
      <c r="A135" s="7">
        <f>IF('02_Buyers'!$A122="","",'02_Buyers'!$A122)</f>
        <v/>
      </c>
      <c r="B135" s="7">
        <f>IF($A135="","",'02_Buyers'!$AK122)</f>
        <v/>
      </c>
      <c r="C135" s="44">
        <f>IF($A135="","",'02_Buyers'!$Z122)</f>
        <v/>
      </c>
      <c r="D135" s="45">
        <f>IF($A135="","",'02_Buyers'!$V122)</f>
        <v/>
      </c>
      <c r="E135" s="46">
        <f>IF($A135="","",'02_Buyers'!$AR122)</f>
        <v/>
      </c>
      <c r="F135" s="46">
        <f>IF($A135="","",'02_Buyers'!$AS122)</f>
        <v/>
      </c>
      <c r="G135" s="44">
        <f>IF(OR($A135="",$E135=""),"",$C135/(1+$E135*$D135/DayBasis))</f>
        <v/>
      </c>
      <c r="H135" s="44">
        <f>IF(OR($A135="",$F135=""),"",$C135/(1+$F135*$D135/DayBasis))</f>
        <v/>
      </c>
      <c r="I135" s="7">
        <f>IF($A135="","",'02_Buyers'!$AU122)</f>
        <v/>
      </c>
      <c r="J135" s="7">
        <f>IF($A135="","",'02_Buyers'!$W122)</f>
        <v/>
      </c>
      <c r="K135" s="7">
        <f>IF(OR($A135="",$I135=""),"",IF(OR(AND($I135="부보 유리",$J135="N"),AND($I135="무보험 유리",$J135="Y")),"검토",""))</f>
        <v/>
      </c>
    </row>
    <row r="136">
      <c r="A136" s="7">
        <f>IF('02_Buyers'!$A123="","",'02_Buyers'!$A123)</f>
        <v/>
      </c>
      <c r="B136" s="7">
        <f>IF($A136="","",'02_Buyers'!$AK123)</f>
        <v/>
      </c>
      <c r="C136" s="44">
        <f>IF($A136="","",'02_Buyers'!$Z123)</f>
        <v/>
      </c>
      <c r="D136" s="45">
        <f>IF($A136="","",'02_Buyers'!$V123)</f>
        <v/>
      </c>
      <c r="E136" s="46">
        <f>IF($A136="","",'02_Buyers'!$AR123)</f>
        <v/>
      </c>
      <c r="F136" s="46">
        <f>IF($A136="","",'02_Buyers'!$AS123)</f>
        <v/>
      </c>
      <c r="G136" s="44">
        <f>IF(OR($A136="",$E136=""),"",$C136/(1+$E136*$D136/DayBasis))</f>
        <v/>
      </c>
      <c r="H136" s="44">
        <f>IF(OR($A136="",$F136=""),"",$C136/(1+$F136*$D136/DayBasis))</f>
        <v/>
      </c>
      <c r="I136" s="7">
        <f>IF($A136="","",'02_Buyers'!$AU123)</f>
        <v/>
      </c>
      <c r="J136" s="7">
        <f>IF($A136="","",'02_Buyers'!$W123)</f>
        <v/>
      </c>
      <c r="K136" s="7">
        <f>IF(OR($A136="",$I136=""),"",IF(OR(AND($I136="부보 유리",$J136="N"),AND($I136="무보험 유리",$J136="Y")),"검토",""))</f>
        <v/>
      </c>
    </row>
    <row r="137">
      <c r="A137" s="7">
        <f>IF('02_Buyers'!$A124="","",'02_Buyers'!$A124)</f>
        <v/>
      </c>
      <c r="B137" s="7">
        <f>IF($A137="","",'02_Buyers'!$AK124)</f>
        <v/>
      </c>
      <c r="C137" s="44">
        <f>IF($A137="","",'02_Buyers'!$Z124)</f>
        <v/>
      </c>
      <c r="D137" s="45">
        <f>IF($A137="","",'02_Buyers'!$V124)</f>
        <v/>
      </c>
      <c r="E137" s="46">
        <f>IF($A137="","",'02_Buyers'!$AR124)</f>
        <v/>
      </c>
      <c r="F137" s="46">
        <f>IF($A137="","",'02_Buyers'!$AS124)</f>
        <v/>
      </c>
      <c r="G137" s="44">
        <f>IF(OR($A137="",$E137=""),"",$C137/(1+$E137*$D137/DayBasis))</f>
        <v/>
      </c>
      <c r="H137" s="44">
        <f>IF(OR($A137="",$F137=""),"",$C137/(1+$F137*$D137/DayBasis))</f>
        <v/>
      </c>
      <c r="I137" s="7">
        <f>IF($A137="","",'02_Buyers'!$AU124)</f>
        <v/>
      </c>
      <c r="J137" s="7">
        <f>IF($A137="","",'02_Buyers'!$W124)</f>
        <v/>
      </c>
      <c r="K137" s="7">
        <f>IF(OR($A137="",$I137=""),"",IF(OR(AND($I137="부보 유리",$J137="N"),AND($I137="무보험 유리",$J137="Y")),"검토",""))</f>
        <v/>
      </c>
    </row>
    <row r="138">
      <c r="A138" s="7">
        <f>IF('02_Buyers'!$A125="","",'02_Buyers'!$A125)</f>
        <v/>
      </c>
      <c r="B138" s="7">
        <f>IF($A138="","",'02_Buyers'!$AK125)</f>
        <v/>
      </c>
      <c r="C138" s="44">
        <f>IF($A138="","",'02_Buyers'!$Z125)</f>
        <v/>
      </c>
      <c r="D138" s="45">
        <f>IF($A138="","",'02_Buyers'!$V125)</f>
        <v/>
      </c>
      <c r="E138" s="46">
        <f>IF($A138="","",'02_Buyers'!$AR125)</f>
        <v/>
      </c>
      <c r="F138" s="46">
        <f>IF($A138="","",'02_Buyers'!$AS125)</f>
        <v/>
      </c>
      <c r="G138" s="44">
        <f>IF(OR($A138="",$E138=""),"",$C138/(1+$E138*$D138/DayBasis))</f>
        <v/>
      </c>
      <c r="H138" s="44">
        <f>IF(OR($A138="",$F138=""),"",$C138/(1+$F138*$D138/DayBasis))</f>
        <v/>
      </c>
      <c r="I138" s="7">
        <f>IF($A138="","",'02_Buyers'!$AU125)</f>
        <v/>
      </c>
      <c r="J138" s="7">
        <f>IF($A138="","",'02_Buyers'!$W125)</f>
        <v/>
      </c>
      <c r="K138" s="7">
        <f>IF(OR($A138="",$I138=""),"",IF(OR(AND($I138="부보 유리",$J138="N"),AND($I138="무보험 유리",$J138="Y")),"검토",""))</f>
        <v/>
      </c>
    </row>
    <row r="139">
      <c r="A139" s="7">
        <f>IF('02_Buyers'!$A126="","",'02_Buyers'!$A126)</f>
        <v/>
      </c>
      <c r="B139" s="7">
        <f>IF($A139="","",'02_Buyers'!$AK126)</f>
        <v/>
      </c>
      <c r="C139" s="44">
        <f>IF($A139="","",'02_Buyers'!$Z126)</f>
        <v/>
      </c>
      <c r="D139" s="45">
        <f>IF($A139="","",'02_Buyers'!$V126)</f>
        <v/>
      </c>
      <c r="E139" s="46">
        <f>IF($A139="","",'02_Buyers'!$AR126)</f>
        <v/>
      </c>
      <c r="F139" s="46">
        <f>IF($A139="","",'02_Buyers'!$AS126)</f>
        <v/>
      </c>
      <c r="G139" s="44">
        <f>IF(OR($A139="",$E139=""),"",$C139/(1+$E139*$D139/DayBasis))</f>
        <v/>
      </c>
      <c r="H139" s="44">
        <f>IF(OR($A139="",$F139=""),"",$C139/(1+$F139*$D139/DayBasis))</f>
        <v/>
      </c>
      <c r="I139" s="7">
        <f>IF($A139="","",'02_Buyers'!$AU126)</f>
        <v/>
      </c>
      <c r="J139" s="7">
        <f>IF($A139="","",'02_Buyers'!$W126)</f>
        <v/>
      </c>
      <c r="K139" s="7">
        <f>IF(OR($A139="",$I139=""),"",IF(OR(AND($I139="부보 유리",$J139="N"),AND($I139="무보험 유리",$J139="Y")),"검토",""))</f>
        <v/>
      </c>
    </row>
    <row r="140">
      <c r="A140" s="7">
        <f>IF('02_Buyers'!$A127="","",'02_Buyers'!$A127)</f>
        <v/>
      </c>
      <c r="B140" s="7">
        <f>IF($A140="","",'02_Buyers'!$AK127)</f>
        <v/>
      </c>
      <c r="C140" s="44">
        <f>IF($A140="","",'02_Buyers'!$Z127)</f>
        <v/>
      </c>
      <c r="D140" s="45">
        <f>IF($A140="","",'02_Buyers'!$V127)</f>
        <v/>
      </c>
      <c r="E140" s="46">
        <f>IF($A140="","",'02_Buyers'!$AR127)</f>
        <v/>
      </c>
      <c r="F140" s="46">
        <f>IF($A140="","",'02_Buyers'!$AS127)</f>
        <v/>
      </c>
      <c r="G140" s="44">
        <f>IF(OR($A140="",$E140=""),"",$C140/(1+$E140*$D140/DayBasis))</f>
        <v/>
      </c>
      <c r="H140" s="44">
        <f>IF(OR($A140="",$F140=""),"",$C140/(1+$F140*$D140/DayBasis))</f>
        <v/>
      </c>
      <c r="I140" s="7">
        <f>IF($A140="","",'02_Buyers'!$AU127)</f>
        <v/>
      </c>
      <c r="J140" s="7">
        <f>IF($A140="","",'02_Buyers'!$W127)</f>
        <v/>
      </c>
      <c r="K140" s="7">
        <f>IF(OR($A140="",$I140=""),"",IF(OR(AND($I140="부보 유리",$J140="N"),AND($I140="무보험 유리",$J140="Y")),"검토",""))</f>
        <v/>
      </c>
    </row>
    <row r="141">
      <c r="A141" s="7">
        <f>IF('02_Buyers'!$A128="","",'02_Buyers'!$A128)</f>
        <v/>
      </c>
      <c r="B141" s="7">
        <f>IF($A141="","",'02_Buyers'!$AK128)</f>
        <v/>
      </c>
      <c r="C141" s="44">
        <f>IF($A141="","",'02_Buyers'!$Z128)</f>
        <v/>
      </c>
      <c r="D141" s="45">
        <f>IF($A141="","",'02_Buyers'!$V128)</f>
        <v/>
      </c>
      <c r="E141" s="46">
        <f>IF($A141="","",'02_Buyers'!$AR128)</f>
        <v/>
      </c>
      <c r="F141" s="46">
        <f>IF($A141="","",'02_Buyers'!$AS128)</f>
        <v/>
      </c>
      <c r="G141" s="44">
        <f>IF(OR($A141="",$E141=""),"",$C141/(1+$E141*$D141/DayBasis))</f>
        <v/>
      </c>
      <c r="H141" s="44">
        <f>IF(OR($A141="",$F141=""),"",$C141/(1+$F141*$D141/DayBasis))</f>
        <v/>
      </c>
      <c r="I141" s="7">
        <f>IF($A141="","",'02_Buyers'!$AU128)</f>
        <v/>
      </c>
      <c r="J141" s="7">
        <f>IF($A141="","",'02_Buyers'!$W128)</f>
        <v/>
      </c>
      <c r="K141" s="7">
        <f>IF(OR($A141="",$I141=""),"",IF(OR(AND($I141="부보 유리",$J141="N"),AND($I141="무보험 유리",$J141="Y")),"검토",""))</f>
        <v/>
      </c>
    </row>
    <row r="142">
      <c r="A142" s="7">
        <f>IF('02_Buyers'!$A129="","",'02_Buyers'!$A129)</f>
        <v/>
      </c>
      <c r="B142" s="7">
        <f>IF($A142="","",'02_Buyers'!$AK129)</f>
        <v/>
      </c>
      <c r="C142" s="44">
        <f>IF($A142="","",'02_Buyers'!$Z129)</f>
        <v/>
      </c>
      <c r="D142" s="45">
        <f>IF($A142="","",'02_Buyers'!$V129)</f>
        <v/>
      </c>
      <c r="E142" s="46">
        <f>IF($A142="","",'02_Buyers'!$AR129)</f>
        <v/>
      </c>
      <c r="F142" s="46">
        <f>IF($A142="","",'02_Buyers'!$AS129)</f>
        <v/>
      </c>
      <c r="G142" s="44">
        <f>IF(OR($A142="",$E142=""),"",$C142/(1+$E142*$D142/DayBasis))</f>
        <v/>
      </c>
      <c r="H142" s="44">
        <f>IF(OR($A142="",$F142=""),"",$C142/(1+$F142*$D142/DayBasis))</f>
        <v/>
      </c>
      <c r="I142" s="7">
        <f>IF($A142="","",'02_Buyers'!$AU129)</f>
        <v/>
      </c>
      <c r="J142" s="7">
        <f>IF($A142="","",'02_Buyers'!$W129)</f>
        <v/>
      </c>
      <c r="K142" s="7">
        <f>IF(OR($A142="",$I142=""),"",IF(OR(AND($I142="부보 유리",$J142="N"),AND($I142="무보험 유리",$J142="Y")),"검토",""))</f>
        <v/>
      </c>
    </row>
    <row r="143">
      <c r="A143" s="7">
        <f>IF('02_Buyers'!$A130="","",'02_Buyers'!$A130)</f>
        <v/>
      </c>
      <c r="B143" s="7">
        <f>IF($A143="","",'02_Buyers'!$AK130)</f>
        <v/>
      </c>
      <c r="C143" s="44">
        <f>IF($A143="","",'02_Buyers'!$Z130)</f>
        <v/>
      </c>
      <c r="D143" s="45">
        <f>IF($A143="","",'02_Buyers'!$V130)</f>
        <v/>
      </c>
      <c r="E143" s="46">
        <f>IF($A143="","",'02_Buyers'!$AR130)</f>
        <v/>
      </c>
      <c r="F143" s="46">
        <f>IF($A143="","",'02_Buyers'!$AS130)</f>
        <v/>
      </c>
      <c r="G143" s="44">
        <f>IF(OR($A143="",$E143=""),"",$C143/(1+$E143*$D143/DayBasis))</f>
        <v/>
      </c>
      <c r="H143" s="44">
        <f>IF(OR($A143="",$F143=""),"",$C143/(1+$F143*$D143/DayBasis))</f>
        <v/>
      </c>
      <c r="I143" s="7">
        <f>IF($A143="","",'02_Buyers'!$AU130)</f>
        <v/>
      </c>
      <c r="J143" s="7">
        <f>IF($A143="","",'02_Buyers'!$W130)</f>
        <v/>
      </c>
      <c r="K143" s="7">
        <f>IF(OR($A143="",$I143=""),"",IF(OR(AND($I143="부보 유리",$J143="N"),AND($I143="무보험 유리",$J143="Y")),"검토",""))</f>
        <v/>
      </c>
    </row>
    <row r="144">
      <c r="A144" s="7">
        <f>IF('02_Buyers'!$A131="","",'02_Buyers'!$A131)</f>
        <v/>
      </c>
      <c r="B144" s="7">
        <f>IF($A144="","",'02_Buyers'!$AK131)</f>
        <v/>
      </c>
      <c r="C144" s="44">
        <f>IF($A144="","",'02_Buyers'!$Z131)</f>
        <v/>
      </c>
      <c r="D144" s="45">
        <f>IF($A144="","",'02_Buyers'!$V131)</f>
        <v/>
      </c>
      <c r="E144" s="46">
        <f>IF($A144="","",'02_Buyers'!$AR131)</f>
        <v/>
      </c>
      <c r="F144" s="46">
        <f>IF($A144="","",'02_Buyers'!$AS131)</f>
        <v/>
      </c>
      <c r="G144" s="44">
        <f>IF(OR($A144="",$E144=""),"",$C144/(1+$E144*$D144/DayBasis))</f>
        <v/>
      </c>
      <c r="H144" s="44">
        <f>IF(OR($A144="",$F144=""),"",$C144/(1+$F144*$D144/DayBasis))</f>
        <v/>
      </c>
      <c r="I144" s="7">
        <f>IF($A144="","",'02_Buyers'!$AU131)</f>
        <v/>
      </c>
      <c r="J144" s="7">
        <f>IF($A144="","",'02_Buyers'!$W131)</f>
        <v/>
      </c>
      <c r="K144" s="7">
        <f>IF(OR($A144="",$I144=""),"",IF(OR(AND($I144="부보 유리",$J144="N"),AND($I144="무보험 유리",$J144="Y")),"검토",""))</f>
        <v/>
      </c>
    </row>
    <row r="145">
      <c r="A145" s="7">
        <f>IF('02_Buyers'!$A132="","",'02_Buyers'!$A132)</f>
        <v/>
      </c>
      <c r="B145" s="7">
        <f>IF($A145="","",'02_Buyers'!$AK132)</f>
        <v/>
      </c>
      <c r="C145" s="44">
        <f>IF($A145="","",'02_Buyers'!$Z132)</f>
        <v/>
      </c>
      <c r="D145" s="45">
        <f>IF($A145="","",'02_Buyers'!$V132)</f>
        <v/>
      </c>
      <c r="E145" s="46">
        <f>IF($A145="","",'02_Buyers'!$AR132)</f>
        <v/>
      </c>
      <c r="F145" s="46">
        <f>IF($A145="","",'02_Buyers'!$AS132)</f>
        <v/>
      </c>
      <c r="G145" s="44">
        <f>IF(OR($A145="",$E145=""),"",$C145/(1+$E145*$D145/DayBasis))</f>
        <v/>
      </c>
      <c r="H145" s="44">
        <f>IF(OR($A145="",$F145=""),"",$C145/(1+$F145*$D145/DayBasis))</f>
        <v/>
      </c>
      <c r="I145" s="7">
        <f>IF($A145="","",'02_Buyers'!$AU132)</f>
        <v/>
      </c>
      <c r="J145" s="7">
        <f>IF($A145="","",'02_Buyers'!$W132)</f>
        <v/>
      </c>
      <c r="K145" s="7">
        <f>IF(OR($A145="",$I145=""),"",IF(OR(AND($I145="부보 유리",$J145="N"),AND($I145="무보험 유리",$J145="Y")),"검토",""))</f>
        <v/>
      </c>
    </row>
    <row r="146">
      <c r="A146" s="7">
        <f>IF('02_Buyers'!$A133="","",'02_Buyers'!$A133)</f>
        <v/>
      </c>
      <c r="B146" s="7">
        <f>IF($A146="","",'02_Buyers'!$AK133)</f>
        <v/>
      </c>
      <c r="C146" s="44">
        <f>IF($A146="","",'02_Buyers'!$Z133)</f>
        <v/>
      </c>
      <c r="D146" s="45">
        <f>IF($A146="","",'02_Buyers'!$V133)</f>
        <v/>
      </c>
      <c r="E146" s="46">
        <f>IF($A146="","",'02_Buyers'!$AR133)</f>
        <v/>
      </c>
      <c r="F146" s="46">
        <f>IF($A146="","",'02_Buyers'!$AS133)</f>
        <v/>
      </c>
      <c r="G146" s="44">
        <f>IF(OR($A146="",$E146=""),"",$C146/(1+$E146*$D146/DayBasis))</f>
        <v/>
      </c>
      <c r="H146" s="44">
        <f>IF(OR($A146="",$F146=""),"",$C146/(1+$F146*$D146/DayBasis))</f>
        <v/>
      </c>
      <c r="I146" s="7">
        <f>IF($A146="","",'02_Buyers'!$AU133)</f>
        <v/>
      </c>
      <c r="J146" s="7">
        <f>IF($A146="","",'02_Buyers'!$W133)</f>
        <v/>
      </c>
      <c r="K146" s="7">
        <f>IF(OR($A146="",$I146=""),"",IF(OR(AND($I146="부보 유리",$J146="N"),AND($I146="무보험 유리",$J146="Y")),"검토",""))</f>
        <v/>
      </c>
    </row>
    <row r="147">
      <c r="A147" s="7">
        <f>IF('02_Buyers'!$A134="","",'02_Buyers'!$A134)</f>
        <v/>
      </c>
      <c r="B147" s="7">
        <f>IF($A147="","",'02_Buyers'!$AK134)</f>
        <v/>
      </c>
      <c r="C147" s="44">
        <f>IF($A147="","",'02_Buyers'!$Z134)</f>
        <v/>
      </c>
      <c r="D147" s="45">
        <f>IF($A147="","",'02_Buyers'!$V134)</f>
        <v/>
      </c>
      <c r="E147" s="46">
        <f>IF($A147="","",'02_Buyers'!$AR134)</f>
        <v/>
      </c>
      <c r="F147" s="46">
        <f>IF($A147="","",'02_Buyers'!$AS134)</f>
        <v/>
      </c>
      <c r="G147" s="44">
        <f>IF(OR($A147="",$E147=""),"",$C147/(1+$E147*$D147/DayBasis))</f>
        <v/>
      </c>
      <c r="H147" s="44">
        <f>IF(OR($A147="",$F147=""),"",$C147/(1+$F147*$D147/DayBasis))</f>
        <v/>
      </c>
      <c r="I147" s="7">
        <f>IF($A147="","",'02_Buyers'!$AU134)</f>
        <v/>
      </c>
      <c r="J147" s="7">
        <f>IF($A147="","",'02_Buyers'!$W134)</f>
        <v/>
      </c>
      <c r="K147" s="7">
        <f>IF(OR($A147="",$I147=""),"",IF(OR(AND($I147="부보 유리",$J147="N"),AND($I147="무보험 유리",$J147="Y")),"검토",""))</f>
        <v/>
      </c>
    </row>
    <row r="148">
      <c r="A148" s="7">
        <f>IF('02_Buyers'!$A135="","",'02_Buyers'!$A135)</f>
        <v/>
      </c>
      <c r="B148" s="7">
        <f>IF($A148="","",'02_Buyers'!$AK135)</f>
        <v/>
      </c>
      <c r="C148" s="44">
        <f>IF($A148="","",'02_Buyers'!$Z135)</f>
        <v/>
      </c>
      <c r="D148" s="45">
        <f>IF($A148="","",'02_Buyers'!$V135)</f>
        <v/>
      </c>
      <c r="E148" s="46">
        <f>IF($A148="","",'02_Buyers'!$AR135)</f>
        <v/>
      </c>
      <c r="F148" s="46">
        <f>IF($A148="","",'02_Buyers'!$AS135)</f>
        <v/>
      </c>
      <c r="G148" s="44">
        <f>IF(OR($A148="",$E148=""),"",$C148/(1+$E148*$D148/DayBasis))</f>
        <v/>
      </c>
      <c r="H148" s="44">
        <f>IF(OR($A148="",$F148=""),"",$C148/(1+$F148*$D148/DayBasis))</f>
        <v/>
      </c>
      <c r="I148" s="7">
        <f>IF($A148="","",'02_Buyers'!$AU135)</f>
        <v/>
      </c>
      <c r="J148" s="7">
        <f>IF($A148="","",'02_Buyers'!$W135)</f>
        <v/>
      </c>
      <c r="K148" s="7">
        <f>IF(OR($A148="",$I148=""),"",IF(OR(AND($I148="부보 유리",$J148="N"),AND($I148="무보험 유리",$J148="Y")),"검토",""))</f>
        <v/>
      </c>
    </row>
    <row r="149">
      <c r="A149" s="7">
        <f>IF('02_Buyers'!$A136="","",'02_Buyers'!$A136)</f>
        <v/>
      </c>
      <c r="B149" s="7">
        <f>IF($A149="","",'02_Buyers'!$AK136)</f>
        <v/>
      </c>
      <c r="C149" s="44">
        <f>IF($A149="","",'02_Buyers'!$Z136)</f>
        <v/>
      </c>
      <c r="D149" s="45">
        <f>IF($A149="","",'02_Buyers'!$V136)</f>
        <v/>
      </c>
      <c r="E149" s="46">
        <f>IF($A149="","",'02_Buyers'!$AR136)</f>
        <v/>
      </c>
      <c r="F149" s="46">
        <f>IF($A149="","",'02_Buyers'!$AS136)</f>
        <v/>
      </c>
      <c r="G149" s="44">
        <f>IF(OR($A149="",$E149=""),"",$C149/(1+$E149*$D149/DayBasis))</f>
        <v/>
      </c>
      <c r="H149" s="44">
        <f>IF(OR($A149="",$F149=""),"",$C149/(1+$F149*$D149/DayBasis))</f>
        <v/>
      </c>
      <c r="I149" s="7">
        <f>IF($A149="","",'02_Buyers'!$AU136)</f>
        <v/>
      </c>
      <c r="J149" s="7">
        <f>IF($A149="","",'02_Buyers'!$W136)</f>
        <v/>
      </c>
      <c r="K149" s="7">
        <f>IF(OR($A149="",$I149=""),"",IF(OR(AND($I149="부보 유리",$J149="N"),AND($I149="무보험 유리",$J149="Y")),"검토",""))</f>
        <v/>
      </c>
    </row>
    <row r="150">
      <c r="A150" s="7">
        <f>IF('02_Buyers'!$A137="","",'02_Buyers'!$A137)</f>
        <v/>
      </c>
      <c r="B150" s="7">
        <f>IF($A150="","",'02_Buyers'!$AK137)</f>
        <v/>
      </c>
      <c r="C150" s="44">
        <f>IF($A150="","",'02_Buyers'!$Z137)</f>
        <v/>
      </c>
      <c r="D150" s="45">
        <f>IF($A150="","",'02_Buyers'!$V137)</f>
        <v/>
      </c>
      <c r="E150" s="46">
        <f>IF($A150="","",'02_Buyers'!$AR137)</f>
        <v/>
      </c>
      <c r="F150" s="46">
        <f>IF($A150="","",'02_Buyers'!$AS137)</f>
        <v/>
      </c>
      <c r="G150" s="44">
        <f>IF(OR($A150="",$E150=""),"",$C150/(1+$E150*$D150/DayBasis))</f>
        <v/>
      </c>
      <c r="H150" s="44">
        <f>IF(OR($A150="",$F150=""),"",$C150/(1+$F150*$D150/DayBasis))</f>
        <v/>
      </c>
      <c r="I150" s="7">
        <f>IF($A150="","",'02_Buyers'!$AU137)</f>
        <v/>
      </c>
      <c r="J150" s="7">
        <f>IF($A150="","",'02_Buyers'!$W137)</f>
        <v/>
      </c>
      <c r="K150" s="7">
        <f>IF(OR($A150="",$I150=""),"",IF(OR(AND($I150="부보 유리",$J150="N"),AND($I150="무보험 유리",$J150="Y")),"검토",""))</f>
        <v/>
      </c>
    </row>
    <row r="151">
      <c r="A151" s="7">
        <f>IF('02_Buyers'!$A138="","",'02_Buyers'!$A138)</f>
        <v/>
      </c>
      <c r="B151" s="7">
        <f>IF($A151="","",'02_Buyers'!$AK138)</f>
        <v/>
      </c>
      <c r="C151" s="44">
        <f>IF($A151="","",'02_Buyers'!$Z138)</f>
        <v/>
      </c>
      <c r="D151" s="45">
        <f>IF($A151="","",'02_Buyers'!$V138)</f>
        <v/>
      </c>
      <c r="E151" s="46">
        <f>IF($A151="","",'02_Buyers'!$AR138)</f>
        <v/>
      </c>
      <c r="F151" s="46">
        <f>IF($A151="","",'02_Buyers'!$AS138)</f>
        <v/>
      </c>
      <c r="G151" s="44">
        <f>IF(OR($A151="",$E151=""),"",$C151/(1+$E151*$D151/DayBasis))</f>
        <v/>
      </c>
      <c r="H151" s="44">
        <f>IF(OR($A151="",$F151=""),"",$C151/(1+$F151*$D151/DayBasis))</f>
        <v/>
      </c>
      <c r="I151" s="7">
        <f>IF($A151="","",'02_Buyers'!$AU138)</f>
        <v/>
      </c>
      <c r="J151" s="7">
        <f>IF($A151="","",'02_Buyers'!$W138)</f>
        <v/>
      </c>
      <c r="K151" s="7">
        <f>IF(OR($A151="",$I151=""),"",IF(OR(AND($I151="부보 유리",$J151="N"),AND($I151="무보험 유리",$J151="Y")),"검토",""))</f>
        <v/>
      </c>
    </row>
    <row r="152">
      <c r="A152" s="7">
        <f>IF('02_Buyers'!$A139="","",'02_Buyers'!$A139)</f>
        <v/>
      </c>
      <c r="B152" s="7">
        <f>IF($A152="","",'02_Buyers'!$AK139)</f>
        <v/>
      </c>
      <c r="C152" s="44">
        <f>IF($A152="","",'02_Buyers'!$Z139)</f>
        <v/>
      </c>
      <c r="D152" s="45">
        <f>IF($A152="","",'02_Buyers'!$V139)</f>
        <v/>
      </c>
      <c r="E152" s="46">
        <f>IF($A152="","",'02_Buyers'!$AR139)</f>
        <v/>
      </c>
      <c r="F152" s="46">
        <f>IF($A152="","",'02_Buyers'!$AS139)</f>
        <v/>
      </c>
      <c r="G152" s="44">
        <f>IF(OR($A152="",$E152=""),"",$C152/(1+$E152*$D152/DayBasis))</f>
        <v/>
      </c>
      <c r="H152" s="44">
        <f>IF(OR($A152="",$F152=""),"",$C152/(1+$F152*$D152/DayBasis))</f>
        <v/>
      </c>
      <c r="I152" s="7">
        <f>IF($A152="","",'02_Buyers'!$AU139)</f>
        <v/>
      </c>
      <c r="J152" s="7">
        <f>IF($A152="","",'02_Buyers'!$W139)</f>
        <v/>
      </c>
      <c r="K152" s="7">
        <f>IF(OR($A152="",$I152=""),"",IF(OR(AND($I152="부보 유리",$J152="N"),AND($I152="무보험 유리",$J152="Y")),"검토",""))</f>
        <v/>
      </c>
    </row>
    <row r="153">
      <c r="A153" s="7">
        <f>IF('02_Buyers'!$A140="","",'02_Buyers'!$A140)</f>
        <v/>
      </c>
      <c r="B153" s="7">
        <f>IF($A153="","",'02_Buyers'!$AK140)</f>
        <v/>
      </c>
      <c r="C153" s="44">
        <f>IF($A153="","",'02_Buyers'!$Z140)</f>
        <v/>
      </c>
      <c r="D153" s="45">
        <f>IF($A153="","",'02_Buyers'!$V140)</f>
        <v/>
      </c>
      <c r="E153" s="46">
        <f>IF($A153="","",'02_Buyers'!$AR140)</f>
        <v/>
      </c>
      <c r="F153" s="46">
        <f>IF($A153="","",'02_Buyers'!$AS140)</f>
        <v/>
      </c>
      <c r="G153" s="44">
        <f>IF(OR($A153="",$E153=""),"",$C153/(1+$E153*$D153/DayBasis))</f>
        <v/>
      </c>
      <c r="H153" s="44">
        <f>IF(OR($A153="",$F153=""),"",$C153/(1+$F153*$D153/DayBasis))</f>
        <v/>
      </c>
      <c r="I153" s="7">
        <f>IF($A153="","",'02_Buyers'!$AU140)</f>
        <v/>
      </c>
      <c r="J153" s="7">
        <f>IF($A153="","",'02_Buyers'!$W140)</f>
        <v/>
      </c>
      <c r="K153" s="7">
        <f>IF(OR($A153="",$I153=""),"",IF(OR(AND($I153="부보 유리",$J153="N"),AND($I153="무보험 유리",$J153="Y")),"검토",""))</f>
        <v/>
      </c>
    </row>
    <row r="154">
      <c r="A154" s="7">
        <f>IF('02_Buyers'!$A141="","",'02_Buyers'!$A141)</f>
        <v/>
      </c>
      <c r="B154" s="7">
        <f>IF($A154="","",'02_Buyers'!$AK141)</f>
        <v/>
      </c>
      <c r="C154" s="44">
        <f>IF($A154="","",'02_Buyers'!$Z141)</f>
        <v/>
      </c>
      <c r="D154" s="45">
        <f>IF($A154="","",'02_Buyers'!$V141)</f>
        <v/>
      </c>
      <c r="E154" s="46">
        <f>IF($A154="","",'02_Buyers'!$AR141)</f>
        <v/>
      </c>
      <c r="F154" s="46">
        <f>IF($A154="","",'02_Buyers'!$AS141)</f>
        <v/>
      </c>
      <c r="G154" s="44">
        <f>IF(OR($A154="",$E154=""),"",$C154/(1+$E154*$D154/DayBasis))</f>
        <v/>
      </c>
      <c r="H154" s="44">
        <f>IF(OR($A154="",$F154=""),"",$C154/(1+$F154*$D154/DayBasis))</f>
        <v/>
      </c>
      <c r="I154" s="7">
        <f>IF($A154="","",'02_Buyers'!$AU141)</f>
        <v/>
      </c>
      <c r="J154" s="7">
        <f>IF($A154="","",'02_Buyers'!$W141)</f>
        <v/>
      </c>
      <c r="K154" s="7">
        <f>IF(OR($A154="",$I154=""),"",IF(OR(AND($I154="부보 유리",$J154="N"),AND($I154="무보험 유리",$J154="Y")),"검토",""))</f>
        <v/>
      </c>
    </row>
    <row r="155">
      <c r="A155" s="7">
        <f>IF('02_Buyers'!$A142="","",'02_Buyers'!$A142)</f>
        <v/>
      </c>
      <c r="B155" s="7">
        <f>IF($A155="","",'02_Buyers'!$AK142)</f>
        <v/>
      </c>
      <c r="C155" s="44">
        <f>IF($A155="","",'02_Buyers'!$Z142)</f>
        <v/>
      </c>
      <c r="D155" s="45">
        <f>IF($A155="","",'02_Buyers'!$V142)</f>
        <v/>
      </c>
      <c r="E155" s="46">
        <f>IF($A155="","",'02_Buyers'!$AR142)</f>
        <v/>
      </c>
      <c r="F155" s="46">
        <f>IF($A155="","",'02_Buyers'!$AS142)</f>
        <v/>
      </c>
      <c r="G155" s="44">
        <f>IF(OR($A155="",$E155=""),"",$C155/(1+$E155*$D155/DayBasis))</f>
        <v/>
      </c>
      <c r="H155" s="44">
        <f>IF(OR($A155="",$F155=""),"",$C155/(1+$F155*$D155/DayBasis))</f>
        <v/>
      </c>
      <c r="I155" s="7">
        <f>IF($A155="","",'02_Buyers'!$AU142)</f>
        <v/>
      </c>
      <c r="J155" s="7">
        <f>IF($A155="","",'02_Buyers'!$W142)</f>
        <v/>
      </c>
      <c r="K155" s="7">
        <f>IF(OR($A155="",$I155=""),"",IF(OR(AND($I155="부보 유리",$J155="N"),AND($I155="무보험 유리",$J155="Y")),"검토",""))</f>
        <v/>
      </c>
    </row>
    <row r="156">
      <c r="A156" s="7">
        <f>IF('02_Buyers'!$A143="","",'02_Buyers'!$A143)</f>
        <v/>
      </c>
      <c r="B156" s="7">
        <f>IF($A156="","",'02_Buyers'!$AK143)</f>
        <v/>
      </c>
      <c r="C156" s="44">
        <f>IF($A156="","",'02_Buyers'!$Z143)</f>
        <v/>
      </c>
      <c r="D156" s="45">
        <f>IF($A156="","",'02_Buyers'!$V143)</f>
        <v/>
      </c>
      <c r="E156" s="46">
        <f>IF($A156="","",'02_Buyers'!$AR143)</f>
        <v/>
      </c>
      <c r="F156" s="46">
        <f>IF($A156="","",'02_Buyers'!$AS143)</f>
        <v/>
      </c>
      <c r="G156" s="44">
        <f>IF(OR($A156="",$E156=""),"",$C156/(1+$E156*$D156/DayBasis))</f>
        <v/>
      </c>
      <c r="H156" s="44">
        <f>IF(OR($A156="",$F156=""),"",$C156/(1+$F156*$D156/DayBasis))</f>
        <v/>
      </c>
      <c r="I156" s="7">
        <f>IF($A156="","",'02_Buyers'!$AU143)</f>
        <v/>
      </c>
      <c r="J156" s="7">
        <f>IF($A156="","",'02_Buyers'!$W143)</f>
        <v/>
      </c>
      <c r="K156" s="7">
        <f>IF(OR($A156="",$I156=""),"",IF(OR(AND($I156="부보 유리",$J156="N"),AND($I156="무보험 유리",$J156="Y")),"검토",""))</f>
        <v/>
      </c>
    </row>
    <row r="157">
      <c r="A157" s="7">
        <f>IF('02_Buyers'!$A144="","",'02_Buyers'!$A144)</f>
        <v/>
      </c>
      <c r="B157" s="7">
        <f>IF($A157="","",'02_Buyers'!$AK144)</f>
        <v/>
      </c>
      <c r="C157" s="44">
        <f>IF($A157="","",'02_Buyers'!$Z144)</f>
        <v/>
      </c>
      <c r="D157" s="45">
        <f>IF($A157="","",'02_Buyers'!$V144)</f>
        <v/>
      </c>
      <c r="E157" s="46">
        <f>IF($A157="","",'02_Buyers'!$AR144)</f>
        <v/>
      </c>
      <c r="F157" s="46">
        <f>IF($A157="","",'02_Buyers'!$AS144)</f>
        <v/>
      </c>
      <c r="G157" s="44">
        <f>IF(OR($A157="",$E157=""),"",$C157/(1+$E157*$D157/DayBasis))</f>
        <v/>
      </c>
      <c r="H157" s="44">
        <f>IF(OR($A157="",$F157=""),"",$C157/(1+$F157*$D157/DayBasis))</f>
        <v/>
      </c>
      <c r="I157" s="7">
        <f>IF($A157="","",'02_Buyers'!$AU144)</f>
        <v/>
      </c>
      <c r="J157" s="7">
        <f>IF($A157="","",'02_Buyers'!$W144)</f>
        <v/>
      </c>
      <c r="K157" s="7">
        <f>IF(OR($A157="",$I157=""),"",IF(OR(AND($I157="부보 유리",$J157="N"),AND($I157="무보험 유리",$J157="Y")),"검토",""))</f>
        <v/>
      </c>
    </row>
    <row r="158">
      <c r="A158" s="7">
        <f>IF('02_Buyers'!$A145="","",'02_Buyers'!$A145)</f>
        <v/>
      </c>
      <c r="B158" s="7">
        <f>IF($A158="","",'02_Buyers'!$AK145)</f>
        <v/>
      </c>
      <c r="C158" s="44">
        <f>IF($A158="","",'02_Buyers'!$Z145)</f>
        <v/>
      </c>
      <c r="D158" s="45">
        <f>IF($A158="","",'02_Buyers'!$V145)</f>
        <v/>
      </c>
      <c r="E158" s="46">
        <f>IF($A158="","",'02_Buyers'!$AR145)</f>
        <v/>
      </c>
      <c r="F158" s="46">
        <f>IF($A158="","",'02_Buyers'!$AS145)</f>
        <v/>
      </c>
      <c r="G158" s="44">
        <f>IF(OR($A158="",$E158=""),"",$C158/(1+$E158*$D158/DayBasis))</f>
        <v/>
      </c>
      <c r="H158" s="44">
        <f>IF(OR($A158="",$F158=""),"",$C158/(1+$F158*$D158/DayBasis))</f>
        <v/>
      </c>
      <c r="I158" s="7">
        <f>IF($A158="","",'02_Buyers'!$AU145)</f>
        <v/>
      </c>
      <c r="J158" s="7">
        <f>IF($A158="","",'02_Buyers'!$W145)</f>
        <v/>
      </c>
      <c r="K158" s="7">
        <f>IF(OR($A158="",$I158=""),"",IF(OR(AND($I158="부보 유리",$J158="N"),AND($I158="무보험 유리",$J158="Y")),"검토",""))</f>
        <v/>
      </c>
    </row>
    <row r="159">
      <c r="A159" s="7">
        <f>IF('02_Buyers'!$A146="","",'02_Buyers'!$A146)</f>
        <v/>
      </c>
      <c r="B159" s="7">
        <f>IF($A159="","",'02_Buyers'!$AK146)</f>
        <v/>
      </c>
      <c r="C159" s="44">
        <f>IF($A159="","",'02_Buyers'!$Z146)</f>
        <v/>
      </c>
      <c r="D159" s="45">
        <f>IF($A159="","",'02_Buyers'!$V146)</f>
        <v/>
      </c>
      <c r="E159" s="46">
        <f>IF($A159="","",'02_Buyers'!$AR146)</f>
        <v/>
      </c>
      <c r="F159" s="46">
        <f>IF($A159="","",'02_Buyers'!$AS146)</f>
        <v/>
      </c>
      <c r="G159" s="44">
        <f>IF(OR($A159="",$E159=""),"",$C159/(1+$E159*$D159/DayBasis))</f>
        <v/>
      </c>
      <c r="H159" s="44">
        <f>IF(OR($A159="",$F159=""),"",$C159/(1+$F159*$D159/DayBasis))</f>
        <v/>
      </c>
      <c r="I159" s="7">
        <f>IF($A159="","",'02_Buyers'!$AU146)</f>
        <v/>
      </c>
      <c r="J159" s="7">
        <f>IF($A159="","",'02_Buyers'!$W146)</f>
        <v/>
      </c>
      <c r="K159" s="7">
        <f>IF(OR($A159="",$I159=""),"",IF(OR(AND($I159="부보 유리",$J159="N"),AND($I159="무보험 유리",$J159="Y")),"검토",""))</f>
        <v/>
      </c>
    </row>
    <row r="160">
      <c r="A160" s="7">
        <f>IF('02_Buyers'!$A147="","",'02_Buyers'!$A147)</f>
        <v/>
      </c>
      <c r="B160" s="7">
        <f>IF($A160="","",'02_Buyers'!$AK147)</f>
        <v/>
      </c>
      <c r="C160" s="44">
        <f>IF($A160="","",'02_Buyers'!$Z147)</f>
        <v/>
      </c>
      <c r="D160" s="45">
        <f>IF($A160="","",'02_Buyers'!$V147)</f>
        <v/>
      </c>
      <c r="E160" s="46">
        <f>IF($A160="","",'02_Buyers'!$AR147)</f>
        <v/>
      </c>
      <c r="F160" s="46">
        <f>IF($A160="","",'02_Buyers'!$AS147)</f>
        <v/>
      </c>
      <c r="G160" s="44">
        <f>IF(OR($A160="",$E160=""),"",$C160/(1+$E160*$D160/DayBasis))</f>
        <v/>
      </c>
      <c r="H160" s="44">
        <f>IF(OR($A160="",$F160=""),"",$C160/(1+$F160*$D160/DayBasis))</f>
        <v/>
      </c>
      <c r="I160" s="7">
        <f>IF($A160="","",'02_Buyers'!$AU147)</f>
        <v/>
      </c>
      <c r="J160" s="7">
        <f>IF($A160="","",'02_Buyers'!$W147)</f>
        <v/>
      </c>
      <c r="K160" s="7">
        <f>IF(OR($A160="",$I160=""),"",IF(OR(AND($I160="부보 유리",$J160="N"),AND($I160="무보험 유리",$J160="Y")),"검토",""))</f>
        <v/>
      </c>
    </row>
    <row r="161">
      <c r="A161" s="7">
        <f>IF('02_Buyers'!$A148="","",'02_Buyers'!$A148)</f>
        <v/>
      </c>
      <c r="B161" s="7">
        <f>IF($A161="","",'02_Buyers'!$AK148)</f>
        <v/>
      </c>
      <c r="C161" s="44">
        <f>IF($A161="","",'02_Buyers'!$Z148)</f>
        <v/>
      </c>
      <c r="D161" s="45">
        <f>IF($A161="","",'02_Buyers'!$V148)</f>
        <v/>
      </c>
      <c r="E161" s="46">
        <f>IF($A161="","",'02_Buyers'!$AR148)</f>
        <v/>
      </c>
      <c r="F161" s="46">
        <f>IF($A161="","",'02_Buyers'!$AS148)</f>
        <v/>
      </c>
      <c r="G161" s="44">
        <f>IF(OR($A161="",$E161=""),"",$C161/(1+$E161*$D161/DayBasis))</f>
        <v/>
      </c>
      <c r="H161" s="44">
        <f>IF(OR($A161="",$F161=""),"",$C161/(1+$F161*$D161/DayBasis))</f>
        <v/>
      </c>
      <c r="I161" s="7">
        <f>IF($A161="","",'02_Buyers'!$AU148)</f>
        <v/>
      </c>
      <c r="J161" s="7">
        <f>IF($A161="","",'02_Buyers'!$W148)</f>
        <v/>
      </c>
      <c r="K161" s="7">
        <f>IF(OR($A161="",$I161=""),"",IF(OR(AND($I161="부보 유리",$J161="N"),AND($I161="무보험 유리",$J161="Y")),"검토",""))</f>
        <v/>
      </c>
    </row>
    <row r="162">
      <c r="A162" s="7">
        <f>IF('02_Buyers'!$A149="","",'02_Buyers'!$A149)</f>
        <v/>
      </c>
      <c r="B162" s="7">
        <f>IF($A162="","",'02_Buyers'!$AK149)</f>
        <v/>
      </c>
      <c r="C162" s="44">
        <f>IF($A162="","",'02_Buyers'!$Z149)</f>
        <v/>
      </c>
      <c r="D162" s="45">
        <f>IF($A162="","",'02_Buyers'!$V149)</f>
        <v/>
      </c>
      <c r="E162" s="46">
        <f>IF($A162="","",'02_Buyers'!$AR149)</f>
        <v/>
      </c>
      <c r="F162" s="46">
        <f>IF($A162="","",'02_Buyers'!$AS149)</f>
        <v/>
      </c>
      <c r="G162" s="44">
        <f>IF(OR($A162="",$E162=""),"",$C162/(1+$E162*$D162/DayBasis))</f>
        <v/>
      </c>
      <c r="H162" s="44">
        <f>IF(OR($A162="",$F162=""),"",$C162/(1+$F162*$D162/DayBasis))</f>
        <v/>
      </c>
      <c r="I162" s="7">
        <f>IF($A162="","",'02_Buyers'!$AU149)</f>
        <v/>
      </c>
      <c r="J162" s="7">
        <f>IF($A162="","",'02_Buyers'!$W149)</f>
        <v/>
      </c>
      <c r="K162" s="7">
        <f>IF(OR($A162="",$I162=""),"",IF(OR(AND($I162="부보 유리",$J162="N"),AND($I162="무보험 유리",$J162="Y")),"검토",""))</f>
        <v/>
      </c>
    </row>
    <row r="163">
      <c r="A163" s="7">
        <f>IF('02_Buyers'!$A150="","",'02_Buyers'!$A150)</f>
        <v/>
      </c>
      <c r="B163" s="7">
        <f>IF($A163="","",'02_Buyers'!$AK150)</f>
        <v/>
      </c>
      <c r="C163" s="44">
        <f>IF($A163="","",'02_Buyers'!$Z150)</f>
        <v/>
      </c>
      <c r="D163" s="45">
        <f>IF($A163="","",'02_Buyers'!$V150)</f>
        <v/>
      </c>
      <c r="E163" s="46">
        <f>IF($A163="","",'02_Buyers'!$AR150)</f>
        <v/>
      </c>
      <c r="F163" s="46">
        <f>IF($A163="","",'02_Buyers'!$AS150)</f>
        <v/>
      </c>
      <c r="G163" s="44">
        <f>IF(OR($A163="",$E163=""),"",$C163/(1+$E163*$D163/DayBasis))</f>
        <v/>
      </c>
      <c r="H163" s="44">
        <f>IF(OR($A163="",$F163=""),"",$C163/(1+$F163*$D163/DayBasis))</f>
        <v/>
      </c>
      <c r="I163" s="7">
        <f>IF($A163="","",'02_Buyers'!$AU150)</f>
        <v/>
      </c>
      <c r="J163" s="7">
        <f>IF($A163="","",'02_Buyers'!$W150)</f>
        <v/>
      </c>
      <c r="K163" s="7">
        <f>IF(OR($A163="",$I163=""),"",IF(OR(AND($I163="부보 유리",$J163="N"),AND($I163="무보험 유리",$J163="Y")),"검토",""))</f>
        <v/>
      </c>
    </row>
    <row r="164">
      <c r="A164" s="7">
        <f>IF('02_Buyers'!$A151="","",'02_Buyers'!$A151)</f>
        <v/>
      </c>
      <c r="B164" s="7">
        <f>IF($A164="","",'02_Buyers'!$AK151)</f>
        <v/>
      </c>
      <c r="C164" s="44">
        <f>IF($A164="","",'02_Buyers'!$Z151)</f>
        <v/>
      </c>
      <c r="D164" s="45">
        <f>IF($A164="","",'02_Buyers'!$V151)</f>
        <v/>
      </c>
      <c r="E164" s="46">
        <f>IF($A164="","",'02_Buyers'!$AR151)</f>
        <v/>
      </c>
      <c r="F164" s="46">
        <f>IF($A164="","",'02_Buyers'!$AS151)</f>
        <v/>
      </c>
      <c r="G164" s="44">
        <f>IF(OR($A164="",$E164=""),"",$C164/(1+$E164*$D164/DayBasis))</f>
        <v/>
      </c>
      <c r="H164" s="44">
        <f>IF(OR($A164="",$F164=""),"",$C164/(1+$F164*$D164/DayBasis))</f>
        <v/>
      </c>
      <c r="I164" s="7">
        <f>IF($A164="","",'02_Buyers'!$AU151)</f>
        <v/>
      </c>
      <c r="J164" s="7">
        <f>IF($A164="","",'02_Buyers'!$W151)</f>
        <v/>
      </c>
      <c r="K164" s="7">
        <f>IF(OR($A164="",$I164=""),"",IF(OR(AND($I164="부보 유리",$J164="N"),AND($I164="무보험 유리",$J164="Y")),"검토",""))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06_WeeklyGap — 8주 유동성 갭(USD천, G03 §2.8 Step 4)</t>
        </is>
      </c>
    </row>
    <row r="2">
      <c r="A2" s="10" t="inlineStr">
        <is>
          <t>누적현금(조치 전) = 기초현금 + Σ(기대입금 − 지출) · 조치 후 = 조치 전 + 매각 대금(매입 주부터) − 매각으로 빠진 기대입금 · 정답 체크: W5 최저 −150.5</t>
        </is>
      </c>
    </row>
    <row r="4">
      <c r="A4" s="2" t="inlineStr">
        <is>
          <t>주</t>
        </is>
      </c>
      <c r="B4" s="57" t="n">
        <v>1</v>
      </c>
      <c r="C4" s="57" t="n">
        <v>2</v>
      </c>
      <c r="D4" s="57" t="n">
        <v>3</v>
      </c>
      <c r="E4" s="57" t="n">
        <v>4</v>
      </c>
      <c r="F4" s="57" t="n">
        <v>5</v>
      </c>
      <c r="G4" s="57" t="n">
        <v>6</v>
      </c>
      <c r="H4" s="57" t="n">
        <v>7</v>
      </c>
      <c r="I4" s="57" t="n">
        <v>8</v>
      </c>
    </row>
    <row r="5">
      <c r="A5" s="12" t="inlineStr">
        <is>
          <t>기대입금</t>
        </is>
      </c>
      <c r="B5" s="58">
        <f>SUMIFS('04_AR_Ledger'!$I$5:$I$11,'04_AR_Ledger'!$H$5:$H$11,B$4)</f>
        <v/>
      </c>
      <c r="C5" s="58">
        <f>SUMIFS('04_AR_Ledger'!$I$5:$I$11,'04_AR_Ledger'!$H$5:$H$11,C$4)</f>
        <v/>
      </c>
      <c r="D5" s="58">
        <f>SUMIFS('04_AR_Ledger'!$I$5:$I$11,'04_AR_Ledger'!$H$5:$H$11,D$4)</f>
        <v/>
      </c>
      <c r="E5" s="58">
        <f>SUMIFS('04_AR_Ledger'!$I$5:$I$11,'04_AR_Ledger'!$H$5:$H$11,E$4)</f>
        <v/>
      </c>
      <c r="F5" s="58">
        <f>SUMIFS('04_AR_Ledger'!$I$5:$I$11,'04_AR_Ledger'!$H$5:$H$11,F$4)</f>
        <v/>
      </c>
      <c r="G5" s="58">
        <f>SUMIFS('04_AR_Ledger'!$I$5:$I$11,'04_AR_Ledger'!$H$5:$H$11,G$4)</f>
        <v/>
      </c>
      <c r="H5" s="58">
        <f>SUMIFS('04_AR_Ledger'!$I$5:$I$11,'04_AR_Ledger'!$H$5:$H$11,H$4)</f>
        <v/>
      </c>
      <c r="I5" s="58">
        <f>SUMIFS('04_AR_Ledger'!$I$5:$I$11,'04_AR_Ledger'!$H$5:$H$11,I$4)</f>
        <v/>
      </c>
    </row>
    <row r="6">
      <c r="A6" s="12" t="inlineStr">
        <is>
          <t>지출</t>
        </is>
      </c>
      <c r="B6" s="51" t="n">
        <v>70</v>
      </c>
      <c r="C6" s="51" t="n">
        <v>70</v>
      </c>
      <c r="D6" s="51" t="n">
        <v>70</v>
      </c>
      <c r="E6" s="51" t="n">
        <v>170</v>
      </c>
      <c r="F6" s="51" t="n">
        <v>70</v>
      </c>
      <c r="G6" s="51" t="n">
        <v>70</v>
      </c>
      <c r="H6" s="51" t="n">
        <v>70</v>
      </c>
      <c r="I6" s="51" t="n">
        <v>70</v>
      </c>
    </row>
    <row r="7">
      <c r="A7" s="12" t="inlineStr">
        <is>
          <t>순현금</t>
        </is>
      </c>
      <c r="B7" s="58">
        <f>B5-B6</f>
        <v/>
      </c>
      <c r="C7" s="58">
        <f>C5-C6</f>
        <v/>
      </c>
      <c r="D7" s="58">
        <f>D5-D6</f>
        <v/>
      </c>
      <c r="E7" s="58">
        <f>E5-E6</f>
        <v/>
      </c>
      <c r="F7" s="58">
        <f>F5-F6</f>
        <v/>
      </c>
      <c r="G7" s="58">
        <f>G5-G6</f>
        <v/>
      </c>
      <c r="H7" s="58">
        <f>H5-H6</f>
        <v/>
      </c>
      <c r="I7" s="58">
        <f>I5-I6</f>
        <v/>
      </c>
    </row>
    <row r="8">
      <c r="A8" s="12" t="inlineStr">
        <is>
          <t>누적현금(조치 전)</t>
        </is>
      </c>
      <c r="B8" s="58">
        <f>Cash0+B7</f>
        <v/>
      </c>
      <c r="C8" s="58">
        <f>B8+C7</f>
        <v/>
      </c>
      <c r="D8" s="58">
        <f>C8+D7</f>
        <v/>
      </c>
      <c r="E8" s="58">
        <f>D8+E7</f>
        <v/>
      </c>
      <c r="F8" s="58">
        <f>E8+F7</f>
        <v/>
      </c>
      <c r="G8" s="58">
        <f>F8+G7</f>
        <v/>
      </c>
      <c r="H8" s="58">
        <f>G8+H7</f>
        <v/>
      </c>
      <c r="I8" s="58">
        <f>H8+I7</f>
        <v/>
      </c>
    </row>
    <row r="9">
      <c r="A9" s="12" t="inlineStr">
        <is>
          <t>매각 대금(07)</t>
        </is>
      </c>
      <c r="B9" s="58">
        <f>IF(B$4&gt;=SaleWeek,SUMPRODUCT('07_Solver'!$H$6:$H$12,'04_AR_Ledger'!$C$5:$C$11,1-'04_AR_Ledger'!$L$5:$L$11),0)</f>
        <v/>
      </c>
      <c r="C9" s="58">
        <f>IF(C$4&gt;=SaleWeek,SUMPRODUCT('07_Solver'!$H$6:$H$12,'04_AR_Ledger'!$C$5:$C$11,1-'04_AR_Ledger'!$L$5:$L$11),0)</f>
        <v/>
      </c>
      <c r="D9" s="58">
        <f>IF(D$4&gt;=SaleWeek,SUMPRODUCT('07_Solver'!$H$6:$H$12,'04_AR_Ledger'!$C$5:$C$11,1-'04_AR_Ledger'!$L$5:$L$11),0)</f>
        <v/>
      </c>
      <c r="E9" s="58">
        <f>IF(E$4&gt;=SaleWeek,SUMPRODUCT('07_Solver'!$H$6:$H$12,'04_AR_Ledger'!$C$5:$C$11,1-'04_AR_Ledger'!$L$5:$L$11),0)</f>
        <v/>
      </c>
      <c r="F9" s="58">
        <f>IF(F$4&gt;=SaleWeek,SUMPRODUCT('07_Solver'!$H$6:$H$12,'04_AR_Ledger'!$C$5:$C$11,1-'04_AR_Ledger'!$L$5:$L$11),0)</f>
        <v/>
      </c>
      <c r="G9" s="58">
        <f>IF(G$4&gt;=SaleWeek,SUMPRODUCT('07_Solver'!$H$6:$H$12,'04_AR_Ledger'!$C$5:$C$11,1-'04_AR_Ledger'!$L$5:$L$11),0)</f>
        <v/>
      </c>
      <c r="H9" s="58">
        <f>IF(H$4&gt;=SaleWeek,SUMPRODUCT('07_Solver'!$H$6:$H$12,'04_AR_Ledger'!$C$5:$C$11,1-'04_AR_Ledger'!$L$5:$L$11),0)</f>
        <v/>
      </c>
      <c r="I9" s="58">
        <f>IF(I$4&gt;=SaleWeek,SUMPRODUCT('07_Solver'!$H$6:$H$12,'04_AR_Ledger'!$C$5:$C$11,1-'04_AR_Ledger'!$L$5:$L$11),0)</f>
        <v/>
      </c>
    </row>
    <row r="10">
      <c r="A10" s="12" t="inlineStr">
        <is>
          <t>빠진 기대입금(07)</t>
        </is>
      </c>
      <c r="B10" s="58">
        <f>SUMPRODUCT('07_Solver'!$H$6:$H$12,'04_AR_Ledger'!$C$5:$C$11,1-'04_AR_Ledger'!$G$5:$G$11,('04_AR_Ledger'!$H$5:$H$11&lt;=B$4)*1)</f>
        <v/>
      </c>
      <c r="C10" s="58">
        <f>SUMPRODUCT('07_Solver'!$H$6:$H$12,'04_AR_Ledger'!$C$5:$C$11,1-'04_AR_Ledger'!$G$5:$G$11,('04_AR_Ledger'!$H$5:$H$11&lt;=C$4)*1)</f>
        <v/>
      </c>
      <c r="D10" s="58">
        <f>SUMPRODUCT('07_Solver'!$H$6:$H$12,'04_AR_Ledger'!$C$5:$C$11,1-'04_AR_Ledger'!$G$5:$G$11,('04_AR_Ledger'!$H$5:$H$11&lt;=D$4)*1)</f>
        <v/>
      </c>
      <c r="E10" s="58">
        <f>SUMPRODUCT('07_Solver'!$H$6:$H$12,'04_AR_Ledger'!$C$5:$C$11,1-'04_AR_Ledger'!$G$5:$G$11,('04_AR_Ledger'!$H$5:$H$11&lt;=E$4)*1)</f>
        <v/>
      </c>
      <c r="F10" s="58">
        <f>SUMPRODUCT('07_Solver'!$H$6:$H$12,'04_AR_Ledger'!$C$5:$C$11,1-'04_AR_Ledger'!$G$5:$G$11,('04_AR_Ledger'!$H$5:$H$11&lt;=F$4)*1)</f>
        <v/>
      </c>
      <c r="G10" s="58">
        <f>SUMPRODUCT('07_Solver'!$H$6:$H$12,'04_AR_Ledger'!$C$5:$C$11,1-'04_AR_Ledger'!$G$5:$G$11,('04_AR_Ledger'!$H$5:$H$11&lt;=G$4)*1)</f>
        <v/>
      </c>
      <c r="H10" s="58">
        <f>SUMPRODUCT('07_Solver'!$H$6:$H$12,'04_AR_Ledger'!$C$5:$C$11,1-'04_AR_Ledger'!$G$5:$G$11,('04_AR_Ledger'!$H$5:$H$11&lt;=H$4)*1)</f>
        <v/>
      </c>
      <c r="I10" s="58">
        <f>SUMPRODUCT('07_Solver'!$H$6:$H$12,'04_AR_Ledger'!$C$5:$C$11,1-'04_AR_Ledger'!$G$5:$G$11,('04_AR_Ledger'!$H$5:$H$11&lt;=I$4)*1)</f>
        <v/>
      </c>
    </row>
    <row r="11">
      <c r="A11" s="12" t="inlineStr">
        <is>
          <t>누적현금(조치 후)</t>
        </is>
      </c>
      <c r="B11" s="58">
        <f>B8+B9-B10</f>
        <v/>
      </c>
      <c r="C11" s="58">
        <f>C8+C9-C10</f>
        <v/>
      </c>
      <c r="D11" s="58">
        <f>D8+D9-D10</f>
        <v/>
      </c>
      <c r="E11" s="58">
        <f>E8+E9-E10</f>
        <v/>
      </c>
      <c r="F11" s="58">
        <f>F8+F9-F10</f>
        <v/>
      </c>
      <c r="G11" s="58">
        <f>G8+G9-G10</f>
        <v/>
      </c>
      <c r="H11" s="58">
        <f>H8+H9-H10</f>
        <v/>
      </c>
      <c r="I11" s="58">
        <f>I8+I9-I10</f>
        <v/>
      </c>
    </row>
    <row r="13">
      <c r="A13" s="12" t="inlineStr">
        <is>
          <t>최저 누적현금(조치 전)</t>
        </is>
      </c>
      <c r="B13" s="58">
        <f>MIN(B8:I8)</f>
        <v/>
      </c>
      <c r="C13" s="59" t="n">
        <v>-150.5</v>
      </c>
      <c r="D13" s="7">
        <f>IF(ABS(B13-C13)&lt;0.05,"✔ G03 일치","✘")</f>
        <v/>
      </c>
    </row>
    <row r="14">
      <c r="A14" s="12" t="inlineStr">
        <is>
          <t>최저 누적현금(조치 후)</t>
        </is>
      </c>
      <c r="B14" s="58">
        <f>MIN(B11:I11)</f>
        <v/>
      </c>
    </row>
    <row r="15">
      <c r="A15" s="12" t="inlineStr">
        <is>
          <t>호라이즌 밖 기대입금(W9·W10)</t>
        </is>
      </c>
      <c r="B15" s="58">
        <f>SUMIFS('04_AR_Ledger'!$I$5:$I$11,'04_AR_Ledger'!$H$5:$H$11,"&gt;8")</f>
        <v/>
      </c>
    </row>
  </sheetData>
  <conditionalFormatting sqref="B8:I11">
    <cfRule type="expression" priority="1" dxfId="0">
      <formula>B8&lt;-0.05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07_Solver — 최소비용 매각(🔵 해 찾기 모델 저장됨: 목표 $D$15 최소 · 변수 $H$6:$H$12 · 제약 2줄)</t>
        </is>
      </c>
    </row>
    <row r="2">
      <c r="A2" s="10" t="inlineStr">
        <is>
          <t>결정변수 x = 매각 비율(0~1). 비용 = Σ x × 금액 × 단위비용(r 부보 × 잔존일 ÷ 360). 제약: x ≤ 상한(매각 가능 × C급 허용), 06 누적현금(조치 후) ≥ 0</t>
        </is>
      </c>
    </row>
    <row r="3">
      <c r="A3" s="10" t="inlineStr">
        <is>
          <t>정답 체크(G03): 최소비용 약 USD 886 — W3에 R3 19.2 · R5 99.8 · R7 32.4천 매입 의뢰. 'C급 허용' = 0으로 바꿔도 같은 해(C급 R4는 원래 안 판다)</t>
        </is>
      </c>
    </row>
    <row r="4">
      <c r="A4" s="12" t="inlineStr">
        <is>
          <t>C급 매각 허용(1/0)</t>
        </is>
      </c>
      <c r="B4" s="52" t="n">
        <v>1</v>
      </c>
    </row>
    <row r="5">
      <c r="A5" s="11" t="inlineStr">
        <is>
          <t>채권ID</t>
        </is>
      </c>
      <c r="B5" s="11" t="inlineStr">
        <is>
          <t>등급</t>
        </is>
      </c>
      <c r="C5" s="11" t="inlineStr">
        <is>
          <t>금액(USD천)</t>
        </is>
      </c>
      <c r="D5" s="11" t="inlineStr">
        <is>
          <t>단위비용</t>
        </is>
      </c>
      <c r="E5" s="11" t="inlineStr">
        <is>
          <t>매각 가능</t>
        </is>
      </c>
      <c r="F5" s="11" t="inlineStr">
        <is>
          <t>C급 허용</t>
        </is>
      </c>
      <c r="G5" s="11" t="inlineStr">
        <is>
          <t>x 상한</t>
        </is>
      </c>
      <c r="H5" s="11" t="inlineStr">
        <is>
          <t>x(결정변수)</t>
        </is>
      </c>
      <c r="I5" s="11" t="inlineStr">
        <is>
          <t>매각액(USD천)</t>
        </is>
      </c>
      <c r="J5" s="11" t="inlineStr">
        <is>
          <t>비용(USD천)</t>
        </is>
      </c>
    </row>
    <row r="6">
      <c r="A6" s="7">
        <f>'04_AR_Ledger'!A5</f>
        <v/>
      </c>
      <c r="B6" s="7">
        <f>'04_AR_Ledger'!B5</f>
        <v/>
      </c>
      <c r="C6" s="58">
        <f>'04_AR_Ledger'!C5</f>
        <v/>
      </c>
      <c r="D6" s="46">
        <f>'04_AR_Ledger'!L5</f>
        <v/>
      </c>
      <c r="E6" s="45">
        <f>'04_AR_Ledger'!M5</f>
        <v/>
      </c>
      <c r="F6" s="45">
        <f>IF(B6="C",$B$4,1)</f>
        <v/>
      </c>
      <c r="G6" s="45">
        <f>E6*F6</f>
        <v/>
      </c>
      <c r="H6" s="60" t="n">
        <v>0</v>
      </c>
      <c r="I6" s="53">
        <f>H6*C6</f>
        <v/>
      </c>
      <c r="J6" s="61">
        <f>I6*D6</f>
        <v/>
      </c>
    </row>
    <row r="7">
      <c r="A7" s="7">
        <f>'04_AR_Ledger'!A6</f>
        <v/>
      </c>
      <c r="B7" s="7">
        <f>'04_AR_Ledger'!B6</f>
        <v/>
      </c>
      <c r="C7" s="58">
        <f>'04_AR_Ledger'!C6</f>
        <v/>
      </c>
      <c r="D7" s="46">
        <f>'04_AR_Ledger'!L6</f>
        <v/>
      </c>
      <c r="E7" s="45">
        <f>'04_AR_Ledger'!M6</f>
        <v/>
      </c>
      <c r="F7" s="45">
        <f>IF(B7="C",$B$4,1)</f>
        <v/>
      </c>
      <c r="G7" s="45">
        <f>E7*F7</f>
        <v/>
      </c>
      <c r="H7" s="60" t="n">
        <v>0</v>
      </c>
      <c r="I7" s="53">
        <f>H7*C7</f>
        <v/>
      </c>
      <c r="J7" s="61">
        <f>I7*D7</f>
        <v/>
      </c>
    </row>
    <row r="8">
      <c r="A8" s="7">
        <f>'04_AR_Ledger'!A7</f>
        <v/>
      </c>
      <c r="B8" s="7">
        <f>'04_AR_Ledger'!B7</f>
        <v/>
      </c>
      <c r="C8" s="58">
        <f>'04_AR_Ledger'!C7</f>
        <v/>
      </c>
      <c r="D8" s="46">
        <f>'04_AR_Ledger'!L7</f>
        <v/>
      </c>
      <c r="E8" s="45">
        <f>'04_AR_Ledger'!M7</f>
        <v/>
      </c>
      <c r="F8" s="45">
        <f>IF(B8="C",$B$4,1)</f>
        <v/>
      </c>
      <c r="G8" s="45">
        <f>E8*F8</f>
        <v/>
      </c>
      <c r="H8" s="60" t="n">
        <v>0</v>
      </c>
      <c r="I8" s="53">
        <f>H8*C8</f>
        <v/>
      </c>
      <c r="J8" s="61">
        <f>I8*D8</f>
        <v/>
      </c>
    </row>
    <row r="9">
      <c r="A9" s="7">
        <f>'04_AR_Ledger'!A8</f>
        <v/>
      </c>
      <c r="B9" s="7">
        <f>'04_AR_Ledger'!B8</f>
        <v/>
      </c>
      <c r="C9" s="58">
        <f>'04_AR_Ledger'!C8</f>
        <v/>
      </c>
      <c r="D9" s="46">
        <f>'04_AR_Ledger'!L8</f>
        <v/>
      </c>
      <c r="E9" s="45">
        <f>'04_AR_Ledger'!M8</f>
        <v/>
      </c>
      <c r="F9" s="45">
        <f>IF(B9="C",$B$4,1)</f>
        <v/>
      </c>
      <c r="G9" s="45">
        <f>E9*F9</f>
        <v/>
      </c>
      <c r="H9" s="60" t="n">
        <v>0</v>
      </c>
      <c r="I9" s="53">
        <f>H9*C9</f>
        <v/>
      </c>
      <c r="J9" s="61">
        <f>I9*D9</f>
        <v/>
      </c>
    </row>
    <row r="10">
      <c r="A10" s="7">
        <f>'04_AR_Ledger'!A9</f>
        <v/>
      </c>
      <c r="B10" s="7">
        <f>'04_AR_Ledger'!B9</f>
        <v/>
      </c>
      <c r="C10" s="58">
        <f>'04_AR_Ledger'!C9</f>
        <v/>
      </c>
      <c r="D10" s="46">
        <f>'04_AR_Ledger'!L9</f>
        <v/>
      </c>
      <c r="E10" s="45">
        <f>'04_AR_Ledger'!M9</f>
        <v/>
      </c>
      <c r="F10" s="45">
        <f>IF(B10="C",$B$4,1)</f>
        <v/>
      </c>
      <c r="G10" s="45">
        <f>E10*F10</f>
        <v/>
      </c>
      <c r="H10" s="60" t="n">
        <v>0</v>
      </c>
      <c r="I10" s="53">
        <f>H10*C10</f>
        <v/>
      </c>
      <c r="J10" s="61">
        <f>I10*D10</f>
        <v/>
      </c>
    </row>
    <row r="11">
      <c r="A11" s="7">
        <f>'04_AR_Ledger'!A10</f>
        <v/>
      </c>
      <c r="B11" s="7">
        <f>'04_AR_Ledger'!B10</f>
        <v/>
      </c>
      <c r="C11" s="58">
        <f>'04_AR_Ledger'!C10</f>
        <v/>
      </c>
      <c r="D11" s="46">
        <f>'04_AR_Ledger'!L10</f>
        <v/>
      </c>
      <c r="E11" s="45">
        <f>'04_AR_Ledger'!M10</f>
        <v/>
      </c>
      <c r="F11" s="45">
        <f>IF(B11="C",$B$4,1)</f>
        <v/>
      </c>
      <c r="G11" s="45">
        <f>E11*F11</f>
        <v/>
      </c>
      <c r="H11" s="60" t="n">
        <v>0</v>
      </c>
      <c r="I11" s="53">
        <f>H11*C11</f>
        <v/>
      </c>
      <c r="J11" s="61">
        <f>I11*D11</f>
        <v/>
      </c>
    </row>
    <row r="12">
      <c r="A12" s="7">
        <f>'04_AR_Ledger'!A11</f>
        <v/>
      </c>
      <c r="B12" s="7">
        <f>'04_AR_Ledger'!B11</f>
        <v/>
      </c>
      <c r="C12" s="58">
        <f>'04_AR_Ledger'!C11</f>
        <v/>
      </c>
      <c r="D12" s="46">
        <f>'04_AR_Ledger'!L11</f>
        <v/>
      </c>
      <c r="E12" s="45">
        <f>'04_AR_Ledger'!M11</f>
        <v/>
      </c>
      <c r="F12" s="45">
        <f>IF(B12="C",$B$4,1)</f>
        <v/>
      </c>
      <c r="G12" s="45">
        <f>E12*F12</f>
        <v/>
      </c>
      <c r="H12" s="60" t="n">
        <v>0</v>
      </c>
      <c r="I12" s="53">
        <f>H12*C12</f>
        <v/>
      </c>
      <c r="J12" s="61">
        <f>I12*D12</f>
        <v/>
      </c>
    </row>
    <row r="14">
      <c r="A14" s="12" t="inlineStr">
        <is>
          <t>제약: 누적현금(조치 후) W1~W8 ≥ 0</t>
        </is>
      </c>
      <c r="B14" s="58">
        <f>'06_WeeklyGap'!B11</f>
        <v/>
      </c>
      <c r="C14" s="58">
        <f>'06_WeeklyGap'!C11</f>
        <v/>
      </c>
      <c r="D14" s="58">
        <f>'06_WeeklyGap'!D11</f>
        <v/>
      </c>
      <c r="E14" s="58">
        <f>'06_WeeklyGap'!E11</f>
        <v/>
      </c>
      <c r="F14" s="58">
        <f>'06_WeeklyGap'!F11</f>
        <v/>
      </c>
      <c r="G14" s="58">
        <f>'06_WeeklyGap'!G11</f>
        <v/>
      </c>
      <c r="H14" s="58">
        <f>'06_WeeklyGap'!H11</f>
        <v/>
      </c>
      <c r="I14" s="58">
        <f>'06_WeeklyGap'!I11</f>
        <v/>
      </c>
    </row>
    <row r="15">
      <c r="A15" s="2" t="inlineStr">
        <is>
          <t>총 할인비용(USD천) — 목표(최소)</t>
        </is>
      </c>
      <c r="D15" s="62">
        <f>SUMPRODUCT(H6:H12,C6:C12,D6:D12)</f>
        <v/>
      </c>
    </row>
    <row r="16">
      <c r="A16" s="12" t="inlineStr">
        <is>
          <t>총 할인비용(USD)</t>
        </is>
      </c>
      <c r="D16" s="55">
        <f>D15*1000</f>
        <v/>
      </c>
      <c r="E16" s="48" t="n">
        <v>886</v>
      </c>
      <c r="F16" s="7">
        <f>IF(ABS(D16-E16)&lt;1,"✔ G03 일치(약 886)","해 찾기 실행 전/확인")</f>
        <v/>
      </c>
    </row>
    <row r="18">
      <c r="A18" s="4" t="inlineStr">
        <is>
          <t>해 찾기 입력표</t>
        </is>
      </c>
    </row>
    <row r="19">
      <c r="A19" s="49" t="inlineStr">
        <is>
          <t>목표 설정: $D$15 → 최소값</t>
        </is>
      </c>
    </row>
    <row r="20">
      <c r="A20" s="49" t="inlineStr">
        <is>
          <t>변수 셀 변경: $H$6:$H$12</t>
        </is>
      </c>
    </row>
    <row r="21">
      <c r="A21" s="49" t="inlineStr">
        <is>
          <t>제약 1: $H$6:$H$12 &lt;= $G$6:$G$12</t>
        </is>
      </c>
    </row>
    <row r="22">
      <c r="A22" s="49" t="inlineStr">
        <is>
          <t>제약 2: $B$14:$I$14 &gt;= 0</t>
        </is>
      </c>
    </row>
    <row r="23">
      <c r="A23" s="49" t="inlineStr">
        <is>
          <t>'제한되지 않는 변수를 음이 아닌 수로' ✔ · 해법: 단순 LP</t>
        </is>
      </c>
    </row>
  </sheetData>
  <dataValidations count="1">
    <dataValidation sqref="B4" showDropDown="0" showInputMessage="0" showErrorMessage="0" allowBlank="0" type="list">
      <formula1>"1,0"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08_Sensitivity — 할인율·매각비용 민감도(현재 07 매각안 기준)</t>
        </is>
      </c>
    </row>
    <row r="2">
      <c r="A2" s="10" t="inlineStr">
        <is>
          <t>케이스별 r 부보 = (TSOFR3M + Δ) + Spread_g + Prem_g × 365 ÷ Tenor + MIN(1, PD_g × 배수) × LGD × (1 − Cov)</t>
        </is>
      </c>
    </row>
    <row r="3">
      <c r="A3" s="10" t="inlineStr">
        <is>
          <t>매각 조합은 07의 x 그대로(케이스마다 해 찾기를 다시 돌리면 조합이 바뀔 수 있다 — 🔵 실험). PD 배수는 할인율에만 반영(기대입금은 기준 PD)</t>
        </is>
      </c>
    </row>
    <row r="4">
      <c r="A4" s="4" t="inlineStr">
        <is>
          <t>등급별 x·금액·잔존일 합(07)</t>
        </is>
      </c>
    </row>
    <row r="5">
      <c r="A5" s="11" t="inlineStr">
        <is>
          <t>등급</t>
        </is>
      </c>
      <c r="B5" s="11" t="inlineStr">
        <is>
          <t>Σ x·금액·잔존일</t>
        </is>
      </c>
    </row>
    <row r="6">
      <c r="A6" s="12" t="inlineStr">
        <is>
          <t>S</t>
        </is>
      </c>
      <c r="B6" s="53">
        <f>SUMPRODUCT(('04_AR_Ledger'!$B$5:$B$11="S")*'07_Solver'!$H$6:$H$12*'04_AR_Ledger'!$C$5:$C$11*'04_AR_Ledger'!$K$5:$K$11)</f>
        <v/>
      </c>
    </row>
    <row r="7">
      <c r="A7" s="12" t="inlineStr">
        <is>
          <t>A</t>
        </is>
      </c>
      <c r="B7" s="53">
        <f>SUMPRODUCT(('04_AR_Ledger'!$B$5:$B$11="A")*'07_Solver'!$H$6:$H$12*'04_AR_Ledger'!$C$5:$C$11*'04_AR_Ledger'!$K$5:$K$11)</f>
        <v/>
      </c>
    </row>
    <row r="8">
      <c r="A8" s="12" t="inlineStr">
        <is>
          <t>B</t>
        </is>
      </c>
      <c r="B8" s="53">
        <f>SUMPRODUCT(('04_AR_Ledger'!$B$5:$B$11="B")*'07_Solver'!$H$6:$H$12*'04_AR_Ledger'!$C$5:$C$11*'04_AR_Ledger'!$K$5:$K$11)</f>
        <v/>
      </c>
    </row>
    <row r="9">
      <c r="A9" s="12" t="inlineStr">
        <is>
          <t>C</t>
        </is>
      </c>
      <c r="B9" s="53">
        <f>SUMPRODUCT(('04_AR_Ledger'!$B$5:$B$11="C")*'07_Solver'!$H$6:$H$12*'04_AR_Ledger'!$C$5:$C$11*'04_AR_Ledger'!$K$5:$K$11)</f>
        <v/>
      </c>
    </row>
    <row r="11">
      <c r="A11" s="11" t="inlineStr">
        <is>
          <t>케이스</t>
        </is>
      </c>
      <c r="B11" s="11" t="inlineStr">
        <is>
          <t>ΔTSOFR</t>
        </is>
      </c>
      <c r="C11" s="11" t="inlineStr">
        <is>
          <t>PD 배수</t>
        </is>
      </c>
      <c r="D11" s="11" t="inlineStr">
        <is>
          <t>LGD</t>
        </is>
      </c>
      <c r="E11" s="11" t="inlineStr">
        <is>
          <t>r 부보 S</t>
        </is>
      </c>
      <c r="F11" s="11" t="inlineStr">
        <is>
          <t>r 부보 A</t>
        </is>
      </c>
      <c r="G11" s="11" t="inlineStr">
        <is>
          <t>r 부보 B</t>
        </is>
      </c>
      <c r="H11" s="11" t="inlineStr">
        <is>
          <t>r 부보 C</t>
        </is>
      </c>
      <c r="I11" s="11" t="inlineStr">
        <is>
          <t>매각비용(USD)</t>
        </is>
      </c>
      <c r="J11" s="11" t="inlineStr">
        <is>
          <t>기준 대비(USD)</t>
        </is>
      </c>
      <c r="K11" s="11" t="inlineStr">
        <is>
          <t>W5 누적현금(조치 후)</t>
        </is>
      </c>
    </row>
    <row r="12">
      <c r="A12" s="12" t="inlineStr">
        <is>
          <t>기준</t>
        </is>
      </c>
      <c r="B12" s="63" t="n">
        <v>0</v>
      </c>
      <c r="C12" s="51" t="n">
        <v>1</v>
      </c>
      <c r="D12" s="50">
        <f>LGD</f>
        <v/>
      </c>
      <c r="E12" s="46">
        <f>TSOFR3M+$B12+Spread_S+Prem_S*365/Tenor+MIN(1,PD_S*$C12)*$D12*(1-Cov)</f>
        <v/>
      </c>
      <c r="F12" s="46">
        <f>TSOFR3M+$B12+Spread_A+Prem_A*365/Tenor+MIN(1,PD_A*$C12)*$D12*(1-Cov)</f>
        <v/>
      </c>
      <c r="G12" s="46">
        <f>TSOFR3M+$B12+Spread_B+Prem_B*365/Tenor+MIN(1,PD_B*$C12)*$D12*(1-Cov)</f>
        <v/>
      </c>
      <c r="H12" s="46">
        <f>TSOFR3M+$B12+Spread_C+Prem_C*365/Tenor+MIN(1,PD_C*$C12)*$D12*(1-Cov)</f>
        <v/>
      </c>
      <c r="I12" s="55">
        <f>($E12*$B$6+$F12*$B$7+$G12*$B$8+$H12*$B$9)/DayBasis*1000</f>
        <v/>
      </c>
      <c r="J12" s="55">
        <f>I12-$I$12</f>
        <v/>
      </c>
      <c r="K12" s="53">
        <f>'06_WeeklyGap'!$F$11+($I$12-I12)/1000</f>
        <v/>
      </c>
    </row>
    <row r="13">
      <c r="A13" s="12" t="inlineStr">
        <is>
          <t>TSOFR +100bp</t>
        </is>
      </c>
      <c r="B13" s="63" t="n">
        <v>0.01</v>
      </c>
      <c r="C13" s="51" t="n">
        <v>1</v>
      </c>
      <c r="D13" s="50">
        <f>LGD</f>
        <v/>
      </c>
      <c r="E13" s="46">
        <f>TSOFR3M+$B13+Spread_S+Prem_S*365/Tenor+MIN(1,PD_S*$C13)*$D13*(1-Cov)</f>
        <v/>
      </c>
      <c r="F13" s="46">
        <f>TSOFR3M+$B13+Spread_A+Prem_A*365/Tenor+MIN(1,PD_A*$C13)*$D13*(1-Cov)</f>
        <v/>
      </c>
      <c r="G13" s="46">
        <f>TSOFR3M+$B13+Spread_B+Prem_B*365/Tenor+MIN(1,PD_B*$C13)*$D13*(1-Cov)</f>
        <v/>
      </c>
      <c r="H13" s="46">
        <f>TSOFR3M+$B13+Spread_C+Prem_C*365/Tenor+MIN(1,PD_C*$C13)*$D13*(1-Cov)</f>
        <v/>
      </c>
      <c r="I13" s="55">
        <f>($E13*$B$6+$F13*$B$7+$G13*$B$8+$H13*$B$9)/DayBasis*1000</f>
        <v/>
      </c>
      <c r="J13" s="55">
        <f>I13-$I$12</f>
        <v/>
      </c>
      <c r="K13" s="53">
        <f>'06_WeeklyGap'!$F$11+($I$12-I13)/1000</f>
        <v/>
      </c>
    </row>
    <row r="14">
      <c r="A14" s="12" t="inlineStr">
        <is>
          <t>TSOFR −100bp</t>
        </is>
      </c>
      <c r="B14" s="63" t="n">
        <v>-0.01</v>
      </c>
      <c r="C14" s="51" t="n">
        <v>1</v>
      </c>
      <c r="D14" s="50">
        <f>LGD</f>
        <v/>
      </c>
      <c r="E14" s="46">
        <f>TSOFR3M+$B14+Spread_S+Prem_S*365/Tenor+MIN(1,PD_S*$C14)*$D14*(1-Cov)</f>
        <v/>
      </c>
      <c r="F14" s="46">
        <f>TSOFR3M+$B14+Spread_A+Prem_A*365/Tenor+MIN(1,PD_A*$C14)*$D14*(1-Cov)</f>
        <v/>
      </c>
      <c r="G14" s="46">
        <f>TSOFR3M+$B14+Spread_B+Prem_B*365/Tenor+MIN(1,PD_B*$C14)*$D14*(1-Cov)</f>
        <v/>
      </c>
      <c r="H14" s="46">
        <f>TSOFR3M+$B14+Spread_C+Prem_C*365/Tenor+MIN(1,PD_C*$C14)*$D14*(1-Cov)</f>
        <v/>
      </c>
      <c r="I14" s="55">
        <f>($E14*$B$6+$F14*$B$7+$G14*$B$8+$H14*$B$9)/DayBasis*1000</f>
        <v/>
      </c>
      <c r="J14" s="55">
        <f>I14-$I$12</f>
        <v/>
      </c>
      <c r="K14" s="53">
        <f>'06_WeeklyGap'!$F$11+($I$12-I14)/1000</f>
        <v/>
      </c>
    </row>
    <row r="15">
      <c r="A15" s="12" t="inlineStr">
        <is>
          <t>PD × 2</t>
        </is>
      </c>
      <c r="B15" s="63" t="n">
        <v>0</v>
      </c>
      <c r="C15" s="51" t="n">
        <v>2</v>
      </c>
      <c r="D15" s="50">
        <f>LGD</f>
        <v/>
      </c>
      <c r="E15" s="46">
        <f>TSOFR3M+$B15+Spread_S+Prem_S*365/Tenor+MIN(1,PD_S*$C15)*$D15*(1-Cov)</f>
        <v/>
      </c>
      <c r="F15" s="46">
        <f>TSOFR3M+$B15+Spread_A+Prem_A*365/Tenor+MIN(1,PD_A*$C15)*$D15*(1-Cov)</f>
        <v/>
      </c>
      <c r="G15" s="46">
        <f>TSOFR3M+$B15+Spread_B+Prem_B*365/Tenor+MIN(1,PD_B*$C15)*$D15*(1-Cov)</f>
        <v/>
      </c>
      <c r="H15" s="46">
        <f>TSOFR3M+$B15+Spread_C+Prem_C*365/Tenor+MIN(1,PD_C*$C15)*$D15*(1-Cov)</f>
        <v/>
      </c>
      <c r="I15" s="55">
        <f>($E15*$B$6+$F15*$B$7+$G15*$B$8+$H15*$B$9)/DayBasis*1000</f>
        <v/>
      </c>
      <c r="J15" s="55">
        <f>I15-$I$12</f>
        <v/>
      </c>
      <c r="K15" s="53">
        <f>'06_WeeklyGap'!$F$11+($I$12-I15)/1000</f>
        <v/>
      </c>
    </row>
    <row r="16">
      <c r="A16" s="12" t="inlineStr">
        <is>
          <t>LGD 40%</t>
        </is>
      </c>
      <c r="B16" s="63" t="n">
        <v>0</v>
      </c>
      <c r="C16" s="51" t="n">
        <v>1</v>
      </c>
      <c r="D16" s="63" t="n">
        <v>0.4</v>
      </c>
      <c r="E16" s="46">
        <f>TSOFR3M+$B16+Spread_S+Prem_S*365/Tenor+MIN(1,PD_S*$C16)*$D16*(1-Cov)</f>
        <v/>
      </c>
      <c r="F16" s="46">
        <f>TSOFR3M+$B16+Spread_A+Prem_A*365/Tenor+MIN(1,PD_A*$C16)*$D16*(1-Cov)</f>
        <v/>
      </c>
      <c r="G16" s="46">
        <f>TSOFR3M+$B16+Spread_B+Prem_B*365/Tenor+MIN(1,PD_B*$C16)*$D16*(1-Cov)</f>
        <v/>
      </c>
      <c r="H16" s="46">
        <f>TSOFR3M+$B16+Spread_C+Prem_C*365/Tenor+MIN(1,PD_C*$C16)*$D16*(1-Cov)</f>
        <v/>
      </c>
      <c r="I16" s="55">
        <f>($E16*$B$6+$F16*$B$7+$G16*$B$8+$H16*$B$9)/DayBasis*1000</f>
        <v/>
      </c>
      <c r="J16" s="55">
        <f>I16-$I$12</f>
        <v/>
      </c>
      <c r="K16" s="53">
        <f>'06_WeeklyGap'!$F$11+($I$12-I16)/1000</f>
        <v/>
      </c>
    </row>
    <row r="17">
      <c r="A17" s="12" t="inlineStr">
        <is>
          <t>LGD 80%</t>
        </is>
      </c>
      <c r="B17" s="63" t="n">
        <v>0</v>
      </c>
      <c r="C17" s="51" t="n">
        <v>1</v>
      </c>
      <c r="D17" s="63" t="n">
        <v>0.8</v>
      </c>
      <c r="E17" s="46">
        <f>TSOFR3M+$B17+Spread_S+Prem_S*365/Tenor+MIN(1,PD_S*$C17)*$D17*(1-Cov)</f>
        <v/>
      </c>
      <c r="F17" s="46">
        <f>TSOFR3M+$B17+Spread_A+Prem_A*365/Tenor+MIN(1,PD_A*$C17)*$D17*(1-Cov)</f>
        <v/>
      </c>
      <c r="G17" s="46">
        <f>TSOFR3M+$B17+Spread_B+Prem_B*365/Tenor+MIN(1,PD_B*$C17)*$D17*(1-Cov)</f>
        <v/>
      </c>
      <c r="H17" s="46">
        <f>TSOFR3M+$B17+Spread_C+Prem_C*365/Tenor+MIN(1,PD_C*$C17)*$D17*(1-Cov)</f>
        <v/>
      </c>
      <c r="I17" s="55">
        <f>($E17*$B$6+$F17*$B$7+$G17*$B$8+$H17*$B$9)/DayBasis*1000</f>
        <v/>
      </c>
      <c r="J17" s="55">
        <f>I17-$I$12</f>
        <v/>
      </c>
      <c r="K17" s="53">
        <f>'06_WeeklyGap'!$F$11+($I$12-I17)/1000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09_Chart — 누적현금(06) · 할인율 구성(03) · 등급별 한도(10)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AD1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11" customWidth="1" min="4" max="4"/>
    <col width="10" customWidth="1" min="5" max="5"/>
    <col width="13" customWidth="1" min="6" max="6"/>
    <col width="8" customWidth="1" min="7" max="7"/>
    <col width="9" customWidth="1" min="8" max="8"/>
    <col width="10" customWidth="1" min="9" max="9"/>
    <col width="11" customWidth="1" min="10" max="10"/>
    <col width="8" customWidth="1" min="11" max="11"/>
    <col width="24" customWidth="1" min="12" max="12"/>
    <col width="9" customWidth="1" min="13" max="13"/>
    <col width="11" customWidth="1" min="14" max="14"/>
    <col width="5" customWidth="1" min="15" max="15"/>
    <col outlineLevel="1" width="13" customWidth="1" min="16" max="17"/>
    <col width="9" customWidth="1" min="18" max="18"/>
    <col width="2" customWidth="1" min="19" max="19"/>
    <col width="40" customWidth="1" min="20" max="20"/>
    <col width="13" customWidth="1" min="21" max="21"/>
    <col width="8" customWidth="1" min="22" max="22"/>
    <col width="12" customWidth="1" min="23" max="23"/>
    <col width="11" customWidth="1" min="24" max="24"/>
    <col width="9" customWidth="1" min="25" max="25"/>
    <col width="13" customWidth="1" min="26" max="26"/>
    <col width="11" customWidth="1" min="27" max="27"/>
    <col width="7" customWidth="1" min="28" max="28"/>
    <col width="12" customWidth="1" min="29" max="29"/>
    <col width="11" customWidth="1" min="30" max="30"/>
  </cols>
  <sheetData>
    <row r="1">
      <c r="A1" s="1" t="inlineStr">
        <is>
          <t>10_LimitLP — 바이어별 신용한도 배분 LP(해 찾기: 단순 LP · 모델 저장됨)</t>
        </is>
      </c>
    </row>
    <row r="2">
      <c r="A2" s="2" t="inlineStr">
        <is>
          <t>목적함수 Obj(최대화)</t>
        </is>
      </c>
      <c r="C2" s="64">
        <f>SUMPRODUCT(coef,L)</f>
        <v/>
      </c>
      <c r="D2" s="49" t="inlineStr">
        <is>
          <t>← 해 찾기 '목표 설정'</t>
        </is>
      </c>
    </row>
    <row r="3">
      <c r="T3" s="4" t="inlineStr">
        <is>
          <t>제약(해 찾기 입력표 ①②④ · ③은 아래 국가 블록)</t>
        </is>
      </c>
    </row>
    <row r="4">
      <c r="A4" s="11" t="inlineStr">
        <is>
          <t>buyer_id</t>
        </is>
      </c>
      <c r="B4" s="11" t="inlineStr">
        <is>
          <t>country</t>
        </is>
      </c>
      <c r="C4" s="11" t="inlineStr">
        <is>
          <t>등급</t>
        </is>
      </c>
      <c r="D4" s="11" t="inlineStr">
        <is>
          <t>UB 상한</t>
        </is>
      </c>
      <c r="E4" s="11" t="inlineStr">
        <is>
          <t>LB 하한</t>
        </is>
      </c>
      <c r="F4" s="11" t="inlineStr">
        <is>
          <t>L 한도(결정변수)</t>
        </is>
      </c>
      <c r="G4" s="11" t="inlineStr">
        <is>
          <t>coef</t>
        </is>
      </c>
      <c r="H4" s="11" t="inlineStr">
        <is>
          <t>elc</t>
        </is>
      </c>
      <c r="I4" s="11" t="inlineStr">
        <is>
          <t>현행 한도</t>
        </is>
      </c>
      <c r="J4" s="11" t="inlineStr">
        <is>
          <t>변경(L−현행)</t>
        </is>
      </c>
      <c r="K4" s="11" t="inlineStr">
        <is>
          <t>변경률</t>
        </is>
      </c>
      <c r="L4" s="11" t="inlineStr">
        <is>
          <t>승인 표시</t>
        </is>
      </c>
      <c r="M4" s="11" t="inlineStr">
        <is>
          <t>한도 대상</t>
        </is>
      </c>
      <c r="N4" s="11" t="inlineStr">
        <is>
          <t>전결권자</t>
        </is>
      </c>
      <c r="O4" s="11" t="inlineStr">
        <is>
          <t>전략</t>
        </is>
      </c>
      <c r="P4" s="11" t="inlineStr">
        <is>
          <t>L_ref(PuLP 참고해)</t>
        </is>
      </c>
      <c r="Q4" s="11" t="inlineStr">
        <is>
          <t>L − L_ref</t>
        </is>
      </c>
      <c r="R4" s="11" t="inlineStr">
        <is>
          <t>동점 그룹(같은 coef 수)</t>
        </is>
      </c>
      <c r="T4" s="11" t="inlineStr">
        <is>
          <t>제약</t>
        </is>
      </c>
      <c r="U4" s="11" t="inlineStr">
        <is>
          <t>LHS</t>
        </is>
      </c>
      <c r="V4" s="11" t="inlineStr">
        <is>
          <t>관계</t>
        </is>
      </c>
      <c r="W4" s="11" t="inlineStr">
        <is>
          <t>RHS</t>
        </is>
      </c>
      <c r="X4" s="11" t="inlineStr">
        <is>
          <t>여유</t>
        </is>
      </c>
      <c r="Y4" s="11" t="inlineStr">
        <is>
          <t>걸림?</t>
        </is>
      </c>
      <c r="Z4" s="11" t="inlineStr">
        <is>
          <t>잠재가격(민감도 보고서에서 입력)</t>
        </is>
      </c>
      <c r="AA4" s="11" t="inlineStr">
        <is>
          <t>PuLP 참고</t>
        </is>
      </c>
    </row>
    <row r="5">
      <c r="A5" s="7">
        <f>IF('02_Buyers'!$A2="","",'02_Buyers'!$A2)</f>
        <v/>
      </c>
      <c r="B5" s="7">
        <f>IF($A5="","",'02_Buyers'!$S2)</f>
        <v/>
      </c>
      <c r="C5" s="7">
        <f>IF($A5="","",'02_Buyers'!$AK2)</f>
        <v/>
      </c>
      <c r="D5" s="44">
        <f>IF($A5="",0,'02_Buyers'!$BB2)</f>
        <v/>
      </c>
      <c r="E5" s="44">
        <f>IF($A5="",0,'02_Buyers'!$BC2)</f>
        <v/>
      </c>
      <c r="F5" s="65" t="n">
        <v>0</v>
      </c>
      <c r="G5" s="61">
        <f>IF($A5="",0,'02_Buyers'!$BD2)</f>
        <v/>
      </c>
      <c r="H5" s="66">
        <f>IF($A5="",0,'02_Buyers'!$BE2)</f>
        <v/>
      </c>
      <c r="I5" s="44">
        <f>IF($A5="",0,'02_Buyers'!$AB2)</f>
        <v/>
      </c>
      <c r="J5" s="44">
        <f>IF($A5="","",F5-I5)</f>
        <v/>
      </c>
      <c r="K5" s="67">
        <f>IF(OR($A5="",I5&lt;=0),"",J5/I5)</f>
        <v/>
      </c>
      <c r="L5" s="7">
        <f>IF($A5="","",IF(M5="대상 아님","대상 아님(L/C·선수금)",IF(AND(I5&gt;0,K5&lt;=-0.3),"감액 30%↑ — 사람 승인 필요",IF(J5&gt;0,"증액 — 전결권자 승인","유지·소폭 감액"))))</f>
        <v/>
      </c>
      <c r="M5" s="7">
        <f>IF($A5="","",'02_Buyers'!$BA2)</f>
        <v/>
      </c>
      <c r="N5" s="7">
        <f>IF(OR($A5="",M5="대상 아님"),"",IF(F5&lt;=50000,"채권관리팀장",IF(F5&lt;=200000,"영업본부장","대표이사")))</f>
        <v/>
      </c>
      <c r="O5" s="7">
        <f>IF($A5="","",'02_Buyers'!$AG2)</f>
        <v/>
      </c>
      <c r="P5" s="48" t="n"/>
      <c r="Q5" s="44">
        <f>IF(OR($A5="",P5=""),"",F5-P5)</f>
        <v/>
      </c>
      <c r="R5" s="45">
        <f>IF(OR($A5="",D5&lt;=0),"",COUNTIFS($G$5:$G$154,G5,$D$5:$D$154,"&gt;0"))</f>
        <v/>
      </c>
      <c r="T5" s="12" t="inlineStr">
        <is>
          <t>① 총허용익스포저 Σ L ≤ TotalCap</t>
        </is>
      </c>
      <c r="U5" s="55">
        <f>SUM(L)</f>
        <v/>
      </c>
      <c r="V5" s="7" t="inlineStr">
        <is>
          <t>≤</t>
        </is>
      </c>
      <c r="W5" s="55">
        <f>ROUND(TotalCapShare*SUM(UB),-5)</f>
        <v/>
      </c>
      <c r="X5" s="55">
        <f>W5-U5</f>
        <v/>
      </c>
      <c r="Y5" s="7">
        <f>IF(X5&lt;=0.5,"걸림","")</f>
        <v/>
      </c>
      <c r="Z5" s="68" t="n"/>
      <c r="AA5" s="69" t="n"/>
    </row>
    <row r="6">
      <c r="A6" s="7">
        <f>IF('02_Buyers'!$A3="","",'02_Buyers'!$A3)</f>
        <v/>
      </c>
      <c r="B6" s="7">
        <f>IF($A6="","",'02_Buyers'!$S3)</f>
        <v/>
      </c>
      <c r="C6" s="7">
        <f>IF($A6="","",'02_Buyers'!$AK3)</f>
        <v/>
      </c>
      <c r="D6" s="44">
        <f>IF($A6="",0,'02_Buyers'!$BB3)</f>
        <v/>
      </c>
      <c r="E6" s="44">
        <f>IF($A6="",0,'02_Buyers'!$BC3)</f>
        <v/>
      </c>
      <c r="F6" s="65" t="n">
        <v>0</v>
      </c>
      <c r="G6" s="61">
        <f>IF($A6="",0,'02_Buyers'!$BD3)</f>
        <v/>
      </c>
      <c r="H6" s="66">
        <f>IF($A6="",0,'02_Buyers'!$BE3)</f>
        <v/>
      </c>
      <c r="I6" s="44">
        <f>IF($A6="",0,'02_Buyers'!$AB3)</f>
        <v/>
      </c>
      <c r="J6" s="44">
        <f>IF($A6="","",F6-I6)</f>
        <v/>
      </c>
      <c r="K6" s="67">
        <f>IF(OR($A6="",I6&lt;=0),"",J6/I6)</f>
        <v/>
      </c>
      <c r="L6" s="7">
        <f>IF($A6="","",IF(M6="대상 아님","대상 아님(L/C·선수금)",IF(AND(I6&gt;0,K6&lt;=-0.3),"감액 30%↑ — 사람 승인 필요",IF(J6&gt;0,"증액 — 전결권자 승인","유지·소폭 감액"))))</f>
        <v/>
      </c>
      <c r="M6" s="7">
        <f>IF($A6="","",'02_Buyers'!$BA3)</f>
        <v/>
      </c>
      <c r="N6" s="7">
        <f>IF(OR($A6="",M6="대상 아님"),"",IF(F6&lt;=50000,"채권관리팀장",IF(F6&lt;=200000,"영업본부장","대표이사")))</f>
        <v/>
      </c>
      <c r="O6" s="7">
        <f>IF($A6="","",'02_Buyers'!$AG3)</f>
        <v/>
      </c>
      <c r="P6" s="48" t="n"/>
      <c r="Q6" s="44">
        <f>IF(OR($A6="",P6=""),"",F6-P6)</f>
        <v/>
      </c>
      <c r="R6" s="45">
        <f>IF(OR($A6="",D6&lt;=0),"",COUNTIFS($G$5:$G$154,G6,$D$5:$D$154,"&gt;0"))</f>
        <v/>
      </c>
      <c r="T6" s="12" t="inlineStr">
        <is>
          <t>② 미부보 EL 예산 Σ elc·L ≤ 자기자본 × α</t>
        </is>
      </c>
      <c r="U6" s="55">
        <f>SUMPRODUCT(elc,L)</f>
        <v/>
      </c>
      <c r="V6" s="7" t="inlineStr">
        <is>
          <t>≤</t>
        </is>
      </c>
      <c r="W6" s="55">
        <f>Equity_USD*Alpha</f>
        <v/>
      </c>
      <c r="X6" s="55">
        <f>W6-U6</f>
        <v/>
      </c>
      <c r="Y6" s="7">
        <f>IF(X6&lt;=0.5,"걸림","")</f>
        <v/>
      </c>
      <c r="Z6" s="68" t="n"/>
      <c r="AA6" s="69" t="n"/>
    </row>
    <row r="7">
      <c r="A7" s="7">
        <f>IF('02_Buyers'!$A4="","",'02_Buyers'!$A4)</f>
        <v/>
      </c>
      <c r="B7" s="7">
        <f>IF($A7="","",'02_Buyers'!$S4)</f>
        <v/>
      </c>
      <c r="C7" s="7">
        <f>IF($A7="","",'02_Buyers'!$AK4)</f>
        <v/>
      </c>
      <c r="D7" s="44">
        <f>IF($A7="",0,'02_Buyers'!$BB4)</f>
        <v/>
      </c>
      <c r="E7" s="44">
        <f>IF($A7="",0,'02_Buyers'!$BC4)</f>
        <v/>
      </c>
      <c r="F7" s="65" t="n">
        <v>0</v>
      </c>
      <c r="G7" s="61">
        <f>IF($A7="",0,'02_Buyers'!$BD4)</f>
        <v/>
      </c>
      <c r="H7" s="66">
        <f>IF($A7="",0,'02_Buyers'!$BE4)</f>
        <v/>
      </c>
      <c r="I7" s="44">
        <f>IF($A7="",0,'02_Buyers'!$AB4)</f>
        <v/>
      </c>
      <c r="J7" s="44">
        <f>IF($A7="","",F7-I7)</f>
        <v/>
      </c>
      <c r="K7" s="67">
        <f>IF(OR($A7="",I7&lt;=0),"",J7/I7)</f>
        <v/>
      </c>
      <c r="L7" s="7">
        <f>IF($A7="","",IF(M7="대상 아님","대상 아님(L/C·선수금)",IF(AND(I7&gt;0,K7&lt;=-0.3),"감액 30%↑ — 사람 승인 필요",IF(J7&gt;0,"증액 — 전결권자 승인","유지·소폭 감액"))))</f>
        <v/>
      </c>
      <c r="M7" s="7">
        <f>IF($A7="","",'02_Buyers'!$BA4)</f>
        <v/>
      </c>
      <c r="N7" s="7">
        <f>IF(OR($A7="",M7="대상 아님"),"",IF(F7&lt;=50000,"채권관리팀장",IF(F7&lt;=200000,"영업본부장","대표이사")))</f>
        <v/>
      </c>
      <c r="O7" s="7">
        <f>IF($A7="","",'02_Buyers'!$AG4)</f>
        <v/>
      </c>
      <c r="P7" s="48" t="n"/>
      <c r="Q7" s="44">
        <f>IF(OR($A7="",P7=""),"",F7-P7)</f>
        <v/>
      </c>
      <c r="R7" s="45">
        <f>IF(OR($A7="",D7&lt;=0),"",COUNTIFS($G$5:$G$154,G7,$D$5:$D$154,"&gt;0"))</f>
        <v/>
      </c>
      <c r="T7" s="12" t="inlineStr">
        <is>
          <t>④ B등급 Σ L ≤ 30% × TotalCap</t>
        </is>
      </c>
      <c r="U7" s="55">
        <f>SUMPRODUCT((grade_lp="B")*L)</f>
        <v/>
      </c>
      <c r="V7" s="7" t="inlineStr">
        <is>
          <t>≤</t>
        </is>
      </c>
      <c r="W7" s="55">
        <f>ShareCap_B*TotalCap</f>
        <v/>
      </c>
      <c r="X7" s="55">
        <f>W7-U7</f>
        <v/>
      </c>
      <c r="Y7" s="7">
        <f>IF(X7&lt;=0.5,"걸림","")</f>
        <v/>
      </c>
      <c r="Z7" s="68" t="n"/>
      <c r="AA7" s="69" t="n"/>
    </row>
    <row r="8">
      <c r="A8" s="7">
        <f>IF('02_Buyers'!$A5="","",'02_Buyers'!$A5)</f>
        <v/>
      </c>
      <c r="B8" s="7">
        <f>IF($A8="","",'02_Buyers'!$S5)</f>
        <v/>
      </c>
      <c r="C8" s="7">
        <f>IF($A8="","",'02_Buyers'!$AK5)</f>
        <v/>
      </c>
      <c r="D8" s="44">
        <f>IF($A8="",0,'02_Buyers'!$BB5)</f>
        <v/>
      </c>
      <c r="E8" s="44">
        <f>IF($A8="",0,'02_Buyers'!$BC5)</f>
        <v/>
      </c>
      <c r="F8" s="65" t="n">
        <v>0</v>
      </c>
      <c r="G8" s="61">
        <f>IF($A8="",0,'02_Buyers'!$BD5)</f>
        <v/>
      </c>
      <c r="H8" s="66">
        <f>IF($A8="",0,'02_Buyers'!$BE5)</f>
        <v/>
      </c>
      <c r="I8" s="44">
        <f>IF($A8="",0,'02_Buyers'!$AB5)</f>
        <v/>
      </c>
      <c r="J8" s="44">
        <f>IF($A8="","",F8-I8)</f>
        <v/>
      </c>
      <c r="K8" s="67">
        <f>IF(OR($A8="",I8&lt;=0),"",J8/I8)</f>
        <v/>
      </c>
      <c r="L8" s="7">
        <f>IF($A8="","",IF(M8="대상 아님","대상 아님(L/C·선수금)",IF(AND(I8&gt;0,K8&lt;=-0.3),"감액 30%↑ — 사람 승인 필요",IF(J8&gt;0,"증액 — 전결권자 승인","유지·소폭 감액"))))</f>
        <v/>
      </c>
      <c r="M8" s="7">
        <f>IF($A8="","",'02_Buyers'!$BA5)</f>
        <v/>
      </c>
      <c r="N8" s="7">
        <f>IF(OR($A8="",M8="대상 아님"),"",IF(F8&lt;=50000,"채권관리팀장",IF(F8&lt;=200000,"영업본부장","대표이사")))</f>
        <v/>
      </c>
      <c r="O8" s="7">
        <f>IF($A8="","",'02_Buyers'!$AG5)</f>
        <v/>
      </c>
      <c r="P8" s="48" t="n"/>
      <c r="Q8" s="44">
        <f>IF(OR($A8="",P8=""),"",F8-P8)</f>
        <v/>
      </c>
      <c r="R8" s="45">
        <f>IF(OR($A8="",D8&lt;=0),"",COUNTIFS($G$5:$G$154,G8,$D$5:$D$154,"&gt;0"))</f>
        <v/>
      </c>
    </row>
    <row r="9">
      <c r="A9" s="7">
        <f>IF('02_Buyers'!$A6="","",'02_Buyers'!$A6)</f>
        <v/>
      </c>
      <c r="B9" s="7">
        <f>IF($A9="","",'02_Buyers'!$S6)</f>
        <v/>
      </c>
      <c r="C9" s="7">
        <f>IF($A9="","",'02_Buyers'!$AK6)</f>
        <v/>
      </c>
      <c r="D9" s="44">
        <f>IF($A9="",0,'02_Buyers'!$BB6)</f>
        <v/>
      </c>
      <c r="E9" s="44">
        <f>IF($A9="",0,'02_Buyers'!$BC6)</f>
        <v/>
      </c>
      <c r="F9" s="65" t="n">
        <v>0</v>
      </c>
      <c r="G9" s="61">
        <f>IF($A9="",0,'02_Buyers'!$BD6)</f>
        <v/>
      </c>
      <c r="H9" s="66">
        <f>IF($A9="",0,'02_Buyers'!$BE6)</f>
        <v/>
      </c>
      <c r="I9" s="44">
        <f>IF($A9="",0,'02_Buyers'!$AB6)</f>
        <v/>
      </c>
      <c r="J9" s="44">
        <f>IF($A9="","",F9-I9)</f>
        <v/>
      </c>
      <c r="K9" s="67">
        <f>IF(OR($A9="",I9&lt;=0),"",J9/I9)</f>
        <v/>
      </c>
      <c r="L9" s="7">
        <f>IF($A9="","",IF(M9="대상 아님","대상 아님(L/C·선수금)",IF(AND(I9&gt;0,K9&lt;=-0.3),"감액 30%↑ — 사람 승인 필요",IF(J9&gt;0,"증액 — 전결권자 승인","유지·소폭 감액"))))</f>
        <v/>
      </c>
      <c r="M9" s="7">
        <f>IF($A9="","",'02_Buyers'!$BA6)</f>
        <v/>
      </c>
      <c r="N9" s="7">
        <f>IF(OR($A9="",M9="대상 아님"),"",IF(F9&lt;=50000,"채권관리팀장",IF(F9&lt;=200000,"영업본부장","대표이사")))</f>
        <v/>
      </c>
      <c r="O9" s="7">
        <f>IF($A9="","",'02_Buyers'!$AG6)</f>
        <v/>
      </c>
      <c r="P9" s="48" t="n"/>
      <c r="Q9" s="44">
        <f>IF(OR($A9="",P9=""),"",F9-P9)</f>
        <v/>
      </c>
      <c r="R9" s="45">
        <f>IF(OR($A9="",D9&lt;=0),"",COUNTIFS($G$5:$G$154,G9,$D$5:$D$154,"&gt;0"))</f>
        <v/>
      </c>
    </row>
    <row r="10">
      <c r="A10" s="7">
        <f>IF('02_Buyers'!$A7="","",'02_Buyers'!$A7)</f>
        <v/>
      </c>
      <c r="B10" s="7">
        <f>IF($A10="","",'02_Buyers'!$S7)</f>
        <v/>
      </c>
      <c r="C10" s="7">
        <f>IF($A10="","",'02_Buyers'!$AK7)</f>
        <v/>
      </c>
      <c r="D10" s="44">
        <f>IF($A10="",0,'02_Buyers'!$BB7)</f>
        <v/>
      </c>
      <c r="E10" s="44">
        <f>IF($A10="",0,'02_Buyers'!$BC7)</f>
        <v/>
      </c>
      <c r="F10" s="65" t="n">
        <v>0</v>
      </c>
      <c r="G10" s="61">
        <f>IF($A10="",0,'02_Buyers'!$BD7)</f>
        <v/>
      </c>
      <c r="H10" s="66">
        <f>IF($A10="",0,'02_Buyers'!$BE7)</f>
        <v/>
      </c>
      <c r="I10" s="44">
        <f>IF($A10="",0,'02_Buyers'!$AB7)</f>
        <v/>
      </c>
      <c r="J10" s="44">
        <f>IF($A10="","",F10-I10)</f>
        <v/>
      </c>
      <c r="K10" s="67">
        <f>IF(OR($A10="",I10&lt;=0),"",J10/I10)</f>
        <v/>
      </c>
      <c r="L10" s="7">
        <f>IF($A10="","",IF(M10="대상 아님","대상 아님(L/C·선수금)",IF(AND(I10&gt;0,K10&lt;=-0.3),"감액 30%↑ — 사람 승인 필요",IF(J10&gt;0,"증액 — 전결권자 승인","유지·소폭 감액"))))</f>
        <v/>
      </c>
      <c r="M10" s="7">
        <f>IF($A10="","",'02_Buyers'!$BA7)</f>
        <v/>
      </c>
      <c r="N10" s="7">
        <f>IF(OR($A10="",M10="대상 아님"),"",IF(F10&lt;=50000,"채권관리팀장",IF(F10&lt;=200000,"영업본부장","대표이사")))</f>
        <v/>
      </c>
      <c r="O10" s="7">
        <f>IF($A10="","",'02_Buyers'!$AG7)</f>
        <v/>
      </c>
      <c r="P10" s="48" t="n"/>
      <c r="Q10" s="44">
        <f>IF(OR($A10="",P10=""),"",F10-P10)</f>
        <v/>
      </c>
      <c r="R10" s="45">
        <f>IF(OR($A10="",D10&lt;=0),"",COUNTIFS($G$5:$G$154,G10,$D$5:$D$154,"&gt;0"))</f>
        <v/>
      </c>
      <c r="T10" s="4" t="inlineStr">
        <is>
          <t>③ 국가 한도 Σ_{국가} L ≤ 한도율(CRC) × TotalCap — 20개 제약을 한 줄로: CtryUsed ≤ CtryCap</t>
        </is>
      </c>
    </row>
    <row r="11">
      <c r="A11" s="7">
        <f>IF('02_Buyers'!$A8="","",'02_Buyers'!$A8)</f>
        <v/>
      </c>
      <c r="B11" s="7">
        <f>IF($A11="","",'02_Buyers'!$S8)</f>
        <v/>
      </c>
      <c r="C11" s="7">
        <f>IF($A11="","",'02_Buyers'!$AK8)</f>
        <v/>
      </c>
      <c r="D11" s="44">
        <f>IF($A11="",0,'02_Buyers'!$BB8)</f>
        <v/>
      </c>
      <c r="E11" s="44">
        <f>IF($A11="",0,'02_Buyers'!$BC8)</f>
        <v/>
      </c>
      <c r="F11" s="65" t="n">
        <v>0</v>
      </c>
      <c r="G11" s="61">
        <f>IF($A11="",0,'02_Buyers'!$BD8)</f>
        <v/>
      </c>
      <c r="H11" s="66">
        <f>IF($A11="",0,'02_Buyers'!$BE8)</f>
        <v/>
      </c>
      <c r="I11" s="44">
        <f>IF($A11="",0,'02_Buyers'!$AB8)</f>
        <v/>
      </c>
      <c r="J11" s="44">
        <f>IF($A11="","",F11-I11)</f>
        <v/>
      </c>
      <c r="K11" s="67">
        <f>IF(OR($A11="",I11&lt;=0),"",J11/I11)</f>
        <v/>
      </c>
      <c r="L11" s="7">
        <f>IF($A11="","",IF(M11="대상 아님","대상 아님(L/C·선수금)",IF(AND(I11&gt;0,K11&lt;=-0.3),"감액 30%↑ — 사람 승인 필요",IF(J11&gt;0,"증액 — 전결권자 승인","유지·소폭 감액"))))</f>
        <v/>
      </c>
      <c r="M11" s="7">
        <f>IF($A11="","",'02_Buyers'!$BA8)</f>
        <v/>
      </c>
      <c r="N11" s="7">
        <f>IF(OR($A11="",M11="대상 아님"),"",IF(F11&lt;=50000,"채권관리팀장",IF(F11&lt;=200000,"영업본부장","대표이사")))</f>
        <v/>
      </c>
      <c r="O11" s="7">
        <f>IF($A11="","",'02_Buyers'!$AG8)</f>
        <v/>
      </c>
      <c r="P11" s="48" t="n"/>
      <c r="Q11" s="44">
        <f>IF(OR($A11="",P11=""),"",F11-P11)</f>
        <v/>
      </c>
      <c r="R11" s="45">
        <f>IF(OR($A11="",D11&lt;=0),"",COUNTIFS($G$5:$G$154,G11,$D$5:$D$154,"&gt;0"))</f>
        <v/>
      </c>
      <c r="T11" s="11" t="inlineStr">
        <is>
          <t>국가</t>
        </is>
      </c>
      <c r="U11" s="11" t="inlineStr">
        <is>
          <t>국가명</t>
        </is>
      </c>
      <c r="V11" s="11" t="inlineStr">
        <is>
          <t>OECD CRC</t>
        </is>
      </c>
      <c r="W11" s="11" t="inlineStr">
        <is>
          <t>구간</t>
        </is>
      </c>
      <c r="X11" s="11" t="inlineStr">
        <is>
          <t>한도율</t>
        </is>
      </c>
      <c r="Y11" s="11" t="inlineStr">
        <is>
          <t>CtryCap(USD)</t>
        </is>
      </c>
      <c r="Z11" s="11" t="inlineStr">
        <is>
          <t>CtryUsed</t>
        </is>
      </c>
      <c r="AA11" s="11" t="inlineStr">
        <is>
          <t>여유</t>
        </is>
      </c>
      <c r="AB11" s="11" t="inlineStr">
        <is>
          <t>걸림?</t>
        </is>
      </c>
      <c r="AC11" s="11" t="inlineStr">
        <is>
          <t>잠재가격(입력)</t>
        </is>
      </c>
      <c r="AD11" s="11" t="inlineStr">
        <is>
          <t>PuLP 참고</t>
        </is>
      </c>
    </row>
    <row r="12">
      <c r="A12" s="7">
        <f>IF('02_Buyers'!$A9="","",'02_Buyers'!$A9)</f>
        <v/>
      </c>
      <c r="B12" s="7">
        <f>IF($A12="","",'02_Buyers'!$S9)</f>
        <v/>
      </c>
      <c r="C12" s="7">
        <f>IF($A12="","",'02_Buyers'!$AK9)</f>
        <v/>
      </c>
      <c r="D12" s="44">
        <f>IF($A12="",0,'02_Buyers'!$BB9)</f>
        <v/>
      </c>
      <c r="E12" s="44">
        <f>IF($A12="",0,'02_Buyers'!$BC9)</f>
        <v/>
      </c>
      <c r="F12" s="65" t="n">
        <v>0</v>
      </c>
      <c r="G12" s="61">
        <f>IF($A12="",0,'02_Buyers'!$BD9)</f>
        <v/>
      </c>
      <c r="H12" s="66">
        <f>IF($A12="",0,'02_Buyers'!$BE9)</f>
        <v/>
      </c>
      <c r="I12" s="44">
        <f>IF($A12="",0,'02_Buyers'!$AB9)</f>
        <v/>
      </c>
      <c r="J12" s="44">
        <f>IF($A12="","",F12-I12)</f>
        <v/>
      </c>
      <c r="K12" s="67">
        <f>IF(OR($A12="",I12&lt;=0),"",J12/I12)</f>
        <v/>
      </c>
      <c r="L12" s="7">
        <f>IF($A12="","",IF(M12="대상 아님","대상 아님(L/C·선수금)",IF(AND(I12&gt;0,K12&lt;=-0.3),"감액 30%↑ — 사람 승인 필요",IF(J12&gt;0,"증액 — 전결권자 승인","유지·소폭 감액"))))</f>
        <v/>
      </c>
      <c r="M12" s="7">
        <f>IF($A12="","",'02_Buyers'!$BA9)</f>
        <v/>
      </c>
      <c r="N12" s="7">
        <f>IF(OR($A12="",M12="대상 아님"),"",IF(F12&lt;=50000,"채권관리팀장",IF(F12&lt;=200000,"영업본부장","대표이사")))</f>
        <v/>
      </c>
      <c r="O12" s="7">
        <f>IF($A12="","",'02_Buyers'!$AG9)</f>
        <v/>
      </c>
      <c r="P12" s="48" t="n"/>
      <c r="Q12" s="44">
        <f>IF(OR($A12="",P12=""),"",F12-P12)</f>
        <v/>
      </c>
      <c r="R12" s="45">
        <f>IF(OR($A12="",D12&lt;=0),"",COUNTIFS($G$5:$G$154,G12,$D$5:$D$154,"&gt;0"))</f>
        <v/>
      </c>
      <c r="T12" s="5" t="inlineStr">
        <is>
          <t>USA</t>
        </is>
      </c>
      <c r="U12" s="5" t="inlineStr">
        <is>
          <t>미국</t>
        </is>
      </c>
      <c r="V12" s="70" t="n"/>
      <c r="W12" s="7">
        <f>IF(V12="","0-2",IF(V12&lt;=2,"0-2",IF(V12=3,"3",IF(V12&lt;=5,"4-5","6-7"))))</f>
        <v/>
      </c>
      <c r="X12" s="67">
        <f>CHOOSE(MATCH(W12,{"0-2","3","4-5","6-7"},0),CtryCap_02,CtryCap_3,CtryCap_45,CtryCap_67)</f>
        <v/>
      </c>
      <c r="Y12" s="44">
        <f>X12*TotalCap</f>
        <v/>
      </c>
      <c r="Z12" s="44">
        <f>SUMPRODUCT((ctry=T12)*L)</f>
        <v/>
      </c>
      <c r="AA12" s="44">
        <f>Y12-Z12</f>
        <v/>
      </c>
      <c r="AB12" s="7">
        <f>IF(AA12&lt;=0.5,"걸림","")</f>
        <v/>
      </c>
      <c r="AC12" s="68" t="n"/>
      <c r="AD12" s="69" t="n"/>
    </row>
    <row r="13">
      <c r="A13" s="7">
        <f>IF('02_Buyers'!$A10="","",'02_Buyers'!$A10)</f>
        <v/>
      </c>
      <c r="B13" s="7">
        <f>IF($A13="","",'02_Buyers'!$S10)</f>
        <v/>
      </c>
      <c r="C13" s="7">
        <f>IF($A13="","",'02_Buyers'!$AK10)</f>
        <v/>
      </c>
      <c r="D13" s="44">
        <f>IF($A13="",0,'02_Buyers'!$BB10)</f>
        <v/>
      </c>
      <c r="E13" s="44">
        <f>IF($A13="",0,'02_Buyers'!$BC10)</f>
        <v/>
      </c>
      <c r="F13" s="65" t="n">
        <v>0</v>
      </c>
      <c r="G13" s="61">
        <f>IF($A13="",0,'02_Buyers'!$BD10)</f>
        <v/>
      </c>
      <c r="H13" s="66">
        <f>IF($A13="",0,'02_Buyers'!$BE10)</f>
        <v/>
      </c>
      <c r="I13" s="44">
        <f>IF($A13="",0,'02_Buyers'!$AB10)</f>
        <v/>
      </c>
      <c r="J13" s="44">
        <f>IF($A13="","",F13-I13)</f>
        <v/>
      </c>
      <c r="K13" s="67">
        <f>IF(OR($A13="",I13&lt;=0),"",J13/I13)</f>
        <v/>
      </c>
      <c r="L13" s="7">
        <f>IF($A13="","",IF(M13="대상 아님","대상 아님(L/C·선수금)",IF(AND(I13&gt;0,K13&lt;=-0.3),"감액 30%↑ — 사람 승인 필요",IF(J13&gt;0,"증액 — 전결권자 승인","유지·소폭 감액"))))</f>
        <v/>
      </c>
      <c r="M13" s="7">
        <f>IF($A13="","",'02_Buyers'!$BA10)</f>
        <v/>
      </c>
      <c r="N13" s="7">
        <f>IF(OR($A13="",M13="대상 아님"),"",IF(F13&lt;=50000,"채권관리팀장",IF(F13&lt;=200000,"영업본부장","대표이사")))</f>
        <v/>
      </c>
      <c r="O13" s="7">
        <f>IF($A13="","",'02_Buyers'!$AG10)</f>
        <v/>
      </c>
      <c r="P13" s="48" t="n"/>
      <c r="Q13" s="44">
        <f>IF(OR($A13="",P13=""),"",F13-P13)</f>
        <v/>
      </c>
      <c r="R13" s="45">
        <f>IF(OR($A13="",D13&lt;=0),"",COUNTIFS($G$5:$G$154,G13,$D$5:$D$154,"&gt;0"))</f>
        <v/>
      </c>
      <c r="T13" s="5" t="inlineStr">
        <is>
          <t>MEX</t>
        </is>
      </c>
      <c r="U13" s="5" t="inlineStr">
        <is>
          <t>멕시코</t>
        </is>
      </c>
      <c r="V13" s="70" t="n">
        <v>3</v>
      </c>
      <c r="W13" s="7">
        <f>IF(V13="","0-2",IF(V13&lt;=2,"0-2",IF(V13=3,"3",IF(V13&lt;=5,"4-5","6-7"))))</f>
        <v/>
      </c>
      <c r="X13" s="67">
        <f>CHOOSE(MATCH(W13,{"0-2","3","4-5","6-7"},0),CtryCap_02,CtryCap_3,CtryCap_45,CtryCap_67)</f>
        <v/>
      </c>
      <c r="Y13" s="44">
        <f>X13*TotalCap</f>
        <v/>
      </c>
      <c r="Z13" s="44">
        <f>SUMPRODUCT((ctry=T13)*L)</f>
        <v/>
      </c>
      <c r="AA13" s="44">
        <f>Y13-Z13</f>
        <v/>
      </c>
      <c r="AB13" s="7">
        <f>IF(AA13&lt;=0.5,"걸림","")</f>
        <v/>
      </c>
      <c r="AC13" s="68" t="n"/>
      <c r="AD13" s="69" t="n"/>
    </row>
    <row r="14">
      <c r="A14" s="7">
        <f>IF('02_Buyers'!$A11="","",'02_Buyers'!$A11)</f>
        <v/>
      </c>
      <c r="B14" s="7">
        <f>IF($A14="","",'02_Buyers'!$S11)</f>
        <v/>
      </c>
      <c r="C14" s="7">
        <f>IF($A14="","",'02_Buyers'!$AK11)</f>
        <v/>
      </c>
      <c r="D14" s="44">
        <f>IF($A14="",0,'02_Buyers'!$BB11)</f>
        <v/>
      </c>
      <c r="E14" s="44">
        <f>IF($A14="",0,'02_Buyers'!$BC11)</f>
        <v/>
      </c>
      <c r="F14" s="65" t="n">
        <v>0</v>
      </c>
      <c r="G14" s="61">
        <f>IF($A14="",0,'02_Buyers'!$BD11)</f>
        <v/>
      </c>
      <c r="H14" s="66">
        <f>IF($A14="",0,'02_Buyers'!$BE11)</f>
        <v/>
      </c>
      <c r="I14" s="44">
        <f>IF($A14="",0,'02_Buyers'!$AB11)</f>
        <v/>
      </c>
      <c r="J14" s="44">
        <f>IF($A14="","",F14-I14)</f>
        <v/>
      </c>
      <c r="K14" s="67">
        <f>IF(OR($A14="",I14&lt;=0),"",J14/I14)</f>
        <v/>
      </c>
      <c r="L14" s="7">
        <f>IF($A14="","",IF(M14="대상 아님","대상 아님(L/C·선수금)",IF(AND(I14&gt;0,K14&lt;=-0.3),"감액 30%↑ — 사람 승인 필요",IF(J14&gt;0,"증액 — 전결권자 승인","유지·소폭 감액"))))</f>
        <v/>
      </c>
      <c r="M14" s="7">
        <f>IF($A14="","",'02_Buyers'!$BA11)</f>
        <v/>
      </c>
      <c r="N14" s="7">
        <f>IF(OR($A14="",M14="대상 아님"),"",IF(F14&lt;=50000,"채권관리팀장",IF(F14&lt;=200000,"영업본부장","대표이사")))</f>
        <v/>
      </c>
      <c r="O14" s="7">
        <f>IF($A14="","",'02_Buyers'!$AG11)</f>
        <v/>
      </c>
      <c r="P14" s="48" t="n"/>
      <c r="Q14" s="44">
        <f>IF(OR($A14="",P14=""),"",F14-P14)</f>
        <v/>
      </c>
      <c r="R14" s="45">
        <f>IF(OR($A14="",D14&lt;=0),"",COUNTIFS($G$5:$G$154,G14,$D$5:$D$154,"&gt;0"))</f>
        <v/>
      </c>
      <c r="T14" s="5" t="inlineStr">
        <is>
          <t>BRA</t>
        </is>
      </c>
      <c r="U14" s="5" t="inlineStr">
        <is>
          <t>브라질</t>
        </is>
      </c>
      <c r="V14" s="70" t="n">
        <v>4</v>
      </c>
      <c r="W14" s="7">
        <f>IF(V14="","0-2",IF(V14&lt;=2,"0-2",IF(V14=3,"3",IF(V14&lt;=5,"4-5","6-7"))))</f>
        <v/>
      </c>
      <c r="X14" s="67">
        <f>CHOOSE(MATCH(W14,{"0-2","3","4-5","6-7"},0),CtryCap_02,CtryCap_3,CtryCap_45,CtryCap_67)</f>
        <v/>
      </c>
      <c r="Y14" s="44">
        <f>X14*TotalCap</f>
        <v/>
      </c>
      <c r="Z14" s="44">
        <f>SUMPRODUCT((ctry=T14)*L)</f>
        <v/>
      </c>
      <c r="AA14" s="44">
        <f>Y14-Z14</f>
        <v/>
      </c>
      <c r="AB14" s="7">
        <f>IF(AA14&lt;=0.5,"걸림","")</f>
        <v/>
      </c>
      <c r="AC14" s="68" t="n"/>
      <c r="AD14" s="69" t="n"/>
    </row>
    <row r="15">
      <c r="A15" s="7">
        <f>IF('02_Buyers'!$A12="","",'02_Buyers'!$A12)</f>
        <v/>
      </c>
      <c r="B15" s="7">
        <f>IF($A15="","",'02_Buyers'!$S12)</f>
        <v/>
      </c>
      <c r="C15" s="7">
        <f>IF($A15="","",'02_Buyers'!$AK12)</f>
        <v/>
      </c>
      <c r="D15" s="44">
        <f>IF($A15="",0,'02_Buyers'!$BB12)</f>
        <v/>
      </c>
      <c r="E15" s="44">
        <f>IF($A15="",0,'02_Buyers'!$BC12)</f>
        <v/>
      </c>
      <c r="F15" s="65" t="n">
        <v>0</v>
      </c>
      <c r="G15" s="61">
        <f>IF($A15="",0,'02_Buyers'!$BD12)</f>
        <v/>
      </c>
      <c r="H15" s="66">
        <f>IF($A15="",0,'02_Buyers'!$BE12)</f>
        <v/>
      </c>
      <c r="I15" s="44">
        <f>IF($A15="",0,'02_Buyers'!$AB12)</f>
        <v/>
      </c>
      <c r="J15" s="44">
        <f>IF($A15="","",F15-I15)</f>
        <v/>
      </c>
      <c r="K15" s="67">
        <f>IF(OR($A15="",I15&lt;=0),"",J15/I15)</f>
        <v/>
      </c>
      <c r="L15" s="7">
        <f>IF($A15="","",IF(M15="대상 아님","대상 아님(L/C·선수금)",IF(AND(I15&gt;0,K15&lt;=-0.3),"감액 30%↑ — 사람 승인 필요",IF(J15&gt;0,"증액 — 전결권자 승인","유지·소폭 감액"))))</f>
        <v/>
      </c>
      <c r="M15" s="7">
        <f>IF($A15="","",'02_Buyers'!$BA12)</f>
        <v/>
      </c>
      <c r="N15" s="7">
        <f>IF(OR($A15="",M15="대상 아님"),"",IF(F15&lt;=50000,"채권관리팀장",IF(F15&lt;=200000,"영업본부장","대표이사")))</f>
        <v/>
      </c>
      <c r="O15" s="7">
        <f>IF($A15="","",'02_Buyers'!$AG12)</f>
        <v/>
      </c>
      <c r="P15" s="48" t="n"/>
      <c r="Q15" s="44">
        <f>IF(OR($A15="",P15=""),"",F15-P15)</f>
        <v/>
      </c>
      <c r="R15" s="45">
        <f>IF(OR($A15="",D15&lt;=0),"",COUNTIFS($G$5:$G$154,G15,$D$5:$D$154,"&gt;0"))</f>
        <v/>
      </c>
      <c r="T15" s="5" t="inlineStr">
        <is>
          <t>DEU</t>
        </is>
      </c>
      <c r="U15" s="5" t="inlineStr">
        <is>
          <t>독일</t>
        </is>
      </c>
      <c r="V15" s="70" t="n"/>
      <c r="W15" s="7">
        <f>IF(V15="","0-2",IF(V15&lt;=2,"0-2",IF(V15=3,"3",IF(V15&lt;=5,"4-5","6-7"))))</f>
        <v/>
      </c>
      <c r="X15" s="67">
        <f>CHOOSE(MATCH(W15,{"0-2","3","4-5","6-7"},0),CtryCap_02,CtryCap_3,CtryCap_45,CtryCap_67)</f>
        <v/>
      </c>
      <c r="Y15" s="44">
        <f>X15*TotalCap</f>
        <v/>
      </c>
      <c r="Z15" s="44">
        <f>SUMPRODUCT((ctry=T15)*L)</f>
        <v/>
      </c>
      <c r="AA15" s="44">
        <f>Y15-Z15</f>
        <v/>
      </c>
      <c r="AB15" s="7">
        <f>IF(AA15&lt;=0.5,"걸림","")</f>
        <v/>
      </c>
      <c r="AC15" s="68" t="n"/>
      <c r="AD15" s="69" t="n"/>
    </row>
    <row r="16">
      <c r="A16" s="7">
        <f>IF('02_Buyers'!$A13="","",'02_Buyers'!$A13)</f>
        <v/>
      </c>
      <c r="B16" s="7">
        <f>IF($A16="","",'02_Buyers'!$S13)</f>
        <v/>
      </c>
      <c r="C16" s="7">
        <f>IF($A16="","",'02_Buyers'!$AK13)</f>
        <v/>
      </c>
      <c r="D16" s="44">
        <f>IF($A16="",0,'02_Buyers'!$BB13)</f>
        <v/>
      </c>
      <c r="E16" s="44">
        <f>IF($A16="",0,'02_Buyers'!$BC13)</f>
        <v/>
      </c>
      <c r="F16" s="65" t="n">
        <v>0</v>
      </c>
      <c r="G16" s="61">
        <f>IF($A16="",0,'02_Buyers'!$BD13)</f>
        <v/>
      </c>
      <c r="H16" s="66">
        <f>IF($A16="",0,'02_Buyers'!$BE13)</f>
        <v/>
      </c>
      <c r="I16" s="44">
        <f>IF($A16="",0,'02_Buyers'!$AB13)</f>
        <v/>
      </c>
      <c r="J16" s="44">
        <f>IF($A16="","",F16-I16)</f>
        <v/>
      </c>
      <c r="K16" s="67">
        <f>IF(OR($A16="",I16&lt;=0),"",J16/I16)</f>
        <v/>
      </c>
      <c r="L16" s="7">
        <f>IF($A16="","",IF(M16="대상 아님","대상 아님(L/C·선수금)",IF(AND(I16&gt;0,K16&lt;=-0.3),"감액 30%↑ — 사람 승인 필요",IF(J16&gt;0,"증액 — 전결권자 승인","유지·소폭 감액"))))</f>
        <v/>
      </c>
      <c r="M16" s="7">
        <f>IF($A16="","",'02_Buyers'!$BA13)</f>
        <v/>
      </c>
      <c r="N16" s="7">
        <f>IF(OR($A16="",M16="대상 아님"),"",IF(F16&lt;=50000,"채권관리팀장",IF(F16&lt;=200000,"영업본부장","대표이사")))</f>
        <v/>
      </c>
      <c r="O16" s="7">
        <f>IF($A16="","",'02_Buyers'!$AG13)</f>
        <v/>
      </c>
      <c r="P16" s="48" t="n"/>
      <c r="Q16" s="44">
        <f>IF(OR($A16="",P16=""),"",F16-P16)</f>
        <v/>
      </c>
      <c r="R16" s="45">
        <f>IF(OR($A16="",D16&lt;=0),"",COUNTIFS($G$5:$G$154,G16,$D$5:$D$154,"&gt;0"))</f>
        <v/>
      </c>
      <c r="T16" s="5" t="inlineStr">
        <is>
          <t>NLD</t>
        </is>
      </c>
      <c r="U16" s="5" t="inlineStr">
        <is>
          <t>네덜란드</t>
        </is>
      </c>
      <c r="V16" s="70" t="n"/>
      <c r="W16" s="7">
        <f>IF(V16="","0-2",IF(V16&lt;=2,"0-2",IF(V16=3,"3",IF(V16&lt;=5,"4-5","6-7"))))</f>
        <v/>
      </c>
      <c r="X16" s="67">
        <f>CHOOSE(MATCH(W16,{"0-2","3","4-5","6-7"},0),CtryCap_02,CtryCap_3,CtryCap_45,CtryCap_67)</f>
        <v/>
      </c>
      <c r="Y16" s="44">
        <f>X16*TotalCap</f>
        <v/>
      </c>
      <c r="Z16" s="44">
        <f>SUMPRODUCT((ctry=T16)*L)</f>
        <v/>
      </c>
      <c r="AA16" s="44">
        <f>Y16-Z16</f>
        <v/>
      </c>
      <c r="AB16" s="7">
        <f>IF(AA16&lt;=0.5,"걸림","")</f>
        <v/>
      </c>
      <c r="AC16" s="68" t="n"/>
      <c r="AD16" s="69" t="n"/>
    </row>
    <row r="17">
      <c r="A17" s="7">
        <f>IF('02_Buyers'!$A14="","",'02_Buyers'!$A14)</f>
        <v/>
      </c>
      <c r="B17" s="7">
        <f>IF($A17="","",'02_Buyers'!$S14)</f>
        <v/>
      </c>
      <c r="C17" s="7">
        <f>IF($A17="","",'02_Buyers'!$AK14)</f>
        <v/>
      </c>
      <c r="D17" s="44">
        <f>IF($A17="",0,'02_Buyers'!$BB14)</f>
        <v/>
      </c>
      <c r="E17" s="44">
        <f>IF($A17="",0,'02_Buyers'!$BC14)</f>
        <v/>
      </c>
      <c r="F17" s="65" t="n">
        <v>0</v>
      </c>
      <c r="G17" s="61">
        <f>IF($A17="",0,'02_Buyers'!$BD14)</f>
        <v/>
      </c>
      <c r="H17" s="66">
        <f>IF($A17="",0,'02_Buyers'!$BE14)</f>
        <v/>
      </c>
      <c r="I17" s="44">
        <f>IF($A17="",0,'02_Buyers'!$AB14)</f>
        <v/>
      </c>
      <c r="J17" s="44">
        <f>IF($A17="","",F17-I17)</f>
        <v/>
      </c>
      <c r="K17" s="67">
        <f>IF(OR($A17="",I17&lt;=0),"",J17/I17)</f>
        <v/>
      </c>
      <c r="L17" s="7">
        <f>IF($A17="","",IF(M17="대상 아님","대상 아님(L/C·선수금)",IF(AND(I17&gt;0,K17&lt;=-0.3),"감액 30%↑ — 사람 승인 필요",IF(J17&gt;0,"증액 — 전결권자 승인","유지·소폭 감액"))))</f>
        <v/>
      </c>
      <c r="M17" s="7">
        <f>IF($A17="","",'02_Buyers'!$BA14)</f>
        <v/>
      </c>
      <c r="N17" s="7">
        <f>IF(OR($A17="",M17="대상 아님"),"",IF(F17&lt;=50000,"채권관리팀장",IF(F17&lt;=200000,"영업본부장","대표이사")))</f>
        <v/>
      </c>
      <c r="O17" s="7">
        <f>IF($A17="","",'02_Buyers'!$AG14)</f>
        <v/>
      </c>
      <c r="P17" s="48" t="n"/>
      <c r="Q17" s="44">
        <f>IF(OR($A17="",P17=""),"",F17-P17)</f>
        <v/>
      </c>
      <c r="R17" s="45">
        <f>IF(OR($A17="",D17&lt;=0),"",COUNTIFS($G$5:$G$154,G17,$D$5:$D$154,"&gt;0"))</f>
        <v/>
      </c>
      <c r="T17" s="5" t="inlineStr">
        <is>
          <t>GBR</t>
        </is>
      </c>
      <c r="U17" s="5" t="inlineStr">
        <is>
          <t>영국</t>
        </is>
      </c>
      <c r="V17" s="70" t="n"/>
      <c r="W17" s="7">
        <f>IF(V17="","0-2",IF(V17&lt;=2,"0-2",IF(V17=3,"3",IF(V17&lt;=5,"4-5","6-7"))))</f>
        <v/>
      </c>
      <c r="X17" s="67">
        <f>CHOOSE(MATCH(W17,{"0-2","3","4-5","6-7"},0),CtryCap_02,CtryCap_3,CtryCap_45,CtryCap_67)</f>
        <v/>
      </c>
      <c r="Y17" s="44">
        <f>X17*TotalCap</f>
        <v/>
      </c>
      <c r="Z17" s="44">
        <f>SUMPRODUCT((ctry=T17)*L)</f>
        <v/>
      </c>
      <c r="AA17" s="44">
        <f>Y17-Z17</f>
        <v/>
      </c>
      <c r="AB17" s="7">
        <f>IF(AA17&lt;=0.5,"걸림","")</f>
        <v/>
      </c>
      <c r="AC17" s="68" t="n"/>
      <c r="AD17" s="69" t="n"/>
    </row>
    <row r="18">
      <c r="A18" s="7">
        <f>IF('02_Buyers'!$A15="","",'02_Buyers'!$A15)</f>
        <v/>
      </c>
      <c r="B18" s="7">
        <f>IF($A18="","",'02_Buyers'!$S15)</f>
        <v/>
      </c>
      <c r="C18" s="7">
        <f>IF($A18="","",'02_Buyers'!$AK15)</f>
        <v/>
      </c>
      <c r="D18" s="44">
        <f>IF($A18="",0,'02_Buyers'!$BB15)</f>
        <v/>
      </c>
      <c r="E18" s="44">
        <f>IF($A18="",0,'02_Buyers'!$BC15)</f>
        <v/>
      </c>
      <c r="F18" s="65" t="n">
        <v>0</v>
      </c>
      <c r="G18" s="61">
        <f>IF($A18="",0,'02_Buyers'!$BD15)</f>
        <v/>
      </c>
      <c r="H18" s="66">
        <f>IF($A18="",0,'02_Buyers'!$BE15)</f>
        <v/>
      </c>
      <c r="I18" s="44">
        <f>IF($A18="",0,'02_Buyers'!$AB15)</f>
        <v/>
      </c>
      <c r="J18" s="44">
        <f>IF($A18="","",F18-I18)</f>
        <v/>
      </c>
      <c r="K18" s="67">
        <f>IF(OR($A18="",I18&lt;=0),"",J18/I18)</f>
        <v/>
      </c>
      <c r="L18" s="7">
        <f>IF($A18="","",IF(M18="대상 아님","대상 아님(L/C·선수금)",IF(AND(I18&gt;0,K18&lt;=-0.3),"감액 30%↑ — 사람 승인 필요",IF(J18&gt;0,"증액 — 전결권자 승인","유지·소폭 감액"))))</f>
        <v/>
      </c>
      <c r="M18" s="7">
        <f>IF($A18="","",'02_Buyers'!$BA15)</f>
        <v/>
      </c>
      <c r="N18" s="7">
        <f>IF(OR($A18="",M18="대상 아님"),"",IF(F18&lt;=50000,"채권관리팀장",IF(F18&lt;=200000,"영업본부장","대표이사")))</f>
        <v/>
      </c>
      <c r="O18" s="7">
        <f>IF($A18="","",'02_Buyers'!$AG15)</f>
        <v/>
      </c>
      <c r="P18" s="48" t="n"/>
      <c r="Q18" s="44">
        <f>IF(OR($A18="",P18=""),"",F18-P18)</f>
        <v/>
      </c>
      <c r="R18" s="45">
        <f>IF(OR($A18="",D18&lt;=0),"",COUNTIFS($G$5:$G$154,G18,$D$5:$D$154,"&gt;0"))</f>
        <v/>
      </c>
      <c r="T18" s="5" t="inlineStr">
        <is>
          <t>POL</t>
        </is>
      </c>
      <c r="U18" s="5" t="inlineStr">
        <is>
          <t>폴란드</t>
        </is>
      </c>
      <c r="V18" s="70" t="n"/>
      <c r="W18" s="7">
        <f>IF(V18="","0-2",IF(V18&lt;=2,"0-2",IF(V18=3,"3",IF(V18&lt;=5,"4-5","6-7"))))</f>
        <v/>
      </c>
      <c r="X18" s="67">
        <f>CHOOSE(MATCH(W18,{"0-2","3","4-5","6-7"},0),CtryCap_02,CtryCap_3,CtryCap_45,CtryCap_67)</f>
        <v/>
      </c>
      <c r="Y18" s="44">
        <f>X18*TotalCap</f>
        <v/>
      </c>
      <c r="Z18" s="44">
        <f>SUMPRODUCT((ctry=T18)*L)</f>
        <v/>
      </c>
      <c r="AA18" s="44">
        <f>Y18-Z18</f>
        <v/>
      </c>
      <c r="AB18" s="7">
        <f>IF(AA18&lt;=0.5,"걸림","")</f>
        <v/>
      </c>
      <c r="AC18" s="68" t="n"/>
      <c r="AD18" s="69" t="n"/>
    </row>
    <row r="19">
      <c r="A19" s="7">
        <f>IF('02_Buyers'!$A16="","",'02_Buyers'!$A16)</f>
        <v/>
      </c>
      <c r="B19" s="7">
        <f>IF($A19="","",'02_Buyers'!$S16)</f>
        <v/>
      </c>
      <c r="C19" s="7">
        <f>IF($A19="","",'02_Buyers'!$AK16)</f>
        <v/>
      </c>
      <c r="D19" s="44">
        <f>IF($A19="",0,'02_Buyers'!$BB16)</f>
        <v/>
      </c>
      <c r="E19" s="44">
        <f>IF($A19="",0,'02_Buyers'!$BC16)</f>
        <v/>
      </c>
      <c r="F19" s="65" t="n">
        <v>0</v>
      </c>
      <c r="G19" s="61">
        <f>IF($A19="",0,'02_Buyers'!$BD16)</f>
        <v/>
      </c>
      <c r="H19" s="66">
        <f>IF($A19="",0,'02_Buyers'!$BE16)</f>
        <v/>
      </c>
      <c r="I19" s="44">
        <f>IF($A19="",0,'02_Buyers'!$AB16)</f>
        <v/>
      </c>
      <c r="J19" s="44">
        <f>IF($A19="","",F19-I19)</f>
        <v/>
      </c>
      <c r="K19" s="67">
        <f>IF(OR($A19="",I19&lt;=0),"",J19/I19)</f>
        <v/>
      </c>
      <c r="L19" s="7">
        <f>IF($A19="","",IF(M19="대상 아님","대상 아님(L/C·선수금)",IF(AND(I19&gt;0,K19&lt;=-0.3),"감액 30%↑ — 사람 승인 필요",IF(J19&gt;0,"증액 — 전결권자 승인","유지·소폭 감액"))))</f>
        <v/>
      </c>
      <c r="M19" s="7">
        <f>IF($A19="","",'02_Buyers'!$BA16)</f>
        <v/>
      </c>
      <c r="N19" s="7">
        <f>IF(OR($A19="",M19="대상 아님"),"",IF(F19&lt;=50000,"채권관리팀장",IF(F19&lt;=200000,"영업본부장","대표이사")))</f>
        <v/>
      </c>
      <c r="O19" s="7">
        <f>IF($A19="","",'02_Buyers'!$AG16)</f>
        <v/>
      </c>
      <c r="P19" s="48" t="n"/>
      <c r="Q19" s="44">
        <f>IF(OR($A19="",P19=""),"",F19-P19)</f>
        <v/>
      </c>
      <c r="R19" s="45">
        <f>IF(OR($A19="",D19&lt;=0),"",COUNTIFS($G$5:$G$154,G19,$D$5:$D$154,"&gt;0"))</f>
        <v/>
      </c>
      <c r="T19" s="5" t="inlineStr">
        <is>
          <t>TUR</t>
        </is>
      </c>
      <c r="U19" s="5" t="inlineStr">
        <is>
          <t>튀르키예</t>
        </is>
      </c>
      <c r="V19" s="70" t="n">
        <v>5</v>
      </c>
      <c r="W19" s="7">
        <f>IF(V19="","0-2",IF(V19&lt;=2,"0-2",IF(V19=3,"3",IF(V19&lt;=5,"4-5","6-7"))))</f>
        <v/>
      </c>
      <c r="X19" s="67">
        <f>CHOOSE(MATCH(W19,{"0-2","3","4-5","6-7"},0),CtryCap_02,CtryCap_3,CtryCap_45,CtryCap_67)</f>
        <v/>
      </c>
      <c r="Y19" s="44">
        <f>X19*TotalCap</f>
        <v/>
      </c>
      <c r="Z19" s="44">
        <f>SUMPRODUCT((ctry=T19)*L)</f>
        <v/>
      </c>
      <c r="AA19" s="44">
        <f>Y19-Z19</f>
        <v/>
      </c>
      <c r="AB19" s="7">
        <f>IF(AA19&lt;=0.5,"걸림","")</f>
        <v/>
      </c>
      <c r="AC19" s="68" t="n"/>
      <c r="AD19" s="69" t="n"/>
    </row>
    <row r="20">
      <c r="A20" s="7">
        <f>IF('02_Buyers'!$A17="","",'02_Buyers'!$A17)</f>
        <v/>
      </c>
      <c r="B20" s="7">
        <f>IF($A20="","",'02_Buyers'!$S17)</f>
        <v/>
      </c>
      <c r="C20" s="7">
        <f>IF($A20="","",'02_Buyers'!$AK17)</f>
        <v/>
      </c>
      <c r="D20" s="44">
        <f>IF($A20="",0,'02_Buyers'!$BB17)</f>
        <v/>
      </c>
      <c r="E20" s="44">
        <f>IF($A20="",0,'02_Buyers'!$BC17)</f>
        <v/>
      </c>
      <c r="F20" s="65" t="n">
        <v>0</v>
      </c>
      <c r="G20" s="61">
        <f>IF($A20="",0,'02_Buyers'!$BD17)</f>
        <v/>
      </c>
      <c r="H20" s="66">
        <f>IF($A20="",0,'02_Buyers'!$BE17)</f>
        <v/>
      </c>
      <c r="I20" s="44">
        <f>IF($A20="",0,'02_Buyers'!$AB17)</f>
        <v/>
      </c>
      <c r="J20" s="44">
        <f>IF($A20="","",F20-I20)</f>
        <v/>
      </c>
      <c r="K20" s="67">
        <f>IF(OR($A20="",I20&lt;=0),"",J20/I20)</f>
        <v/>
      </c>
      <c r="L20" s="7">
        <f>IF($A20="","",IF(M20="대상 아님","대상 아님(L/C·선수금)",IF(AND(I20&gt;0,K20&lt;=-0.3),"감액 30%↑ — 사람 승인 필요",IF(J20&gt;0,"증액 — 전결권자 승인","유지·소폭 감액"))))</f>
        <v/>
      </c>
      <c r="M20" s="7">
        <f>IF($A20="","",'02_Buyers'!$BA17)</f>
        <v/>
      </c>
      <c r="N20" s="7">
        <f>IF(OR($A20="",M20="대상 아님"),"",IF(F20&lt;=50000,"채권관리팀장",IF(F20&lt;=200000,"영업본부장","대표이사")))</f>
        <v/>
      </c>
      <c r="O20" s="7">
        <f>IF($A20="","",'02_Buyers'!$AG17)</f>
        <v/>
      </c>
      <c r="P20" s="48" t="n"/>
      <c r="Q20" s="44">
        <f>IF(OR($A20="",P20=""),"",F20-P20)</f>
        <v/>
      </c>
      <c r="R20" s="45">
        <f>IF(OR($A20="",D20&lt;=0),"",COUNTIFS($G$5:$G$154,G20,$D$5:$D$154,"&gt;0"))</f>
        <v/>
      </c>
      <c r="T20" s="5" t="inlineStr">
        <is>
          <t>CHN</t>
        </is>
      </c>
      <c r="U20" s="5" t="inlineStr">
        <is>
          <t>중국</t>
        </is>
      </c>
      <c r="V20" s="70" t="n">
        <v>2</v>
      </c>
      <c r="W20" s="7">
        <f>IF(V20="","0-2",IF(V20&lt;=2,"0-2",IF(V20=3,"3",IF(V20&lt;=5,"4-5","6-7"))))</f>
        <v/>
      </c>
      <c r="X20" s="67">
        <f>CHOOSE(MATCH(W20,{"0-2","3","4-5","6-7"},0),CtryCap_02,CtryCap_3,CtryCap_45,CtryCap_67)</f>
        <v/>
      </c>
      <c r="Y20" s="44">
        <f>X20*TotalCap</f>
        <v/>
      </c>
      <c r="Z20" s="44">
        <f>SUMPRODUCT((ctry=T20)*L)</f>
        <v/>
      </c>
      <c r="AA20" s="44">
        <f>Y20-Z20</f>
        <v/>
      </c>
      <c r="AB20" s="7">
        <f>IF(AA20&lt;=0.5,"걸림","")</f>
        <v/>
      </c>
      <c r="AC20" s="68" t="n"/>
      <c r="AD20" s="69" t="n"/>
    </row>
    <row r="21">
      <c r="A21" s="7">
        <f>IF('02_Buyers'!$A18="","",'02_Buyers'!$A18)</f>
        <v/>
      </c>
      <c r="B21" s="7">
        <f>IF($A21="","",'02_Buyers'!$S18)</f>
        <v/>
      </c>
      <c r="C21" s="7">
        <f>IF($A21="","",'02_Buyers'!$AK18)</f>
        <v/>
      </c>
      <c r="D21" s="44">
        <f>IF($A21="",0,'02_Buyers'!$BB18)</f>
        <v/>
      </c>
      <c r="E21" s="44">
        <f>IF($A21="",0,'02_Buyers'!$BC18)</f>
        <v/>
      </c>
      <c r="F21" s="65" t="n">
        <v>0</v>
      </c>
      <c r="G21" s="61">
        <f>IF($A21="",0,'02_Buyers'!$BD18)</f>
        <v/>
      </c>
      <c r="H21" s="66">
        <f>IF($A21="",0,'02_Buyers'!$BE18)</f>
        <v/>
      </c>
      <c r="I21" s="44">
        <f>IF($A21="",0,'02_Buyers'!$AB18)</f>
        <v/>
      </c>
      <c r="J21" s="44">
        <f>IF($A21="","",F21-I21)</f>
        <v/>
      </c>
      <c r="K21" s="67">
        <f>IF(OR($A21="",I21&lt;=0),"",J21/I21)</f>
        <v/>
      </c>
      <c r="L21" s="7">
        <f>IF($A21="","",IF(M21="대상 아님","대상 아님(L/C·선수금)",IF(AND(I21&gt;0,K21&lt;=-0.3),"감액 30%↑ — 사람 승인 필요",IF(J21&gt;0,"증액 — 전결권자 승인","유지·소폭 감액"))))</f>
        <v/>
      </c>
      <c r="M21" s="7">
        <f>IF($A21="","",'02_Buyers'!$BA18)</f>
        <v/>
      </c>
      <c r="N21" s="7">
        <f>IF(OR($A21="",M21="대상 아님"),"",IF(F21&lt;=50000,"채권관리팀장",IF(F21&lt;=200000,"영업본부장","대표이사")))</f>
        <v/>
      </c>
      <c r="O21" s="7">
        <f>IF($A21="","",'02_Buyers'!$AG18)</f>
        <v/>
      </c>
      <c r="P21" s="48" t="n"/>
      <c r="Q21" s="44">
        <f>IF(OR($A21="",P21=""),"",F21-P21)</f>
        <v/>
      </c>
      <c r="R21" s="45">
        <f>IF(OR($A21="",D21&lt;=0),"",COUNTIFS($G$5:$G$154,G21,$D$5:$D$154,"&gt;0"))</f>
        <v/>
      </c>
      <c r="T21" s="5" t="inlineStr">
        <is>
          <t>JPN</t>
        </is>
      </c>
      <c r="U21" s="5" t="inlineStr">
        <is>
          <t>일본</t>
        </is>
      </c>
      <c r="V21" s="70" t="n"/>
      <c r="W21" s="7">
        <f>IF(V21="","0-2",IF(V21&lt;=2,"0-2",IF(V21=3,"3",IF(V21&lt;=5,"4-5","6-7"))))</f>
        <v/>
      </c>
      <c r="X21" s="67">
        <f>CHOOSE(MATCH(W21,{"0-2","3","4-5","6-7"},0),CtryCap_02,CtryCap_3,CtryCap_45,CtryCap_67)</f>
        <v/>
      </c>
      <c r="Y21" s="44">
        <f>X21*TotalCap</f>
        <v/>
      </c>
      <c r="Z21" s="44">
        <f>SUMPRODUCT((ctry=T21)*L)</f>
        <v/>
      </c>
      <c r="AA21" s="44">
        <f>Y21-Z21</f>
        <v/>
      </c>
      <c r="AB21" s="7">
        <f>IF(AA21&lt;=0.5,"걸림","")</f>
        <v/>
      </c>
      <c r="AC21" s="68" t="n"/>
      <c r="AD21" s="69" t="n"/>
    </row>
    <row r="22">
      <c r="A22" s="7">
        <f>IF('02_Buyers'!$A19="","",'02_Buyers'!$A19)</f>
        <v/>
      </c>
      <c r="B22" s="7">
        <f>IF($A22="","",'02_Buyers'!$S19)</f>
        <v/>
      </c>
      <c r="C22" s="7">
        <f>IF($A22="","",'02_Buyers'!$AK19)</f>
        <v/>
      </c>
      <c r="D22" s="44">
        <f>IF($A22="",0,'02_Buyers'!$BB19)</f>
        <v/>
      </c>
      <c r="E22" s="44">
        <f>IF($A22="",0,'02_Buyers'!$BC19)</f>
        <v/>
      </c>
      <c r="F22" s="65" t="n">
        <v>0</v>
      </c>
      <c r="G22" s="61">
        <f>IF($A22="",0,'02_Buyers'!$BD19)</f>
        <v/>
      </c>
      <c r="H22" s="66">
        <f>IF($A22="",0,'02_Buyers'!$BE19)</f>
        <v/>
      </c>
      <c r="I22" s="44">
        <f>IF($A22="",0,'02_Buyers'!$AB19)</f>
        <v/>
      </c>
      <c r="J22" s="44">
        <f>IF($A22="","",F22-I22)</f>
        <v/>
      </c>
      <c r="K22" s="67">
        <f>IF(OR($A22="",I22&lt;=0),"",J22/I22)</f>
        <v/>
      </c>
      <c r="L22" s="7">
        <f>IF($A22="","",IF(M22="대상 아님","대상 아님(L/C·선수금)",IF(AND(I22&gt;0,K22&lt;=-0.3),"감액 30%↑ — 사람 승인 필요",IF(J22&gt;0,"증액 — 전결권자 승인","유지·소폭 감액"))))</f>
        <v/>
      </c>
      <c r="M22" s="7">
        <f>IF($A22="","",'02_Buyers'!$BA19)</f>
        <v/>
      </c>
      <c r="N22" s="7">
        <f>IF(OR($A22="",M22="대상 아님"),"",IF(F22&lt;=50000,"채권관리팀장",IF(F22&lt;=200000,"영업본부장","대표이사")))</f>
        <v/>
      </c>
      <c r="O22" s="7">
        <f>IF($A22="","",'02_Buyers'!$AG19)</f>
        <v/>
      </c>
      <c r="P22" s="48" t="n"/>
      <c r="Q22" s="44">
        <f>IF(OR($A22="",P22=""),"",F22-P22)</f>
        <v/>
      </c>
      <c r="R22" s="45">
        <f>IF(OR($A22="",D22&lt;=0),"",COUNTIFS($G$5:$G$154,G22,$D$5:$D$154,"&gt;0"))</f>
        <v/>
      </c>
      <c r="T22" s="5" t="inlineStr">
        <is>
          <t>TWN</t>
        </is>
      </c>
      <c r="U22" s="5" t="inlineStr">
        <is>
          <t>대만</t>
        </is>
      </c>
      <c r="V22" s="70" t="n">
        <v>2</v>
      </c>
      <c r="W22" s="7">
        <f>IF(V22="","0-2",IF(V22&lt;=2,"0-2",IF(V22=3,"3",IF(V22&lt;=5,"4-5","6-7"))))</f>
        <v/>
      </c>
      <c r="X22" s="67">
        <f>CHOOSE(MATCH(W22,{"0-2","3","4-5","6-7"},0),CtryCap_02,CtryCap_3,CtryCap_45,CtryCap_67)</f>
        <v/>
      </c>
      <c r="Y22" s="44">
        <f>X22*TotalCap</f>
        <v/>
      </c>
      <c r="Z22" s="44">
        <f>SUMPRODUCT((ctry=T22)*L)</f>
        <v/>
      </c>
      <c r="AA22" s="44">
        <f>Y22-Z22</f>
        <v/>
      </c>
      <c r="AB22" s="7">
        <f>IF(AA22&lt;=0.5,"걸림","")</f>
        <v/>
      </c>
      <c r="AC22" s="68" t="n"/>
      <c r="AD22" s="69" t="n"/>
    </row>
    <row r="23">
      <c r="A23" s="7">
        <f>IF('02_Buyers'!$A20="","",'02_Buyers'!$A20)</f>
        <v/>
      </c>
      <c r="B23" s="7">
        <f>IF($A23="","",'02_Buyers'!$S20)</f>
        <v/>
      </c>
      <c r="C23" s="7">
        <f>IF($A23="","",'02_Buyers'!$AK20)</f>
        <v/>
      </c>
      <c r="D23" s="44">
        <f>IF($A23="",0,'02_Buyers'!$BB20)</f>
        <v/>
      </c>
      <c r="E23" s="44">
        <f>IF($A23="",0,'02_Buyers'!$BC20)</f>
        <v/>
      </c>
      <c r="F23" s="65" t="n">
        <v>0</v>
      </c>
      <c r="G23" s="61">
        <f>IF($A23="",0,'02_Buyers'!$BD20)</f>
        <v/>
      </c>
      <c r="H23" s="66">
        <f>IF($A23="",0,'02_Buyers'!$BE20)</f>
        <v/>
      </c>
      <c r="I23" s="44">
        <f>IF($A23="",0,'02_Buyers'!$AB20)</f>
        <v/>
      </c>
      <c r="J23" s="44">
        <f>IF($A23="","",F23-I23)</f>
        <v/>
      </c>
      <c r="K23" s="67">
        <f>IF(OR($A23="",I23&lt;=0),"",J23/I23)</f>
        <v/>
      </c>
      <c r="L23" s="7">
        <f>IF($A23="","",IF(M23="대상 아님","대상 아님(L/C·선수금)",IF(AND(I23&gt;0,K23&lt;=-0.3),"감액 30%↑ — 사람 승인 필요",IF(J23&gt;0,"증액 — 전결권자 승인","유지·소폭 감액"))))</f>
        <v/>
      </c>
      <c r="M23" s="7">
        <f>IF($A23="","",'02_Buyers'!$BA20)</f>
        <v/>
      </c>
      <c r="N23" s="7">
        <f>IF(OR($A23="",M23="대상 아님"),"",IF(F23&lt;=50000,"채권관리팀장",IF(F23&lt;=200000,"영업본부장","대표이사")))</f>
        <v/>
      </c>
      <c r="O23" s="7">
        <f>IF($A23="","",'02_Buyers'!$AG20)</f>
        <v/>
      </c>
      <c r="P23" s="48" t="n"/>
      <c r="Q23" s="44">
        <f>IF(OR($A23="",P23=""),"",F23-P23)</f>
        <v/>
      </c>
      <c r="R23" s="45">
        <f>IF(OR($A23="",D23&lt;=0),"",COUNTIFS($G$5:$G$154,G23,$D$5:$D$154,"&gt;0"))</f>
        <v/>
      </c>
      <c r="T23" s="5" t="inlineStr">
        <is>
          <t>VNM</t>
        </is>
      </c>
      <c r="U23" s="5" t="inlineStr">
        <is>
          <t>베트남</t>
        </is>
      </c>
      <c r="V23" s="70" t="n">
        <v>3</v>
      </c>
      <c r="W23" s="7">
        <f>IF(V23="","0-2",IF(V23&lt;=2,"0-2",IF(V23=3,"3",IF(V23&lt;=5,"4-5","6-7"))))</f>
        <v/>
      </c>
      <c r="X23" s="67">
        <f>CHOOSE(MATCH(W23,{"0-2","3","4-5","6-7"},0),CtryCap_02,CtryCap_3,CtryCap_45,CtryCap_67)</f>
        <v/>
      </c>
      <c r="Y23" s="44">
        <f>X23*TotalCap</f>
        <v/>
      </c>
      <c r="Z23" s="44">
        <f>SUMPRODUCT((ctry=T23)*L)</f>
        <v/>
      </c>
      <c r="AA23" s="44">
        <f>Y23-Z23</f>
        <v/>
      </c>
      <c r="AB23" s="7">
        <f>IF(AA23&lt;=0.5,"걸림","")</f>
        <v/>
      </c>
      <c r="AC23" s="68" t="n"/>
      <c r="AD23" s="69" t="n"/>
    </row>
    <row r="24">
      <c r="A24" s="7">
        <f>IF('02_Buyers'!$A21="","",'02_Buyers'!$A21)</f>
        <v/>
      </c>
      <c r="B24" s="7">
        <f>IF($A24="","",'02_Buyers'!$S21)</f>
        <v/>
      </c>
      <c r="C24" s="7">
        <f>IF($A24="","",'02_Buyers'!$AK21)</f>
        <v/>
      </c>
      <c r="D24" s="44">
        <f>IF($A24="",0,'02_Buyers'!$BB21)</f>
        <v/>
      </c>
      <c r="E24" s="44">
        <f>IF($A24="",0,'02_Buyers'!$BC21)</f>
        <v/>
      </c>
      <c r="F24" s="65" t="n">
        <v>0</v>
      </c>
      <c r="G24" s="61">
        <f>IF($A24="",0,'02_Buyers'!$BD21)</f>
        <v/>
      </c>
      <c r="H24" s="66">
        <f>IF($A24="",0,'02_Buyers'!$BE21)</f>
        <v/>
      </c>
      <c r="I24" s="44">
        <f>IF($A24="",0,'02_Buyers'!$AB21)</f>
        <v/>
      </c>
      <c r="J24" s="44">
        <f>IF($A24="","",F24-I24)</f>
        <v/>
      </c>
      <c r="K24" s="67">
        <f>IF(OR($A24="",I24&lt;=0),"",J24/I24)</f>
        <v/>
      </c>
      <c r="L24" s="7">
        <f>IF($A24="","",IF(M24="대상 아님","대상 아님(L/C·선수금)",IF(AND(I24&gt;0,K24&lt;=-0.3),"감액 30%↑ — 사람 승인 필요",IF(J24&gt;0,"증액 — 전결권자 승인","유지·소폭 감액"))))</f>
        <v/>
      </c>
      <c r="M24" s="7">
        <f>IF($A24="","",'02_Buyers'!$BA21)</f>
        <v/>
      </c>
      <c r="N24" s="7">
        <f>IF(OR($A24="",M24="대상 아님"),"",IF(F24&lt;=50000,"채권관리팀장",IF(F24&lt;=200000,"영업본부장","대표이사")))</f>
        <v/>
      </c>
      <c r="O24" s="7">
        <f>IF($A24="","",'02_Buyers'!$AG21)</f>
        <v/>
      </c>
      <c r="P24" s="48" t="n"/>
      <c r="Q24" s="44">
        <f>IF(OR($A24="",P24=""),"",F24-P24)</f>
        <v/>
      </c>
      <c r="R24" s="45">
        <f>IF(OR($A24="",D24&lt;=0),"",COUNTIFS($G$5:$G$154,G24,$D$5:$D$154,"&gt;0"))</f>
        <v/>
      </c>
      <c r="T24" s="5" t="inlineStr">
        <is>
          <t>IND</t>
        </is>
      </c>
      <c r="U24" s="5" t="inlineStr">
        <is>
          <t>인도</t>
        </is>
      </c>
      <c r="V24" s="70" t="n">
        <v>3</v>
      </c>
      <c r="W24" s="7">
        <f>IF(V24="","0-2",IF(V24&lt;=2,"0-2",IF(V24=3,"3",IF(V24&lt;=5,"4-5","6-7"))))</f>
        <v/>
      </c>
      <c r="X24" s="67">
        <f>CHOOSE(MATCH(W24,{"0-2","3","4-5","6-7"},0),CtryCap_02,CtryCap_3,CtryCap_45,CtryCap_67)</f>
        <v/>
      </c>
      <c r="Y24" s="44">
        <f>X24*TotalCap</f>
        <v/>
      </c>
      <c r="Z24" s="44">
        <f>SUMPRODUCT((ctry=T24)*L)</f>
        <v/>
      </c>
      <c r="AA24" s="44">
        <f>Y24-Z24</f>
        <v/>
      </c>
      <c r="AB24" s="7">
        <f>IF(AA24&lt;=0.5,"걸림","")</f>
        <v/>
      </c>
      <c r="AC24" s="68" t="n"/>
      <c r="AD24" s="69" t="n"/>
    </row>
    <row r="25">
      <c r="A25" s="7">
        <f>IF('02_Buyers'!$A22="","",'02_Buyers'!$A22)</f>
        <v/>
      </c>
      <c r="B25" s="7">
        <f>IF($A25="","",'02_Buyers'!$S22)</f>
        <v/>
      </c>
      <c r="C25" s="7">
        <f>IF($A25="","",'02_Buyers'!$AK22)</f>
        <v/>
      </c>
      <c r="D25" s="44">
        <f>IF($A25="",0,'02_Buyers'!$BB22)</f>
        <v/>
      </c>
      <c r="E25" s="44">
        <f>IF($A25="",0,'02_Buyers'!$BC22)</f>
        <v/>
      </c>
      <c r="F25" s="65" t="n">
        <v>0</v>
      </c>
      <c r="G25" s="61">
        <f>IF($A25="",0,'02_Buyers'!$BD22)</f>
        <v/>
      </c>
      <c r="H25" s="66">
        <f>IF($A25="",0,'02_Buyers'!$BE22)</f>
        <v/>
      </c>
      <c r="I25" s="44">
        <f>IF($A25="",0,'02_Buyers'!$AB22)</f>
        <v/>
      </c>
      <c r="J25" s="44">
        <f>IF($A25="","",F25-I25)</f>
        <v/>
      </c>
      <c r="K25" s="67">
        <f>IF(OR($A25="",I25&lt;=0),"",J25/I25)</f>
        <v/>
      </c>
      <c r="L25" s="7">
        <f>IF($A25="","",IF(M25="대상 아님","대상 아님(L/C·선수금)",IF(AND(I25&gt;0,K25&lt;=-0.3),"감액 30%↑ — 사람 승인 필요",IF(J25&gt;0,"증액 — 전결권자 승인","유지·소폭 감액"))))</f>
        <v/>
      </c>
      <c r="M25" s="7">
        <f>IF($A25="","",'02_Buyers'!$BA22)</f>
        <v/>
      </c>
      <c r="N25" s="7">
        <f>IF(OR($A25="",M25="대상 아님"),"",IF(F25&lt;=50000,"채권관리팀장",IF(F25&lt;=200000,"영업본부장","대표이사")))</f>
        <v/>
      </c>
      <c r="O25" s="7">
        <f>IF($A25="","",'02_Buyers'!$AG22)</f>
        <v/>
      </c>
      <c r="P25" s="48" t="n"/>
      <c r="Q25" s="44">
        <f>IF(OR($A25="",P25=""),"",F25-P25)</f>
        <v/>
      </c>
      <c r="R25" s="45">
        <f>IF(OR($A25="",D25&lt;=0),"",COUNTIFS($G$5:$G$154,G25,$D$5:$D$154,"&gt;0"))</f>
        <v/>
      </c>
      <c r="T25" s="5" t="inlineStr">
        <is>
          <t>IDN</t>
        </is>
      </c>
      <c r="U25" s="5" t="inlineStr">
        <is>
          <t>인도네시아</t>
        </is>
      </c>
      <c r="V25" s="70" t="n">
        <v>3</v>
      </c>
      <c r="W25" s="7">
        <f>IF(V25="","0-2",IF(V25&lt;=2,"0-2",IF(V25=3,"3",IF(V25&lt;=5,"4-5","6-7"))))</f>
        <v/>
      </c>
      <c r="X25" s="67">
        <f>CHOOSE(MATCH(W25,{"0-2","3","4-5","6-7"},0),CtryCap_02,CtryCap_3,CtryCap_45,CtryCap_67)</f>
        <v/>
      </c>
      <c r="Y25" s="44">
        <f>X25*TotalCap</f>
        <v/>
      </c>
      <c r="Z25" s="44">
        <f>SUMPRODUCT((ctry=T25)*L)</f>
        <v/>
      </c>
      <c r="AA25" s="44">
        <f>Y25-Z25</f>
        <v/>
      </c>
      <c r="AB25" s="7">
        <f>IF(AA25&lt;=0.5,"걸림","")</f>
        <v/>
      </c>
      <c r="AC25" s="68" t="n"/>
      <c r="AD25" s="69" t="n"/>
    </row>
    <row r="26">
      <c r="A26" s="7">
        <f>IF('02_Buyers'!$A23="","",'02_Buyers'!$A23)</f>
        <v/>
      </c>
      <c r="B26" s="7">
        <f>IF($A26="","",'02_Buyers'!$S23)</f>
        <v/>
      </c>
      <c r="C26" s="7">
        <f>IF($A26="","",'02_Buyers'!$AK23)</f>
        <v/>
      </c>
      <c r="D26" s="44">
        <f>IF($A26="",0,'02_Buyers'!$BB23)</f>
        <v/>
      </c>
      <c r="E26" s="44">
        <f>IF($A26="",0,'02_Buyers'!$BC23)</f>
        <v/>
      </c>
      <c r="F26" s="65" t="n">
        <v>0</v>
      </c>
      <c r="G26" s="61">
        <f>IF($A26="",0,'02_Buyers'!$BD23)</f>
        <v/>
      </c>
      <c r="H26" s="66">
        <f>IF($A26="",0,'02_Buyers'!$BE23)</f>
        <v/>
      </c>
      <c r="I26" s="44">
        <f>IF($A26="",0,'02_Buyers'!$AB23)</f>
        <v/>
      </c>
      <c r="J26" s="44">
        <f>IF($A26="","",F26-I26)</f>
        <v/>
      </c>
      <c r="K26" s="67">
        <f>IF(OR($A26="",I26&lt;=0),"",J26/I26)</f>
        <v/>
      </c>
      <c r="L26" s="7">
        <f>IF($A26="","",IF(M26="대상 아님","대상 아님(L/C·선수금)",IF(AND(I26&gt;0,K26&lt;=-0.3),"감액 30%↑ — 사람 승인 필요",IF(J26&gt;0,"증액 — 전결권자 승인","유지·소폭 감액"))))</f>
        <v/>
      </c>
      <c r="M26" s="7">
        <f>IF($A26="","",'02_Buyers'!$BA23)</f>
        <v/>
      </c>
      <c r="N26" s="7">
        <f>IF(OR($A26="",M26="대상 아님"),"",IF(F26&lt;=50000,"채권관리팀장",IF(F26&lt;=200000,"영업본부장","대표이사")))</f>
        <v/>
      </c>
      <c r="O26" s="7">
        <f>IF($A26="","",'02_Buyers'!$AG23)</f>
        <v/>
      </c>
      <c r="P26" s="48" t="n"/>
      <c r="Q26" s="44">
        <f>IF(OR($A26="",P26=""),"",F26-P26)</f>
        <v/>
      </c>
      <c r="R26" s="45">
        <f>IF(OR($A26="",D26&lt;=0),"",COUNTIFS($G$5:$G$154,G26,$D$5:$D$154,"&gt;0"))</f>
        <v/>
      </c>
      <c r="T26" s="5" t="inlineStr">
        <is>
          <t>THA</t>
        </is>
      </c>
      <c r="U26" s="5" t="inlineStr">
        <is>
          <t>태국</t>
        </is>
      </c>
      <c r="V26" s="70" t="n">
        <v>3</v>
      </c>
      <c r="W26" s="7">
        <f>IF(V26="","0-2",IF(V26&lt;=2,"0-2",IF(V26=3,"3",IF(V26&lt;=5,"4-5","6-7"))))</f>
        <v/>
      </c>
      <c r="X26" s="67">
        <f>CHOOSE(MATCH(W26,{"0-2","3","4-5","6-7"},0),CtryCap_02,CtryCap_3,CtryCap_45,CtryCap_67)</f>
        <v/>
      </c>
      <c r="Y26" s="44">
        <f>X26*TotalCap</f>
        <v/>
      </c>
      <c r="Z26" s="44">
        <f>SUMPRODUCT((ctry=T26)*L)</f>
        <v/>
      </c>
      <c r="AA26" s="44">
        <f>Y26-Z26</f>
        <v/>
      </c>
      <c r="AB26" s="7">
        <f>IF(AA26&lt;=0.5,"걸림","")</f>
        <v/>
      </c>
      <c r="AC26" s="68" t="n"/>
      <c r="AD26" s="69" t="n"/>
    </row>
    <row r="27">
      <c r="A27" s="7">
        <f>IF('02_Buyers'!$A24="","",'02_Buyers'!$A24)</f>
        <v/>
      </c>
      <c r="B27" s="7">
        <f>IF($A27="","",'02_Buyers'!$S24)</f>
        <v/>
      </c>
      <c r="C27" s="7">
        <f>IF($A27="","",'02_Buyers'!$AK24)</f>
        <v/>
      </c>
      <c r="D27" s="44">
        <f>IF($A27="",0,'02_Buyers'!$BB24)</f>
        <v/>
      </c>
      <c r="E27" s="44">
        <f>IF($A27="",0,'02_Buyers'!$BC24)</f>
        <v/>
      </c>
      <c r="F27" s="65" t="n">
        <v>0</v>
      </c>
      <c r="G27" s="61">
        <f>IF($A27="",0,'02_Buyers'!$BD24)</f>
        <v/>
      </c>
      <c r="H27" s="66">
        <f>IF($A27="",0,'02_Buyers'!$BE24)</f>
        <v/>
      </c>
      <c r="I27" s="44">
        <f>IF($A27="",0,'02_Buyers'!$AB24)</f>
        <v/>
      </c>
      <c r="J27" s="44">
        <f>IF($A27="","",F27-I27)</f>
        <v/>
      </c>
      <c r="K27" s="67">
        <f>IF(OR($A27="",I27&lt;=0),"",J27/I27)</f>
        <v/>
      </c>
      <c r="L27" s="7">
        <f>IF($A27="","",IF(M27="대상 아님","대상 아님(L/C·선수금)",IF(AND(I27&gt;0,K27&lt;=-0.3),"감액 30%↑ — 사람 승인 필요",IF(J27&gt;0,"증액 — 전결권자 승인","유지·소폭 감액"))))</f>
        <v/>
      </c>
      <c r="M27" s="7">
        <f>IF($A27="","",'02_Buyers'!$BA24)</f>
        <v/>
      </c>
      <c r="N27" s="7">
        <f>IF(OR($A27="",M27="대상 아님"),"",IF(F27&lt;=50000,"채권관리팀장",IF(F27&lt;=200000,"영업본부장","대표이사")))</f>
        <v/>
      </c>
      <c r="O27" s="7">
        <f>IF($A27="","",'02_Buyers'!$AG24)</f>
        <v/>
      </c>
      <c r="P27" s="48" t="n"/>
      <c r="Q27" s="44">
        <f>IF(OR($A27="",P27=""),"",F27-P27)</f>
        <v/>
      </c>
      <c r="R27" s="45">
        <f>IF(OR($A27="",D27&lt;=0),"",COUNTIFS($G$5:$G$154,G27,$D$5:$D$154,"&gt;0"))</f>
        <v/>
      </c>
      <c r="T27" s="5" t="inlineStr">
        <is>
          <t>MYS</t>
        </is>
      </c>
      <c r="U27" s="5" t="inlineStr">
        <is>
          <t>말레이시아</t>
        </is>
      </c>
      <c r="V27" s="70" t="n">
        <v>2</v>
      </c>
      <c r="W27" s="7">
        <f>IF(V27="","0-2",IF(V27&lt;=2,"0-2",IF(V27=3,"3",IF(V27&lt;=5,"4-5","6-7"))))</f>
        <v/>
      </c>
      <c r="X27" s="67">
        <f>CHOOSE(MATCH(W27,{"0-2","3","4-5","6-7"},0),CtryCap_02,CtryCap_3,CtryCap_45,CtryCap_67)</f>
        <v/>
      </c>
      <c r="Y27" s="44">
        <f>X27*TotalCap</f>
        <v/>
      </c>
      <c r="Z27" s="44">
        <f>SUMPRODUCT((ctry=T27)*L)</f>
        <v/>
      </c>
      <c r="AA27" s="44">
        <f>Y27-Z27</f>
        <v/>
      </c>
      <c r="AB27" s="7">
        <f>IF(AA27&lt;=0.5,"걸림","")</f>
        <v/>
      </c>
      <c r="AC27" s="68" t="n"/>
      <c r="AD27" s="69" t="n"/>
    </row>
    <row r="28">
      <c r="A28" s="7">
        <f>IF('02_Buyers'!$A25="","",'02_Buyers'!$A25)</f>
        <v/>
      </c>
      <c r="B28" s="7">
        <f>IF($A28="","",'02_Buyers'!$S25)</f>
        <v/>
      </c>
      <c r="C28" s="7">
        <f>IF($A28="","",'02_Buyers'!$AK25)</f>
        <v/>
      </c>
      <c r="D28" s="44">
        <f>IF($A28="",0,'02_Buyers'!$BB25)</f>
        <v/>
      </c>
      <c r="E28" s="44">
        <f>IF($A28="",0,'02_Buyers'!$BC25)</f>
        <v/>
      </c>
      <c r="F28" s="65" t="n">
        <v>0</v>
      </c>
      <c r="G28" s="61">
        <f>IF($A28="",0,'02_Buyers'!$BD25)</f>
        <v/>
      </c>
      <c r="H28" s="66">
        <f>IF($A28="",0,'02_Buyers'!$BE25)</f>
        <v/>
      </c>
      <c r="I28" s="44">
        <f>IF($A28="",0,'02_Buyers'!$AB25)</f>
        <v/>
      </c>
      <c r="J28" s="44">
        <f>IF($A28="","",F28-I28)</f>
        <v/>
      </c>
      <c r="K28" s="67">
        <f>IF(OR($A28="",I28&lt;=0),"",J28/I28)</f>
        <v/>
      </c>
      <c r="L28" s="7">
        <f>IF($A28="","",IF(M28="대상 아님","대상 아님(L/C·선수금)",IF(AND(I28&gt;0,K28&lt;=-0.3),"감액 30%↑ — 사람 승인 필요",IF(J28&gt;0,"증액 — 전결권자 승인","유지·소폭 감액"))))</f>
        <v/>
      </c>
      <c r="M28" s="7">
        <f>IF($A28="","",'02_Buyers'!$BA25)</f>
        <v/>
      </c>
      <c r="N28" s="7">
        <f>IF(OR($A28="",M28="대상 아님"),"",IF(F28&lt;=50000,"채권관리팀장",IF(F28&lt;=200000,"영업본부장","대표이사")))</f>
        <v/>
      </c>
      <c r="O28" s="7">
        <f>IF($A28="","",'02_Buyers'!$AG25)</f>
        <v/>
      </c>
      <c r="P28" s="48" t="n"/>
      <c r="Q28" s="44">
        <f>IF(OR($A28="",P28=""),"",F28-P28)</f>
        <v/>
      </c>
      <c r="R28" s="45">
        <f>IF(OR($A28="",D28&lt;=0),"",COUNTIFS($G$5:$G$154,G28,$D$5:$D$154,"&gt;0"))</f>
        <v/>
      </c>
      <c r="T28" s="5" t="inlineStr">
        <is>
          <t>ARE</t>
        </is>
      </c>
      <c r="U28" s="5" t="inlineStr">
        <is>
          <t>아랍에미리트</t>
        </is>
      </c>
      <c r="V28" s="70" t="n">
        <v>2</v>
      </c>
      <c r="W28" s="7">
        <f>IF(V28="","0-2",IF(V28&lt;=2,"0-2",IF(V28=3,"3",IF(V28&lt;=5,"4-5","6-7"))))</f>
        <v/>
      </c>
      <c r="X28" s="67">
        <f>CHOOSE(MATCH(W28,{"0-2","3","4-5","6-7"},0),CtryCap_02,CtryCap_3,CtryCap_45,CtryCap_67)</f>
        <v/>
      </c>
      <c r="Y28" s="44">
        <f>X28*TotalCap</f>
        <v/>
      </c>
      <c r="Z28" s="44">
        <f>SUMPRODUCT((ctry=T28)*L)</f>
        <v/>
      </c>
      <c r="AA28" s="44">
        <f>Y28-Z28</f>
        <v/>
      </c>
      <c r="AB28" s="7">
        <f>IF(AA28&lt;=0.5,"걸림","")</f>
        <v/>
      </c>
      <c r="AC28" s="68" t="n"/>
      <c r="AD28" s="69" t="n"/>
    </row>
    <row r="29">
      <c r="A29" s="7">
        <f>IF('02_Buyers'!$A26="","",'02_Buyers'!$A26)</f>
        <v/>
      </c>
      <c r="B29" s="7">
        <f>IF($A29="","",'02_Buyers'!$S26)</f>
        <v/>
      </c>
      <c r="C29" s="7">
        <f>IF($A29="","",'02_Buyers'!$AK26)</f>
        <v/>
      </c>
      <c r="D29" s="44">
        <f>IF($A29="",0,'02_Buyers'!$BB26)</f>
        <v/>
      </c>
      <c r="E29" s="44">
        <f>IF($A29="",0,'02_Buyers'!$BC26)</f>
        <v/>
      </c>
      <c r="F29" s="65" t="n">
        <v>0</v>
      </c>
      <c r="G29" s="61">
        <f>IF($A29="",0,'02_Buyers'!$BD26)</f>
        <v/>
      </c>
      <c r="H29" s="66">
        <f>IF($A29="",0,'02_Buyers'!$BE26)</f>
        <v/>
      </c>
      <c r="I29" s="44">
        <f>IF($A29="",0,'02_Buyers'!$AB26)</f>
        <v/>
      </c>
      <c r="J29" s="44">
        <f>IF($A29="","",F29-I29)</f>
        <v/>
      </c>
      <c r="K29" s="67">
        <f>IF(OR($A29="",I29&lt;=0),"",J29/I29)</f>
        <v/>
      </c>
      <c r="L29" s="7">
        <f>IF($A29="","",IF(M29="대상 아님","대상 아님(L/C·선수금)",IF(AND(I29&gt;0,K29&lt;=-0.3),"감액 30%↑ — 사람 승인 필요",IF(J29&gt;0,"증액 — 전결권자 승인","유지·소폭 감액"))))</f>
        <v/>
      </c>
      <c r="M29" s="7">
        <f>IF($A29="","",'02_Buyers'!$BA26)</f>
        <v/>
      </c>
      <c r="N29" s="7">
        <f>IF(OR($A29="",M29="대상 아님"),"",IF(F29&lt;=50000,"채권관리팀장",IF(F29&lt;=200000,"영업본부장","대표이사")))</f>
        <v/>
      </c>
      <c r="O29" s="7">
        <f>IF($A29="","",'02_Buyers'!$AG26)</f>
        <v/>
      </c>
      <c r="P29" s="48" t="n"/>
      <c r="Q29" s="44">
        <f>IF(OR($A29="",P29=""),"",F29-P29)</f>
        <v/>
      </c>
      <c r="R29" s="45">
        <f>IF(OR($A29="",D29&lt;=0),"",COUNTIFS($G$5:$G$154,G29,$D$5:$D$154,"&gt;0"))</f>
        <v/>
      </c>
      <c r="T29" s="5" t="inlineStr">
        <is>
          <t>SAU</t>
        </is>
      </c>
      <c r="U29" s="5" t="inlineStr">
        <is>
          <t>사우디아라비아</t>
        </is>
      </c>
      <c r="V29" s="70" t="n">
        <v>2</v>
      </c>
      <c r="W29" s="7">
        <f>IF(V29="","0-2",IF(V29&lt;=2,"0-2",IF(V29=3,"3",IF(V29&lt;=5,"4-5","6-7"))))</f>
        <v/>
      </c>
      <c r="X29" s="67">
        <f>CHOOSE(MATCH(W29,{"0-2","3","4-5","6-7"},0),CtryCap_02,CtryCap_3,CtryCap_45,CtryCap_67)</f>
        <v/>
      </c>
      <c r="Y29" s="44">
        <f>X29*TotalCap</f>
        <v/>
      </c>
      <c r="Z29" s="44">
        <f>SUMPRODUCT((ctry=T29)*L)</f>
        <v/>
      </c>
      <c r="AA29" s="44">
        <f>Y29-Z29</f>
        <v/>
      </c>
      <c r="AB29" s="7">
        <f>IF(AA29&lt;=0.5,"걸림","")</f>
        <v/>
      </c>
      <c r="AC29" s="68" t="n"/>
      <c r="AD29" s="69" t="n"/>
    </row>
    <row r="30">
      <c r="A30" s="7">
        <f>IF('02_Buyers'!$A27="","",'02_Buyers'!$A27)</f>
        <v/>
      </c>
      <c r="B30" s="7">
        <f>IF($A30="","",'02_Buyers'!$S27)</f>
        <v/>
      </c>
      <c r="C30" s="7">
        <f>IF($A30="","",'02_Buyers'!$AK27)</f>
        <v/>
      </c>
      <c r="D30" s="44">
        <f>IF($A30="",0,'02_Buyers'!$BB27)</f>
        <v/>
      </c>
      <c r="E30" s="44">
        <f>IF($A30="",0,'02_Buyers'!$BC27)</f>
        <v/>
      </c>
      <c r="F30" s="65" t="n">
        <v>0</v>
      </c>
      <c r="G30" s="61">
        <f>IF($A30="",0,'02_Buyers'!$BD27)</f>
        <v/>
      </c>
      <c r="H30" s="66">
        <f>IF($A30="",0,'02_Buyers'!$BE27)</f>
        <v/>
      </c>
      <c r="I30" s="44">
        <f>IF($A30="",0,'02_Buyers'!$AB27)</f>
        <v/>
      </c>
      <c r="J30" s="44">
        <f>IF($A30="","",F30-I30)</f>
        <v/>
      </c>
      <c r="K30" s="67">
        <f>IF(OR($A30="",I30&lt;=0),"",J30/I30)</f>
        <v/>
      </c>
      <c r="L30" s="7">
        <f>IF($A30="","",IF(M30="대상 아님","대상 아님(L/C·선수금)",IF(AND(I30&gt;0,K30&lt;=-0.3),"감액 30%↑ — 사람 승인 필요",IF(J30&gt;0,"증액 — 전결권자 승인","유지·소폭 감액"))))</f>
        <v/>
      </c>
      <c r="M30" s="7">
        <f>IF($A30="","",'02_Buyers'!$BA27)</f>
        <v/>
      </c>
      <c r="N30" s="7">
        <f>IF(OR($A30="",M30="대상 아님"),"",IF(F30&lt;=50000,"채권관리팀장",IF(F30&lt;=200000,"영업본부장","대표이사")))</f>
        <v/>
      </c>
      <c r="O30" s="7">
        <f>IF($A30="","",'02_Buyers'!$AG27)</f>
        <v/>
      </c>
      <c r="P30" s="48" t="n"/>
      <c r="Q30" s="44">
        <f>IF(OR($A30="",P30=""),"",F30-P30)</f>
        <v/>
      </c>
      <c r="R30" s="45">
        <f>IF(OR($A30="",D30&lt;=0),"",COUNTIFS($G$5:$G$154,G30,$D$5:$D$154,"&gt;0"))</f>
        <v/>
      </c>
      <c r="T30" s="5" t="inlineStr">
        <is>
          <t>EGY</t>
        </is>
      </c>
      <c r="U30" s="5" t="inlineStr">
        <is>
          <t>이집트</t>
        </is>
      </c>
      <c r="V30" s="70" t="n">
        <v>6</v>
      </c>
      <c r="W30" s="7">
        <f>IF(V30="","0-2",IF(V30&lt;=2,"0-2",IF(V30=3,"3",IF(V30&lt;=5,"4-5","6-7"))))</f>
        <v/>
      </c>
      <c r="X30" s="67">
        <f>CHOOSE(MATCH(W30,{"0-2","3","4-5","6-7"},0),CtryCap_02,CtryCap_3,CtryCap_45,CtryCap_67)</f>
        <v/>
      </c>
      <c r="Y30" s="44">
        <f>X30*TotalCap</f>
        <v/>
      </c>
      <c r="Z30" s="44">
        <f>SUMPRODUCT((ctry=T30)*L)</f>
        <v/>
      </c>
      <c r="AA30" s="44">
        <f>Y30-Z30</f>
        <v/>
      </c>
      <c r="AB30" s="7">
        <f>IF(AA30&lt;=0.5,"걸림","")</f>
        <v/>
      </c>
      <c r="AC30" s="68" t="n"/>
      <c r="AD30" s="69" t="n"/>
    </row>
    <row r="31">
      <c r="A31" s="7">
        <f>IF('02_Buyers'!$A28="","",'02_Buyers'!$A28)</f>
        <v/>
      </c>
      <c r="B31" s="7">
        <f>IF($A31="","",'02_Buyers'!$S28)</f>
        <v/>
      </c>
      <c r="C31" s="7">
        <f>IF($A31="","",'02_Buyers'!$AK28)</f>
        <v/>
      </c>
      <c r="D31" s="44">
        <f>IF($A31="",0,'02_Buyers'!$BB28)</f>
        <v/>
      </c>
      <c r="E31" s="44">
        <f>IF($A31="",0,'02_Buyers'!$BC28)</f>
        <v/>
      </c>
      <c r="F31" s="65" t="n">
        <v>0</v>
      </c>
      <c r="G31" s="61">
        <f>IF($A31="",0,'02_Buyers'!$BD28)</f>
        <v/>
      </c>
      <c r="H31" s="66">
        <f>IF($A31="",0,'02_Buyers'!$BE28)</f>
        <v/>
      </c>
      <c r="I31" s="44">
        <f>IF($A31="",0,'02_Buyers'!$AB28)</f>
        <v/>
      </c>
      <c r="J31" s="44">
        <f>IF($A31="","",F31-I31)</f>
        <v/>
      </c>
      <c r="K31" s="67">
        <f>IF(OR($A31="",I31&lt;=0),"",J31/I31)</f>
        <v/>
      </c>
      <c r="L31" s="7">
        <f>IF($A31="","",IF(M31="대상 아님","대상 아님(L/C·선수금)",IF(AND(I31&gt;0,K31&lt;=-0.3),"감액 30%↑ — 사람 승인 필요",IF(J31&gt;0,"증액 — 전결권자 승인","유지·소폭 감액"))))</f>
        <v/>
      </c>
      <c r="M31" s="7">
        <f>IF($A31="","",'02_Buyers'!$BA28)</f>
        <v/>
      </c>
      <c r="N31" s="7">
        <f>IF(OR($A31="",M31="대상 아님"),"",IF(F31&lt;=50000,"채권관리팀장",IF(F31&lt;=200000,"영업본부장","대표이사")))</f>
        <v/>
      </c>
      <c r="O31" s="7">
        <f>IF($A31="","",'02_Buyers'!$AG28)</f>
        <v/>
      </c>
      <c r="P31" s="48" t="n"/>
      <c r="Q31" s="44">
        <f>IF(OR($A31="",P31=""),"",F31-P31)</f>
        <v/>
      </c>
      <c r="R31" s="45">
        <f>IF(OR($A31="",D31&lt;=0),"",COUNTIFS($G$5:$G$154,G31,$D$5:$D$154,"&gt;0"))</f>
        <v/>
      </c>
      <c r="T31" s="5" t="inlineStr">
        <is>
          <t>NGA</t>
        </is>
      </c>
      <c r="U31" s="5" t="inlineStr">
        <is>
          <t>나이지리아</t>
        </is>
      </c>
      <c r="V31" s="70" t="n">
        <v>6</v>
      </c>
      <c r="W31" s="7">
        <f>IF(V31="","0-2",IF(V31&lt;=2,"0-2",IF(V31=3,"3",IF(V31&lt;=5,"4-5","6-7"))))</f>
        <v/>
      </c>
      <c r="X31" s="67">
        <f>CHOOSE(MATCH(W31,{"0-2","3","4-5","6-7"},0),CtryCap_02,CtryCap_3,CtryCap_45,CtryCap_67)</f>
        <v/>
      </c>
      <c r="Y31" s="44">
        <f>X31*TotalCap</f>
        <v/>
      </c>
      <c r="Z31" s="44">
        <f>SUMPRODUCT((ctry=T31)*L)</f>
        <v/>
      </c>
      <c r="AA31" s="44">
        <f>Y31-Z31</f>
        <v/>
      </c>
      <c r="AB31" s="7">
        <f>IF(AA31&lt;=0.5,"걸림","")</f>
        <v/>
      </c>
      <c r="AC31" s="68" t="n"/>
      <c r="AD31" s="69" t="n"/>
    </row>
    <row r="32">
      <c r="A32" s="7">
        <f>IF('02_Buyers'!$A29="","",'02_Buyers'!$A29)</f>
        <v/>
      </c>
      <c r="B32" s="7">
        <f>IF($A32="","",'02_Buyers'!$S29)</f>
        <v/>
      </c>
      <c r="C32" s="7">
        <f>IF($A32="","",'02_Buyers'!$AK29)</f>
        <v/>
      </c>
      <c r="D32" s="44">
        <f>IF($A32="",0,'02_Buyers'!$BB29)</f>
        <v/>
      </c>
      <c r="E32" s="44">
        <f>IF($A32="",0,'02_Buyers'!$BC29)</f>
        <v/>
      </c>
      <c r="F32" s="65" t="n">
        <v>0</v>
      </c>
      <c r="G32" s="61">
        <f>IF($A32="",0,'02_Buyers'!$BD29)</f>
        <v/>
      </c>
      <c r="H32" s="66">
        <f>IF($A32="",0,'02_Buyers'!$BE29)</f>
        <v/>
      </c>
      <c r="I32" s="44">
        <f>IF($A32="",0,'02_Buyers'!$AB29)</f>
        <v/>
      </c>
      <c r="J32" s="44">
        <f>IF($A32="","",F32-I32)</f>
        <v/>
      </c>
      <c r="K32" s="67">
        <f>IF(OR($A32="",I32&lt;=0),"",J32/I32)</f>
        <v/>
      </c>
      <c r="L32" s="7">
        <f>IF($A32="","",IF(M32="대상 아님","대상 아님(L/C·선수금)",IF(AND(I32&gt;0,K32&lt;=-0.3),"감액 30%↑ — 사람 승인 필요",IF(J32&gt;0,"증액 — 전결권자 승인","유지·소폭 감액"))))</f>
        <v/>
      </c>
      <c r="M32" s="7">
        <f>IF($A32="","",'02_Buyers'!$BA29)</f>
        <v/>
      </c>
      <c r="N32" s="7">
        <f>IF(OR($A32="",M32="대상 아님"),"",IF(F32&lt;=50000,"채권관리팀장",IF(F32&lt;=200000,"영업본부장","대표이사")))</f>
        <v/>
      </c>
      <c r="O32" s="7">
        <f>IF($A32="","",'02_Buyers'!$AG29)</f>
        <v/>
      </c>
      <c r="P32" s="48" t="n"/>
      <c r="Q32" s="44">
        <f>IF(OR($A32="",P32=""),"",F32-P32)</f>
        <v/>
      </c>
      <c r="R32" s="45">
        <f>IF(OR($A32="",D32&lt;=0),"",COUNTIFS($G$5:$G$154,G32,$D$5:$D$154,"&gt;0"))</f>
        <v/>
      </c>
    </row>
    <row r="33">
      <c r="A33" s="7">
        <f>IF('02_Buyers'!$A30="","",'02_Buyers'!$A30)</f>
        <v/>
      </c>
      <c r="B33" s="7">
        <f>IF($A33="","",'02_Buyers'!$S30)</f>
        <v/>
      </c>
      <c r="C33" s="7">
        <f>IF($A33="","",'02_Buyers'!$AK30)</f>
        <v/>
      </c>
      <c r="D33" s="44">
        <f>IF($A33="",0,'02_Buyers'!$BB30)</f>
        <v/>
      </c>
      <c r="E33" s="44">
        <f>IF($A33="",0,'02_Buyers'!$BC30)</f>
        <v/>
      </c>
      <c r="F33" s="65" t="n">
        <v>0</v>
      </c>
      <c r="G33" s="61">
        <f>IF($A33="",0,'02_Buyers'!$BD30)</f>
        <v/>
      </c>
      <c r="H33" s="66">
        <f>IF($A33="",0,'02_Buyers'!$BE30)</f>
        <v/>
      </c>
      <c r="I33" s="44">
        <f>IF($A33="",0,'02_Buyers'!$AB30)</f>
        <v/>
      </c>
      <c r="J33" s="44">
        <f>IF($A33="","",F33-I33)</f>
        <v/>
      </c>
      <c r="K33" s="67">
        <f>IF(OR($A33="",I33&lt;=0),"",J33/I33)</f>
        <v/>
      </c>
      <c r="L33" s="7">
        <f>IF($A33="","",IF(M33="대상 아님","대상 아님(L/C·선수금)",IF(AND(I33&gt;0,K33&lt;=-0.3),"감액 30%↑ — 사람 승인 필요",IF(J33&gt;0,"증액 — 전결권자 승인","유지·소폭 감액"))))</f>
        <v/>
      </c>
      <c r="M33" s="7">
        <f>IF($A33="","",'02_Buyers'!$BA30)</f>
        <v/>
      </c>
      <c r="N33" s="7">
        <f>IF(OR($A33="",M33="대상 아님"),"",IF(F33&lt;=50000,"채권관리팀장",IF(F33&lt;=200000,"영업본부장","대표이사")))</f>
        <v/>
      </c>
      <c r="O33" s="7">
        <f>IF($A33="","",'02_Buyers'!$AG30)</f>
        <v/>
      </c>
      <c r="P33" s="48" t="n"/>
      <c r="Q33" s="44">
        <f>IF(OR($A33="",P33=""),"",F33-P33)</f>
        <v/>
      </c>
      <c r="R33" s="45">
        <f>IF(OR($A33="",D33&lt;=0),"",COUNTIFS($G$5:$G$154,G33,$D$5:$D$154,"&gt;0"))</f>
        <v/>
      </c>
    </row>
    <row r="34">
      <c r="A34" s="7">
        <f>IF('02_Buyers'!$A31="","",'02_Buyers'!$A31)</f>
        <v/>
      </c>
      <c r="B34" s="7">
        <f>IF($A34="","",'02_Buyers'!$S31)</f>
        <v/>
      </c>
      <c r="C34" s="7">
        <f>IF($A34="","",'02_Buyers'!$AK31)</f>
        <v/>
      </c>
      <c r="D34" s="44">
        <f>IF($A34="",0,'02_Buyers'!$BB31)</f>
        <v/>
      </c>
      <c r="E34" s="44">
        <f>IF($A34="",0,'02_Buyers'!$BC31)</f>
        <v/>
      </c>
      <c r="F34" s="65" t="n">
        <v>0</v>
      </c>
      <c r="G34" s="61">
        <f>IF($A34="",0,'02_Buyers'!$BD31)</f>
        <v/>
      </c>
      <c r="H34" s="66">
        <f>IF($A34="",0,'02_Buyers'!$BE31)</f>
        <v/>
      </c>
      <c r="I34" s="44">
        <f>IF($A34="",0,'02_Buyers'!$AB31)</f>
        <v/>
      </c>
      <c r="J34" s="44">
        <f>IF($A34="","",F34-I34)</f>
        <v/>
      </c>
      <c r="K34" s="67">
        <f>IF(OR($A34="",I34&lt;=0),"",J34/I34)</f>
        <v/>
      </c>
      <c r="L34" s="7">
        <f>IF($A34="","",IF(M34="대상 아님","대상 아님(L/C·선수금)",IF(AND(I34&gt;0,K34&lt;=-0.3),"감액 30%↑ — 사람 승인 필요",IF(J34&gt;0,"증액 — 전결권자 승인","유지·소폭 감액"))))</f>
        <v/>
      </c>
      <c r="M34" s="7">
        <f>IF($A34="","",'02_Buyers'!$BA31)</f>
        <v/>
      </c>
      <c r="N34" s="7">
        <f>IF(OR($A34="",M34="대상 아님"),"",IF(F34&lt;=50000,"채권관리팀장",IF(F34&lt;=200000,"영업본부장","대표이사")))</f>
        <v/>
      </c>
      <c r="O34" s="7">
        <f>IF($A34="","",'02_Buyers'!$AG31)</f>
        <v/>
      </c>
      <c r="P34" s="48" t="n"/>
      <c r="Q34" s="44">
        <f>IF(OR($A34="",P34=""),"",F34-P34)</f>
        <v/>
      </c>
      <c r="R34" s="45">
        <f>IF(OR($A34="",D34&lt;=0),"",COUNTIFS($G$5:$G$154,G34,$D$5:$D$154,"&gt;0"))</f>
        <v/>
      </c>
    </row>
    <row r="35">
      <c r="A35" s="7">
        <f>IF('02_Buyers'!$A32="","",'02_Buyers'!$A32)</f>
        <v/>
      </c>
      <c r="B35" s="7">
        <f>IF($A35="","",'02_Buyers'!$S32)</f>
        <v/>
      </c>
      <c r="C35" s="7">
        <f>IF($A35="","",'02_Buyers'!$AK32)</f>
        <v/>
      </c>
      <c r="D35" s="44">
        <f>IF($A35="",0,'02_Buyers'!$BB32)</f>
        <v/>
      </c>
      <c r="E35" s="44">
        <f>IF($A35="",0,'02_Buyers'!$BC32)</f>
        <v/>
      </c>
      <c r="F35" s="65" t="n">
        <v>0</v>
      </c>
      <c r="G35" s="61">
        <f>IF($A35="",0,'02_Buyers'!$BD32)</f>
        <v/>
      </c>
      <c r="H35" s="66">
        <f>IF($A35="",0,'02_Buyers'!$BE32)</f>
        <v/>
      </c>
      <c r="I35" s="44">
        <f>IF($A35="",0,'02_Buyers'!$AB32)</f>
        <v/>
      </c>
      <c r="J35" s="44">
        <f>IF($A35="","",F35-I35)</f>
        <v/>
      </c>
      <c r="K35" s="67">
        <f>IF(OR($A35="",I35&lt;=0),"",J35/I35)</f>
        <v/>
      </c>
      <c r="L35" s="7">
        <f>IF($A35="","",IF(M35="대상 아님","대상 아님(L/C·선수금)",IF(AND(I35&gt;0,K35&lt;=-0.3),"감액 30%↑ — 사람 승인 필요",IF(J35&gt;0,"증액 — 전결권자 승인","유지·소폭 감액"))))</f>
        <v/>
      </c>
      <c r="M35" s="7">
        <f>IF($A35="","",'02_Buyers'!$BA32)</f>
        <v/>
      </c>
      <c r="N35" s="7">
        <f>IF(OR($A35="",M35="대상 아님"),"",IF(F35&lt;=50000,"채권관리팀장",IF(F35&lt;=200000,"영업본부장","대표이사")))</f>
        <v/>
      </c>
      <c r="O35" s="7">
        <f>IF($A35="","",'02_Buyers'!$AG32)</f>
        <v/>
      </c>
      <c r="P35" s="48" t="n"/>
      <c r="Q35" s="44">
        <f>IF(OR($A35="",P35=""),"",F35-P35)</f>
        <v/>
      </c>
      <c r="R35" s="45">
        <f>IF(OR($A35="",D35&lt;=0),"",COUNTIFS($G$5:$G$154,G35,$D$5:$D$154,"&gt;0"))</f>
        <v/>
      </c>
    </row>
    <row r="36">
      <c r="A36" s="7">
        <f>IF('02_Buyers'!$A33="","",'02_Buyers'!$A33)</f>
        <v/>
      </c>
      <c r="B36" s="7">
        <f>IF($A36="","",'02_Buyers'!$S33)</f>
        <v/>
      </c>
      <c r="C36" s="7">
        <f>IF($A36="","",'02_Buyers'!$AK33)</f>
        <v/>
      </c>
      <c r="D36" s="44">
        <f>IF($A36="",0,'02_Buyers'!$BB33)</f>
        <v/>
      </c>
      <c r="E36" s="44">
        <f>IF($A36="",0,'02_Buyers'!$BC33)</f>
        <v/>
      </c>
      <c r="F36" s="65" t="n">
        <v>0</v>
      </c>
      <c r="G36" s="61">
        <f>IF($A36="",0,'02_Buyers'!$BD33)</f>
        <v/>
      </c>
      <c r="H36" s="66">
        <f>IF($A36="",0,'02_Buyers'!$BE33)</f>
        <v/>
      </c>
      <c r="I36" s="44">
        <f>IF($A36="",0,'02_Buyers'!$AB33)</f>
        <v/>
      </c>
      <c r="J36" s="44">
        <f>IF($A36="","",F36-I36)</f>
        <v/>
      </c>
      <c r="K36" s="67">
        <f>IF(OR($A36="",I36&lt;=0),"",J36/I36)</f>
        <v/>
      </c>
      <c r="L36" s="7">
        <f>IF($A36="","",IF(M36="대상 아님","대상 아님(L/C·선수금)",IF(AND(I36&gt;0,K36&lt;=-0.3),"감액 30%↑ — 사람 승인 필요",IF(J36&gt;0,"증액 — 전결권자 승인","유지·소폭 감액"))))</f>
        <v/>
      </c>
      <c r="M36" s="7">
        <f>IF($A36="","",'02_Buyers'!$BA33)</f>
        <v/>
      </c>
      <c r="N36" s="7">
        <f>IF(OR($A36="",M36="대상 아님"),"",IF(F36&lt;=50000,"채권관리팀장",IF(F36&lt;=200000,"영업본부장","대표이사")))</f>
        <v/>
      </c>
      <c r="O36" s="7">
        <f>IF($A36="","",'02_Buyers'!$AG33)</f>
        <v/>
      </c>
      <c r="P36" s="48" t="n"/>
      <c r="Q36" s="44">
        <f>IF(OR($A36="",P36=""),"",F36-P36)</f>
        <v/>
      </c>
      <c r="R36" s="45">
        <f>IF(OR($A36="",D36&lt;=0),"",COUNTIFS($G$5:$G$154,G36,$D$5:$D$154,"&gt;0"))</f>
        <v/>
      </c>
    </row>
    <row r="37">
      <c r="A37" s="7">
        <f>IF('02_Buyers'!$A34="","",'02_Buyers'!$A34)</f>
        <v/>
      </c>
      <c r="B37" s="7">
        <f>IF($A37="","",'02_Buyers'!$S34)</f>
        <v/>
      </c>
      <c r="C37" s="7">
        <f>IF($A37="","",'02_Buyers'!$AK34)</f>
        <v/>
      </c>
      <c r="D37" s="44">
        <f>IF($A37="",0,'02_Buyers'!$BB34)</f>
        <v/>
      </c>
      <c r="E37" s="44">
        <f>IF($A37="",0,'02_Buyers'!$BC34)</f>
        <v/>
      </c>
      <c r="F37" s="65" t="n">
        <v>0</v>
      </c>
      <c r="G37" s="61">
        <f>IF($A37="",0,'02_Buyers'!$BD34)</f>
        <v/>
      </c>
      <c r="H37" s="66">
        <f>IF($A37="",0,'02_Buyers'!$BE34)</f>
        <v/>
      </c>
      <c r="I37" s="44">
        <f>IF($A37="",0,'02_Buyers'!$AB34)</f>
        <v/>
      </c>
      <c r="J37" s="44">
        <f>IF($A37="","",F37-I37)</f>
        <v/>
      </c>
      <c r="K37" s="67">
        <f>IF(OR($A37="",I37&lt;=0),"",J37/I37)</f>
        <v/>
      </c>
      <c r="L37" s="7">
        <f>IF($A37="","",IF(M37="대상 아님","대상 아님(L/C·선수금)",IF(AND(I37&gt;0,K37&lt;=-0.3),"감액 30%↑ — 사람 승인 필요",IF(J37&gt;0,"증액 — 전결권자 승인","유지·소폭 감액"))))</f>
        <v/>
      </c>
      <c r="M37" s="7">
        <f>IF($A37="","",'02_Buyers'!$BA34)</f>
        <v/>
      </c>
      <c r="N37" s="7">
        <f>IF(OR($A37="",M37="대상 아님"),"",IF(F37&lt;=50000,"채권관리팀장",IF(F37&lt;=200000,"영업본부장","대표이사")))</f>
        <v/>
      </c>
      <c r="O37" s="7">
        <f>IF($A37="","",'02_Buyers'!$AG34)</f>
        <v/>
      </c>
      <c r="P37" s="48" t="n"/>
      <c r="Q37" s="44">
        <f>IF(OR($A37="",P37=""),"",F37-P37)</f>
        <v/>
      </c>
      <c r="R37" s="45">
        <f>IF(OR($A37="",D37&lt;=0),"",COUNTIFS($G$5:$G$154,G37,$D$5:$D$154,"&gt;0"))</f>
        <v/>
      </c>
      <c r="T37" s="11" t="inlineStr">
        <is>
          <t>등급</t>
        </is>
      </c>
      <c r="U37" s="11" t="inlineStr">
        <is>
          <t>바이어 수</t>
        </is>
      </c>
      <c r="V37" s="11" t="inlineStr">
        <is>
          <t>현행 한도</t>
        </is>
      </c>
      <c r="W37" s="11" t="inlineStr">
        <is>
          <t>해 찾기 L</t>
        </is>
      </c>
    </row>
    <row r="38">
      <c r="A38" s="7">
        <f>IF('02_Buyers'!$A35="","",'02_Buyers'!$A35)</f>
        <v/>
      </c>
      <c r="B38" s="7">
        <f>IF($A38="","",'02_Buyers'!$S35)</f>
        <v/>
      </c>
      <c r="C38" s="7">
        <f>IF($A38="","",'02_Buyers'!$AK35)</f>
        <v/>
      </c>
      <c r="D38" s="44">
        <f>IF($A38="",0,'02_Buyers'!$BB35)</f>
        <v/>
      </c>
      <c r="E38" s="44">
        <f>IF($A38="",0,'02_Buyers'!$BC35)</f>
        <v/>
      </c>
      <c r="F38" s="65" t="n">
        <v>0</v>
      </c>
      <c r="G38" s="61">
        <f>IF($A38="",0,'02_Buyers'!$BD35)</f>
        <v/>
      </c>
      <c r="H38" s="66">
        <f>IF($A38="",0,'02_Buyers'!$BE35)</f>
        <v/>
      </c>
      <c r="I38" s="44">
        <f>IF($A38="",0,'02_Buyers'!$AB35)</f>
        <v/>
      </c>
      <c r="J38" s="44">
        <f>IF($A38="","",F38-I38)</f>
        <v/>
      </c>
      <c r="K38" s="67">
        <f>IF(OR($A38="",I38&lt;=0),"",J38/I38)</f>
        <v/>
      </c>
      <c r="L38" s="7">
        <f>IF($A38="","",IF(M38="대상 아님","대상 아님(L/C·선수금)",IF(AND(I38&gt;0,K38&lt;=-0.3),"감액 30%↑ — 사람 승인 필요",IF(J38&gt;0,"증액 — 전결권자 승인","유지·소폭 감액"))))</f>
        <v/>
      </c>
      <c r="M38" s="7">
        <f>IF($A38="","",'02_Buyers'!$BA35)</f>
        <v/>
      </c>
      <c r="N38" s="7">
        <f>IF(OR($A38="",M38="대상 아님"),"",IF(F38&lt;=50000,"채권관리팀장",IF(F38&lt;=200000,"영업본부장","대표이사")))</f>
        <v/>
      </c>
      <c r="O38" s="7">
        <f>IF($A38="","",'02_Buyers'!$AG35)</f>
        <v/>
      </c>
      <c r="P38" s="48" t="n"/>
      <c r="Q38" s="44">
        <f>IF(OR($A38="",P38=""),"",F38-P38)</f>
        <v/>
      </c>
      <c r="R38" s="45">
        <f>IF(OR($A38="",D38&lt;=0),"",COUNTIFS($G$5:$G$154,G38,$D$5:$D$154,"&gt;0"))</f>
        <v/>
      </c>
      <c r="T38" s="12" t="inlineStr">
        <is>
          <t>S</t>
        </is>
      </c>
      <c r="U38" s="45">
        <f>COUNTIF(grade_lp,"S")</f>
        <v/>
      </c>
      <c r="V38" s="44">
        <f>SUMIFS(cur_limit,grade_lp,"S")</f>
        <v/>
      </c>
      <c r="W38" s="44">
        <f>SUMIFS(L,grade_lp,"S")</f>
        <v/>
      </c>
    </row>
    <row r="39">
      <c r="A39" s="7">
        <f>IF('02_Buyers'!$A36="","",'02_Buyers'!$A36)</f>
        <v/>
      </c>
      <c r="B39" s="7">
        <f>IF($A39="","",'02_Buyers'!$S36)</f>
        <v/>
      </c>
      <c r="C39" s="7">
        <f>IF($A39="","",'02_Buyers'!$AK36)</f>
        <v/>
      </c>
      <c r="D39" s="44">
        <f>IF($A39="",0,'02_Buyers'!$BB36)</f>
        <v/>
      </c>
      <c r="E39" s="44">
        <f>IF($A39="",0,'02_Buyers'!$BC36)</f>
        <v/>
      </c>
      <c r="F39" s="65" t="n">
        <v>0</v>
      </c>
      <c r="G39" s="61">
        <f>IF($A39="",0,'02_Buyers'!$BD36)</f>
        <v/>
      </c>
      <c r="H39" s="66">
        <f>IF($A39="",0,'02_Buyers'!$BE36)</f>
        <v/>
      </c>
      <c r="I39" s="44">
        <f>IF($A39="",0,'02_Buyers'!$AB36)</f>
        <v/>
      </c>
      <c r="J39" s="44">
        <f>IF($A39="","",F39-I39)</f>
        <v/>
      </c>
      <c r="K39" s="67">
        <f>IF(OR($A39="",I39&lt;=0),"",J39/I39)</f>
        <v/>
      </c>
      <c r="L39" s="7">
        <f>IF($A39="","",IF(M39="대상 아님","대상 아님(L/C·선수금)",IF(AND(I39&gt;0,K39&lt;=-0.3),"감액 30%↑ — 사람 승인 필요",IF(J39&gt;0,"증액 — 전결권자 승인","유지·소폭 감액"))))</f>
        <v/>
      </c>
      <c r="M39" s="7">
        <f>IF($A39="","",'02_Buyers'!$BA36)</f>
        <v/>
      </c>
      <c r="N39" s="7">
        <f>IF(OR($A39="",M39="대상 아님"),"",IF(F39&lt;=50000,"채권관리팀장",IF(F39&lt;=200000,"영업본부장","대표이사")))</f>
        <v/>
      </c>
      <c r="O39" s="7">
        <f>IF($A39="","",'02_Buyers'!$AG36)</f>
        <v/>
      </c>
      <c r="P39" s="48" t="n"/>
      <c r="Q39" s="44">
        <f>IF(OR($A39="",P39=""),"",F39-P39)</f>
        <v/>
      </c>
      <c r="R39" s="45">
        <f>IF(OR($A39="",D39&lt;=0),"",COUNTIFS($G$5:$G$154,G39,$D$5:$D$154,"&gt;0"))</f>
        <v/>
      </c>
      <c r="T39" s="12" t="inlineStr">
        <is>
          <t>A</t>
        </is>
      </c>
      <c r="U39" s="45">
        <f>COUNTIF(grade_lp,"A")</f>
        <v/>
      </c>
      <c r="V39" s="44">
        <f>SUMIFS(cur_limit,grade_lp,"A")</f>
        <v/>
      </c>
      <c r="W39" s="44">
        <f>SUMIFS(L,grade_lp,"A")</f>
        <v/>
      </c>
    </row>
    <row r="40">
      <c r="A40" s="7">
        <f>IF('02_Buyers'!$A37="","",'02_Buyers'!$A37)</f>
        <v/>
      </c>
      <c r="B40" s="7">
        <f>IF($A40="","",'02_Buyers'!$S37)</f>
        <v/>
      </c>
      <c r="C40" s="7">
        <f>IF($A40="","",'02_Buyers'!$AK37)</f>
        <v/>
      </c>
      <c r="D40" s="44">
        <f>IF($A40="",0,'02_Buyers'!$BB37)</f>
        <v/>
      </c>
      <c r="E40" s="44">
        <f>IF($A40="",0,'02_Buyers'!$BC37)</f>
        <v/>
      </c>
      <c r="F40" s="65" t="n">
        <v>0</v>
      </c>
      <c r="G40" s="61">
        <f>IF($A40="",0,'02_Buyers'!$BD37)</f>
        <v/>
      </c>
      <c r="H40" s="66">
        <f>IF($A40="",0,'02_Buyers'!$BE37)</f>
        <v/>
      </c>
      <c r="I40" s="44">
        <f>IF($A40="",0,'02_Buyers'!$AB37)</f>
        <v/>
      </c>
      <c r="J40" s="44">
        <f>IF($A40="","",F40-I40)</f>
        <v/>
      </c>
      <c r="K40" s="67">
        <f>IF(OR($A40="",I40&lt;=0),"",J40/I40)</f>
        <v/>
      </c>
      <c r="L40" s="7">
        <f>IF($A40="","",IF(M40="대상 아님","대상 아님(L/C·선수금)",IF(AND(I40&gt;0,K40&lt;=-0.3),"감액 30%↑ — 사람 승인 필요",IF(J40&gt;0,"증액 — 전결권자 승인","유지·소폭 감액"))))</f>
        <v/>
      </c>
      <c r="M40" s="7">
        <f>IF($A40="","",'02_Buyers'!$BA37)</f>
        <v/>
      </c>
      <c r="N40" s="7">
        <f>IF(OR($A40="",M40="대상 아님"),"",IF(F40&lt;=50000,"채권관리팀장",IF(F40&lt;=200000,"영업본부장","대표이사")))</f>
        <v/>
      </c>
      <c r="O40" s="7">
        <f>IF($A40="","",'02_Buyers'!$AG37)</f>
        <v/>
      </c>
      <c r="P40" s="48" t="n"/>
      <c r="Q40" s="44">
        <f>IF(OR($A40="",P40=""),"",F40-P40)</f>
        <v/>
      </c>
      <c r="R40" s="45">
        <f>IF(OR($A40="",D40&lt;=0),"",COUNTIFS($G$5:$G$154,G40,$D$5:$D$154,"&gt;0"))</f>
        <v/>
      </c>
      <c r="T40" s="12" t="inlineStr">
        <is>
          <t>B</t>
        </is>
      </c>
      <c r="U40" s="45">
        <f>COUNTIF(grade_lp,"B")</f>
        <v/>
      </c>
      <c r="V40" s="44">
        <f>SUMIFS(cur_limit,grade_lp,"B")</f>
        <v/>
      </c>
      <c r="W40" s="44">
        <f>SUMIFS(L,grade_lp,"B")</f>
        <v/>
      </c>
    </row>
    <row r="41">
      <c r="A41" s="7">
        <f>IF('02_Buyers'!$A38="","",'02_Buyers'!$A38)</f>
        <v/>
      </c>
      <c r="B41" s="7">
        <f>IF($A41="","",'02_Buyers'!$S38)</f>
        <v/>
      </c>
      <c r="C41" s="7">
        <f>IF($A41="","",'02_Buyers'!$AK38)</f>
        <v/>
      </c>
      <c r="D41" s="44">
        <f>IF($A41="",0,'02_Buyers'!$BB38)</f>
        <v/>
      </c>
      <c r="E41" s="44">
        <f>IF($A41="",0,'02_Buyers'!$BC38)</f>
        <v/>
      </c>
      <c r="F41" s="65" t="n">
        <v>0</v>
      </c>
      <c r="G41" s="61">
        <f>IF($A41="",0,'02_Buyers'!$BD38)</f>
        <v/>
      </c>
      <c r="H41" s="66">
        <f>IF($A41="",0,'02_Buyers'!$BE38)</f>
        <v/>
      </c>
      <c r="I41" s="44">
        <f>IF($A41="",0,'02_Buyers'!$AB38)</f>
        <v/>
      </c>
      <c r="J41" s="44">
        <f>IF($A41="","",F41-I41)</f>
        <v/>
      </c>
      <c r="K41" s="67">
        <f>IF(OR($A41="",I41&lt;=0),"",J41/I41)</f>
        <v/>
      </c>
      <c r="L41" s="7">
        <f>IF($A41="","",IF(M41="대상 아님","대상 아님(L/C·선수금)",IF(AND(I41&gt;0,K41&lt;=-0.3),"감액 30%↑ — 사람 승인 필요",IF(J41&gt;0,"증액 — 전결권자 승인","유지·소폭 감액"))))</f>
        <v/>
      </c>
      <c r="M41" s="7">
        <f>IF($A41="","",'02_Buyers'!$BA38)</f>
        <v/>
      </c>
      <c r="N41" s="7">
        <f>IF(OR($A41="",M41="대상 아님"),"",IF(F41&lt;=50000,"채권관리팀장",IF(F41&lt;=200000,"영업본부장","대표이사")))</f>
        <v/>
      </c>
      <c r="O41" s="7">
        <f>IF($A41="","",'02_Buyers'!$AG38)</f>
        <v/>
      </c>
      <c r="P41" s="48" t="n"/>
      <c r="Q41" s="44">
        <f>IF(OR($A41="",P41=""),"",F41-P41)</f>
        <v/>
      </c>
      <c r="R41" s="45">
        <f>IF(OR($A41="",D41&lt;=0),"",COUNTIFS($G$5:$G$154,G41,$D$5:$D$154,"&gt;0"))</f>
        <v/>
      </c>
      <c r="T41" s="12" t="inlineStr">
        <is>
          <t>C</t>
        </is>
      </c>
      <c r="U41" s="45">
        <f>COUNTIF(grade_lp,"C")</f>
        <v/>
      </c>
      <c r="V41" s="44">
        <f>SUMIFS(cur_limit,grade_lp,"C")</f>
        <v/>
      </c>
      <c r="W41" s="44">
        <f>SUMIFS(L,grade_lp,"C")</f>
        <v/>
      </c>
    </row>
    <row r="42">
      <c r="A42" s="7">
        <f>IF('02_Buyers'!$A39="","",'02_Buyers'!$A39)</f>
        <v/>
      </c>
      <c r="B42" s="7">
        <f>IF($A42="","",'02_Buyers'!$S39)</f>
        <v/>
      </c>
      <c r="C42" s="7">
        <f>IF($A42="","",'02_Buyers'!$AK39)</f>
        <v/>
      </c>
      <c r="D42" s="44">
        <f>IF($A42="",0,'02_Buyers'!$BB39)</f>
        <v/>
      </c>
      <c r="E42" s="44">
        <f>IF($A42="",0,'02_Buyers'!$BC39)</f>
        <v/>
      </c>
      <c r="F42" s="65" t="n">
        <v>0</v>
      </c>
      <c r="G42" s="61">
        <f>IF($A42="",0,'02_Buyers'!$BD39)</f>
        <v/>
      </c>
      <c r="H42" s="66">
        <f>IF($A42="",0,'02_Buyers'!$BE39)</f>
        <v/>
      </c>
      <c r="I42" s="44">
        <f>IF($A42="",0,'02_Buyers'!$AB39)</f>
        <v/>
      </c>
      <c r="J42" s="44">
        <f>IF($A42="","",F42-I42)</f>
        <v/>
      </c>
      <c r="K42" s="67">
        <f>IF(OR($A42="",I42&lt;=0),"",J42/I42)</f>
        <v/>
      </c>
      <c r="L42" s="7">
        <f>IF($A42="","",IF(M42="대상 아님","대상 아님(L/C·선수금)",IF(AND(I42&gt;0,K42&lt;=-0.3),"감액 30%↑ — 사람 승인 필요",IF(J42&gt;0,"증액 — 전결권자 승인","유지·소폭 감액"))))</f>
        <v/>
      </c>
      <c r="M42" s="7">
        <f>IF($A42="","",'02_Buyers'!$BA39)</f>
        <v/>
      </c>
      <c r="N42" s="7">
        <f>IF(OR($A42="",M42="대상 아님"),"",IF(F42&lt;=50000,"채권관리팀장",IF(F42&lt;=200000,"영업본부장","대표이사")))</f>
        <v/>
      </c>
      <c r="O42" s="7">
        <f>IF($A42="","",'02_Buyers'!$AG39)</f>
        <v/>
      </c>
      <c r="P42" s="48" t="n"/>
      <c r="Q42" s="44">
        <f>IF(OR($A42="",P42=""),"",F42-P42)</f>
        <v/>
      </c>
      <c r="R42" s="45">
        <f>IF(OR($A42="",D42&lt;=0),"",COUNTIFS($G$5:$G$154,G42,$D$5:$D$154,"&gt;0"))</f>
        <v/>
      </c>
    </row>
    <row r="43">
      <c r="A43" s="7">
        <f>IF('02_Buyers'!$A40="","",'02_Buyers'!$A40)</f>
        <v/>
      </c>
      <c r="B43" s="7">
        <f>IF($A43="","",'02_Buyers'!$S40)</f>
        <v/>
      </c>
      <c r="C43" s="7">
        <f>IF($A43="","",'02_Buyers'!$AK40)</f>
        <v/>
      </c>
      <c r="D43" s="44">
        <f>IF($A43="",0,'02_Buyers'!$BB40)</f>
        <v/>
      </c>
      <c r="E43" s="44">
        <f>IF($A43="",0,'02_Buyers'!$BC40)</f>
        <v/>
      </c>
      <c r="F43" s="65" t="n">
        <v>0</v>
      </c>
      <c r="G43" s="61">
        <f>IF($A43="",0,'02_Buyers'!$BD40)</f>
        <v/>
      </c>
      <c r="H43" s="66">
        <f>IF($A43="",0,'02_Buyers'!$BE40)</f>
        <v/>
      </c>
      <c r="I43" s="44">
        <f>IF($A43="",0,'02_Buyers'!$AB40)</f>
        <v/>
      </c>
      <c r="J43" s="44">
        <f>IF($A43="","",F43-I43)</f>
        <v/>
      </c>
      <c r="K43" s="67">
        <f>IF(OR($A43="",I43&lt;=0),"",J43/I43)</f>
        <v/>
      </c>
      <c r="L43" s="7">
        <f>IF($A43="","",IF(M43="대상 아님","대상 아님(L/C·선수금)",IF(AND(I43&gt;0,K43&lt;=-0.3),"감액 30%↑ — 사람 승인 필요",IF(J43&gt;0,"증액 — 전결권자 승인","유지·소폭 감액"))))</f>
        <v/>
      </c>
      <c r="M43" s="7">
        <f>IF($A43="","",'02_Buyers'!$BA40)</f>
        <v/>
      </c>
      <c r="N43" s="7">
        <f>IF(OR($A43="",M43="대상 아님"),"",IF(F43&lt;=50000,"채권관리팀장",IF(F43&lt;=200000,"영업본부장","대표이사")))</f>
        <v/>
      </c>
      <c r="O43" s="7">
        <f>IF($A43="","",'02_Buyers'!$AG40)</f>
        <v/>
      </c>
      <c r="P43" s="48" t="n"/>
      <c r="Q43" s="44">
        <f>IF(OR($A43="",P43=""),"",F43-P43)</f>
        <v/>
      </c>
      <c r="R43" s="45">
        <f>IF(OR($A43="",D43&lt;=0),"",COUNTIFS($G$5:$G$154,G43,$D$5:$D$154,"&gt;0"))</f>
        <v/>
      </c>
    </row>
    <row r="44">
      <c r="A44" s="7">
        <f>IF('02_Buyers'!$A41="","",'02_Buyers'!$A41)</f>
        <v/>
      </c>
      <c r="B44" s="7">
        <f>IF($A44="","",'02_Buyers'!$S41)</f>
        <v/>
      </c>
      <c r="C44" s="7">
        <f>IF($A44="","",'02_Buyers'!$AK41)</f>
        <v/>
      </c>
      <c r="D44" s="44">
        <f>IF($A44="",0,'02_Buyers'!$BB41)</f>
        <v/>
      </c>
      <c r="E44" s="44">
        <f>IF($A44="",0,'02_Buyers'!$BC41)</f>
        <v/>
      </c>
      <c r="F44" s="65" t="n">
        <v>0</v>
      </c>
      <c r="G44" s="61">
        <f>IF($A44="",0,'02_Buyers'!$BD41)</f>
        <v/>
      </c>
      <c r="H44" s="66">
        <f>IF($A44="",0,'02_Buyers'!$BE41)</f>
        <v/>
      </c>
      <c r="I44" s="44">
        <f>IF($A44="",0,'02_Buyers'!$AB41)</f>
        <v/>
      </c>
      <c r="J44" s="44">
        <f>IF($A44="","",F44-I44)</f>
        <v/>
      </c>
      <c r="K44" s="67">
        <f>IF(OR($A44="",I44&lt;=0),"",J44/I44)</f>
        <v/>
      </c>
      <c r="L44" s="7">
        <f>IF($A44="","",IF(M44="대상 아님","대상 아님(L/C·선수금)",IF(AND(I44&gt;0,K44&lt;=-0.3),"감액 30%↑ — 사람 승인 필요",IF(J44&gt;0,"증액 — 전결권자 승인","유지·소폭 감액"))))</f>
        <v/>
      </c>
      <c r="M44" s="7">
        <f>IF($A44="","",'02_Buyers'!$BA41)</f>
        <v/>
      </c>
      <c r="N44" s="7">
        <f>IF(OR($A44="",M44="대상 아님"),"",IF(F44&lt;=50000,"채권관리팀장",IF(F44&lt;=200000,"영업본부장","대표이사")))</f>
        <v/>
      </c>
      <c r="O44" s="7">
        <f>IF($A44="","",'02_Buyers'!$AG41)</f>
        <v/>
      </c>
      <c r="P44" s="48" t="n"/>
      <c r="Q44" s="44">
        <f>IF(OR($A44="",P44=""),"",F44-P44)</f>
        <v/>
      </c>
      <c r="R44" s="45">
        <f>IF(OR($A44="",D44&lt;=0),"",COUNTIFS($G$5:$G$154,G44,$D$5:$D$154,"&gt;0"))</f>
        <v/>
      </c>
      <c r="T44" s="4" t="inlineStr">
        <is>
          <t>해 찾기 입력표(대화상자가 비어 있으면 그대로 입력)</t>
        </is>
      </c>
    </row>
    <row r="45">
      <c r="A45" s="7">
        <f>IF('02_Buyers'!$A42="","",'02_Buyers'!$A42)</f>
        <v/>
      </c>
      <c r="B45" s="7">
        <f>IF($A45="","",'02_Buyers'!$S42)</f>
        <v/>
      </c>
      <c r="C45" s="7">
        <f>IF($A45="","",'02_Buyers'!$AK42)</f>
        <v/>
      </c>
      <c r="D45" s="44">
        <f>IF($A45="",0,'02_Buyers'!$BB42)</f>
        <v/>
      </c>
      <c r="E45" s="44">
        <f>IF($A45="",0,'02_Buyers'!$BC42)</f>
        <v/>
      </c>
      <c r="F45" s="65" t="n">
        <v>0</v>
      </c>
      <c r="G45" s="61">
        <f>IF($A45="",0,'02_Buyers'!$BD42)</f>
        <v/>
      </c>
      <c r="H45" s="66">
        <f>IF($A45="",0,'02_Buyers'!$BE42)</f>
        <v/>
      </c>
      <c r="I45" s="44">
        <f>IF($A45="",0,'02_Buyers'!$AB42)</f>
        <v/>
      </c>
      <c r="J45" s="44">
        <f>IF($A45="","",F45-I45)</f>
        <v/>
      </c>
      <c r="K45" s="67">
        <f>IF(OR($A45="",I45&lt;=0),"",J45/I45)</f>
        <v/>
      </c>
      <c r="L45" s="7">
        <f>IF($A45="","",IF(M45="대상 아님","대상 아님(L/C·선수금)",IF(AND(I45&gt;0,K45&lt;=-0.3),"감액 30%↑ — 사람 승인 필요",IF(J45&gt;0,"증액 — 전결권자 승인","유지·소폭 감액"))))</f>
        <v/>
      </c>
      <c r="M45" s="7">
        <f>IF($A45="","",'02_Buyers'!$BA42)</f>
        <v/>
      </c>
      <c r="N45" s="7">
        <f>IF(OR($A45="",M45="대상 아님"),"",IF(F45&lt;=50000,"채권관리팀장",IF(F45&lt;=200000,"영업본부장","대표이사")))</f>
        <v/>
      </c>
      <c r="O45" s="7">
        <f>IF($A45="","",'02_Buyers'!$AG42)</f>
        <v/>
      </c>
      <c r="P45" s="48" t="n"/>
      <c r="Q45" s="44">
        <f>IF(OR($A45="",P45=""),"",F45-P45)</f>
        <v/>
      </c>
      <c r="R45" s="45">
        <f>IF(OR($A45="",D45&lt;=0),"",COUNTIFS($G$5:$G$154,G45,$D$5:$D$154,"&gt;0"))</f>
        <v/>
      </c>
      <c r="T45" s="49" t="inlineStr">
        <is>
          <t>목표 설정: $C$2 (Obj) → 최대값</t>
        </is>
      </c>
    </row>
    <row r="46">
      <c r="A46" s="7">
        <f>IF('02_Buyers'!$A43="","",'02_Buyers'!$A43)</f>
        <v/>
      </c>
      <c r="B46" s="7">
        <f>IF($A46="","",'02_Buyers'!$S43)</f>
        <v/>
      </c>
      <c r="C46" s="7">
        <f>IF($A46="","",'02_Buyers'!$AK43)</f>
        <v/>
      </c>
      <c r="D46" s="44">
        <f>IF($A46="",0,'02_Buyers'!$BB43)</f>
        <v/>
      </c>
      <c r="E46" s="44">
        <f>IF($A46="",0,'02_Buyers'!$BC43)</f>
        <v/>
      </c>
      <c r="F46" s="65" t="n">
        <v>0</v>
      </c>
      <c r="G46" s="61">
        <f>IF($A46="",0,'02_Buyers'!$BD43)</f>
        <v/>
      </c>
      <c r="H46" s="66">
        <f>IF($A46="",0,'02_Buyers'!$BE43)</f>
        <v/>
      </c>
      <c r="I46" s="44">
        <f>IF($A46="",0,'02_Buyers'!$AB43)</f>
        <v/>
      </c>
      <c r="J46" s="44">
        <f>IF($A46="","",F46-I46)</f>
        <v/>
      </c>
      <c r="K46" s="67">
        <f>IF(OR($A46="",I46&lt;=0),"",J46/I46)</f>
        <v/>
      </c>
      <c r="L46" s="7">
        <f>IF($A46="","",IF(M46="대상 아님","대상 아님(L/C·선수금)",IF(AND(I46&gt;0,K46&lt;=-0.3),"감액 30%↑ — 사람 승인 필요",IF(J46&gt;0,"증액 — 전결권자 승인","유지·소폭 감액"))))</f>
        <v/>
      </c>
      <c r="M46" s="7">
        <f>IF($A46="","",'02_Buyers'!$BA43)</f>
        <v/>
      </c>
      <c r="N46" s="7">
        <f>IF(OR($A46="",M46="대상 아님"),"",IF(F46&lt;=50000,"채권관리팀장",IF(F46&lt;=200000,"영업본부장","대표이사")))</f>
        <v/>
      </c>
      <c r="O46" s="7">
        <f>IF($A46="","",'02_Buyers'!$AG43)</f>
        <v/>
      </c>
      <c r="P46" s="48" t="n"/>
      <c r="Q46" s="44">
        <f>IF(OR($A46="",P46=""),"",F46-P46)</f>
        <v/>
      </c>
      <c r="R46" s="45">
        <f>IF(OR($A46="",D46&lt;=0),"",COUNTIFS($G$5:$G$154,G46,$D$5:$D$154,"&gt;0"))</f>
        <v/>
      </c>
      <c r="T46" s="49" t="inlineStr">
        <is>
          <t>변수 셀 변경: $F$5:$F$154 (L)</t>
        </is>
      </c>
    </row>
    <row r="47">
      <c r="A47" s="7">
        <f>IF('02_Buyers'!$A44="","",'02_Buyers'!$A44)</f>
        <v/>
      </c>
      <c r="B47" s="7">
        <f>IF($A47="","",'02_Buyers'!$S44)</f>
        <v/>
      </c>
      <c r="C47" s="7">
        <f>IF($A47="","",'02_Buyers'!$AK44)</f>
        <v/>
      </c>
      <c r="D47" s="44">
        <f>IF($A47="",0,'02_Buyers'!$BB44)</f>
        <v/>
      </c>
      <c r="E47" s="44">
        <f>IF($A47="",0,'02_Buyers'!$BC44)</f>
        <v/>
      </c>
      <c r="F47" s="65" t="n">
        <v>0</v>
      </c>
      <c r="G47" s="61">
        <f>IF($A47="",0,'02_Buyers'!$BD44)</f>
        <v/>
      </c>
      <c r="H47" s="66">
        <f>IF($A47="",0,'02_Buyers'!$BE44)</f>
        <v/>
      </c>
      <c r="I47" s="44">
        <f>IF($A47="",0,'02_Buyers'!$AB44)</f>
        <v/>
      </c>
      <c r="J47" s="44">
        <f>IF($A47="","",F47-I47)</f>
        <v/>
      </c>
      <c r="K47" s="67">
        <f>IF(OR($A47="",I47&lt;=0),"",J47/I47)</f>
        <v/>
      </c>
      <c r="L47" s="7">
        <f>IF($A47="","",IF(M47="대상 아님","대상 아님(L/C·선수금)",IF(AND(I47&gt;0,K47&lt;=-0.3),"감액 30%↑ — 사람 승인 필요",IF(J47&gt;0,"증액 — 전결권자 승인","유지·소폭 감액"))))</f>
        <v/>
      </c>
      <c r="M47" s="7">
        <f>IF($A47="","",'02_Buyers'!$BA44)</f>
        <v/>
      </c>
      <c r="N47" s="7">
        <f>IF(OR($A47="",M47="대상 아님"),"",IF(F47&lt;=50000,"채권관리팀장",IF(F47&lt;=200000,"영업본부장","대표이사")))</f>
        <v/>
      </c>
      <c r="O47" s="7">
        <f>IF($A47="","",'02_Buyers'!$AG44)</f>
        <v/>
      </c>
      <c r="P47" s="48" t="n"/>
      <c r="Q47" s="44">
        <f>IF(OR($A47="",P47=""),"",F47-P47)</f>
        <v/>
      </c>
      <c r="R47" s="45">
        <f>IF(OR($A47="",D47&lt;=0),"",COUNTIFS($G$5:$G$154,G47,$D$5:$D$154,"&gt;0"))</f>
        <v/>
      </c>
      <c r="T47" s="49" t="inlineStr">
        <is>
          <t>제약 1: $F$5:$F$154 &lt;= $D$5:$D$154 (L ≤ UB)</t>
        </is>
      </c>
    </row>
    <row r="48">
      <c r="A48" s="7">
        <f>IF('02_Buyers'!$A45="","",'02_Buyers'!$A45)</f>
        <v/>
      </c>
      <c r="B48" s="7">
        <f>IF($A48="","",'02_Buyers'!$S45)</f>
        <v/>
      </c>
      <c r="C48" s="7">
        <f>IF($A48="","",'02_Buyers'!$AK45)</f>
        <v/>
      </c>
      <c r="D48" s="44">
        <f>IF($A48="",0,'02_Buyers'!$BB45)</f>
        <v/>
      </c>
      <c r="E48" s="44">
        <f>IF($A48="",0,'02_Buyers'!$BC45)</f>
        <v/>
      </c>
      <c r="F48" s="65" t="n">
        <v>0</v>
      </c>
      <c r="G48" s="61">
        <f>IF($A48="",0,'02_Buyers'!$BD45)</f>
        <v/>
      </c>
      <c r="H48" s="66">
        <f>IF($A48="",0,'02_Buyers'!$BE45)</f>
        <v/>
      </c>
      <c r="I48" s="44">
        <f>IF($A48="",0,'02_Buyers'!$AB45)</f>
        <v/>
      </c>
      <c r="J48" s="44">
        <f>IF($A48="","",F48-I48)</f>
        <v/>
      </c>
      <c r="K48" s="67">
        <f>IF(OR($A48="",I48&lt;=0),"",J48/I48)</f>
        <v/>
      </c>
      <c r="L48" s="7">
        <f>IF($A48="","",IF(M48="대상 아님","대상 아님(L/C·선수금)",IF(AND(I48&gt;0,K48&lt;=-0.3),"감액 30%↑ — 사람 승인 필요",IF(J48&gt;0,"증액 — 전결권자 승인","유지·소폭 감액"))))</f>
        <v/>
      </c>
      <c r="M48" s="7">
        <f>IF($A48="","",'02_Buyers'!$BA45)</f>
        <v/>
      </c>
      <c r="N48" s="7">
        <f>IF(OR($A48="",M48="대상 아님"),"",IF(F48&lt;=50000,"채권관리팀장",IF(F48&lt;=200000,"영업본부장","대표이사")))</f>
        <v/>
      </c>
      <c r="O48" s="7">
        <f>IF($A48="","",'02_Buyers'!$AG45)</f>
        <v/>
      </c>
      <c r="P48" s="48" t="n"/>
      <c r="Q48" s="44">
        <f>IF(OR($A48="",P48=""),"",F48-P48)</f>
        <v/>
      </c>
      <c r="R48" s="45">
        <f>IF(OR($A48="",D48&lt;=0),"",COUNTIFS($G$5:$G$154,G48,$D$5:$D$154,"&gt;0"))</f>
        <v/>
      </c>
      <c r="T48" s="49" t="inlineStr">
        <is>
          <t>제약 2: $F$5:$F$154 &gt;= $E$5:$E$154 (L ≥ LB)</t>
        </is>
      </c>
    </row>
    <row r="49">
      <c r="A49" s="7">
        <f>IF('02_Buyers'!$A46="","",'02_Buyers'!$A46)</f>
        <v/>
      </c>
      <c r="B49" s="7">
        <f>IF($A49="","",'02_Buyers'!$S46)</f>
        <v/>
      </c>
      <c r="C49" s="7">
        <f>IF($A49="","",'02_Buyers'!$AK46)</f>
        <v/>
      </c>
      <c r="D49" s="44">
        <f>IF($A49="",0,'02_Buyers'!$BB46)</f>
        <v/>
      </c>
      <c r="E49" s="44">
        <f>IF($A49="",0,'02_Buyers'!$BC46)</f>
        <v/>
      </c>
      <c r="F49" s="65" t="n">
        <v>0</v>
      </c>
      <c r="G49" s="61">
        <f>IF($A49="",0,'02_Buyers'!$BD46)</f>
        <v/>
      </c>
      <c r="H49" s="66">
        <f>IF($A49="",0,'02_Buyers'!$BE46)</f>
        <v/>
      </c>
      <c r="I49" s="44">
        <f>IF($A49="",0,'02_Buyers'!$AB46)</f>
        <v/>
      </c>
      <c r="J49" s="44">
        <f>IF($A49="","",F49-I49)</f>
        <v/>
      </c>
      <c r="K49" s="67">
        <f>IF(OR($A49="",I49&lt;=0),"",J49/I49)</f>
        <v/>
      </c>
      <c r="L49" s="7">
        <f>IF($A49="","",IF(M49="대상 아님","대상 아님(L/C·선수금)",IF(AND(I49&gt;0,K49&lt;=-0.3),"감액 30%↑ — 사람 승인 필요",IF(J49&gt;0,"증액 — 전결권자 승인","유지·소폭 감액"))))</f>
        <v/>
      </c>
      <c r="M49" s="7">
        <f>IF($A49="","",'02_Buyers'!$BA46)</f>
        <v/>
      </c>
      <c r="N49" s="7">
        <f>IF(OR($A49="",M49="대상 아님"),"",IF(F49&lt;=50000,"채권관리팀장",IF(F49&lt;=200000,"영업본부장","대표이사")))</f>
        <v/>
      </c>
      <c r="O49" s="7">
        <f>IF($A49="","",'02_Buyers'!$AG46)</f>
        <v/>
      </c>
      <c r="P49" s="48" t="n"/>
      <c r="Q49" s="44">
        <f>IF(OR($A49="",P49=""),"",F49-P49)</f>
        <v/>
      </c>
      <c r="R49" s="45">
        <f>IF(OR($A49="",D49&lt;=0),"",COUNTIFS($G$5:$G$154,G49,$D$5:$D$154,"&gt;0"))</f>
        <v/>
      </c>
      <c r="T49" s="49" t="inlineStr">
        <is>
          <t>제약 3: $U$5 &lt;= $W$5 (TotalL ≤ TotalCap)</t>
        </is>
      </c>
    </row>
    <row r="50">
      <c r="A50" s="7">
        <f>IF('02_Buyers'!$A47="","",'02_Buyers'!$A47)</f>
        <v/>
      </c>
      <c r="B50" s="7">
        <f>IF($A50="","",'02_Buyers'!$S47)</f>
        <v/>
      </c>
      <c r="C50" s="7">
        <f>IF($A50="","",'02_Buyers'!$AK47)</f>
        <v/>
      </c>
      <c r="D50" s="44">
        <f>IF($A50="",0,'02_Buyers'!$BB47)</f>
        <v/>
      </c>
      <c r="E50" s="44">
        <f>IF($A50="",0,'02_Buyers'!$BC47)</f>
        <v/>
      </c>
      <c r="F50" s="65" t="n">
        <v>0</v>
      </c>
      <c r="G50" s="61">
        <f>IF($A50="",0,'02_Buyers'!$BD47)</f>
        <v/>
      </c>
      <c r="H50" s="66">
        <f>IF($A50="",0,'02_Buyers'!$BE47)</f>
        <v/>
      </c>
      <c r="I50" s="44">
        <f>IF($A50="",0,'02_Buyers'!$AB47)</f>
        <v/>
      </c>
      <c r="J50" s="44">
        <f>IF($A50="","",F50-I50)</f>
        <v/>
      </c>
      <c r="K50" s="67">
        <f>IF(OR($A50="",I50&lt;=0),"",J50/I50)</f>
        <v/>
      </c>
      <c r="L50" s="7">
        <f>IF($A50="","",IF(M50="대상 아님","대상 아님(L/C·선수금)",IF(AND(I50&gt;0,K50&lt;=-0.3),"감액 30%↑ — 사람 승인 필요",IF(J50&gt;0,"증액 — 전결권자 승인","유지·소폭 감액"))))</f>
        <v/>
      </c>
      <c r="M50" s="7">
        <f>IF($A50="","",'02_Buyers'!$BA47)</f>
        <v/>
      </c>
      <c r="N50" s="7">
        <f>IF(OR($A50="",M50="대상 아님"),"",IF(F50&lt;=50000,"채권관리팀장",IF(F50&lt;=200000,"영업본부장","대표이사")))</f>
        <v/>
      </c>
      <c r="O50" s="7">
        <f>IF($A50="","",'02_Buyers'!$AG47)</f>
        <v/>
      </c>
      <c r="P50" s="48" t="n"/>
      <c r="Q50" s="44">
        <f>IF(OR($A50="",P50=""),"",F50-P50)</f>
        <v/>
      </c>
      <c r="R50" s="45">
        <f>IF(OR($A50="",D50&lt;=0),"",COUNTIFS($G$5:$G$154,G50,$D$5:$D$154,"&gt;0"))</f>
        <v/>
      </c>
      <c r="T50" s="49" t="inlineStr">
        <is>
          <t>제약 4: $U$6 &lt;= $W$6 (ELuse ≤ ELbudget)</t>
        </is>
      </c>
    </row>
    <row r="51">
      <c r="A51" s="7">
        <f>IF('02_Buyers'!$A48="","",'02_Buyers'!$A48)</f>
        <v/>
      </c>
      <c r="B51" s="7">
        <f>IF($A51="","",'02_Buyers'!$S48)</f>
        <v/>
      </c>
      <c r="C51" s="7">
        <f>IF($A51="","",'02_Buyers'!$AK48)</f>
        <v/>
      </c>
      <c r="D51" s="44">
        <f>IF($A51="",0,'02_Buyers'!$BB48)</f>
        <v/>
      </c>
      <c r="E51" s="44">
        <f>IF($A51="",0,'02_Buyers'!$BC48)</f>
        <v/>
      </c>
      <c r="F51" s="65" t="n">
        <v>0</v>
      </c>
      <c r="G51" s="61">
        <f>IF($A51="",0,'02_Buyers'!$BD48)</f>
        <v/>
      </c>
      <c r="H51" s="66">
        <f>IF($A51="",0,'02_Buyers'!$BE48)</f>
        <v/>
      </c>
      <c r="I51" s="44">
        <f>IF($A51="",0,'02_Buyers'!$AB48)</f>
        <v/>
      </c>
      <c r="J51" s="44">
        <f>IF($A51="","",F51-I51)</f>
        <v/>
      </c>
      <c r="K51" s="67">
        <f>IF(OR($A51="",I51&lt;=0),"",J51/I51)</f>
        <v/>
      </c>
      <c r="L51" s="7">
        <f>IF($A51="","",IF(M51="대상 아님","대상 아님(L/C·선수금)",IF(AND(I51&gt;0,K51&lt;=-0.3),"감액 30%↑ — 사람 승인 필요",IF(J51&gt;0,"증액 — 전결권자 승인","유지·소폭 감액"))))</f>
        <v/>
      </c>
      <c r="M51" s="7">
        <f>IF($A51="","",'02_Buyers'!$BA48)</f>
        <v/>
      </c>
      <c r="N51" s="7">
        <f>IF(OR($A51="",M51="대상 아님"),"",IF(F51&lt;=50000,"채권관리팀장",IF(F51&lt;=200000,"영업본부장","대표이사")))</f>
        <v/>
      </c>
      <c r="O51" s="7">
        <f>IF($A51="","",'02_Buyers'!$AG48)</f>
        <v/>
      </c>
      <c r="P51" s="48" t="n"/>
      <c r="Q51" s="44">
        <f>IF(OR($A51="",P51=""),"",F51-P51)</f>
        <v/>
      </c>
      <c r="R51" s="45">
        <f>IF(OR($A51="",D51&lt;=0),"",COUNTIFS($G$5:$G$154,G51,$D$5:$D$154,"&gt;0"))</f>
        <v/>
      </c>
      <c r="T51" s="49" t="inlineStr">
        <is>
          <t>제약 5: $Z$12:$Z$31 &lt;= $Y$12:$Y$31 (CtryUsed ≤ CtryCap, 20칸 한 줄)</t>
        </is>
      </c>
    </row>
    <row r="52">
      <c r="A52" s="7">
        <f>IF('02_Buyers'!$A49="","",'02_Buyers'!$A49)</f>
        <v/>
      </c>
      <c r="B52" s="7">
        <f>IF($A52="","",'02_Buyers'!$S49)</f>
        <v/>
      </c>
      <c r="C52" s="7">
        <f>IF($A52="","",'02_Buyers'!$AK49)</f>
        <v/>
      </c>
      <c r="D52" s="44">
        <f>IF($A52="",0,'02_Buyers'!$BB49)</f>
        <v/>
      </c>
      <c r="E52" s="44">
        <f>IF($A52="",0,'02_Buyers'!$BC49)</f>
        <v/>
      </c>
      <c r="F52" s="65" t="n">
        <v>0</v>
      </c>
      <c r="G52" s="61">
        <f>IF($A52="",0,'02_Buyers'!$BD49)</f>
        <v/>
      </c>
      <c r="H52" s="66">
        <f>IF($A52="",0,'02_Buyers'!$BE49)</f>
        <v/>
      </c>
      <c r="I52" s="44">
        <f>IF($A52="",0,'02_Buyers'!$AB49)</f>
        <v/>
      </c>
      <c r="J52" s="44">
        <f>IF($A52="","",F52-I52)</f>
        <v/>
      </c>
      <c r="K52" s="67">
        <f>IF(OR($A52="",I52&lt;=0),"",J52/I52)</f>
        <v/>
      </c>
      <c r="L52" s="7">
        <f>IF($A52="","",IF(M52="대상 아님","대상 아님(L/C·선수금)",IF(AND(I52&gt;0,K52&lt;=-0.3),"감액 30%↑ — 사람 승인 필요",IF(J52&gt;0,"증액 — 전결권자 승인","유지·소폭 감액"))))</f>
        <v/>
      </c>
      <c r="M52" s="7">
        <f>IF($A52="","",'02_Buyers'!$BA49)</f>
        <v/>
      </c>
      <c r="N52" s="7">
        <f>IF(OR($A52="",M52="대상 아님"),"",IF(F52&lt;=50000,"채권관리팀장",IF(F52&lt;=200000,"영업본부장","대표이사")))</f>
        <v/>
      </c>
      <c r="O52" s="7">
        <f>IF($A52="","",'02_Buyers'!$AG49)</f>
        <v/>
      </c>
      <c r="P52" s="48" t="n"/>
      <c r="Q52" s="44">
        <f>IF(OR($A52="",P52=""),"",F52-P52)</f>
        <v/>
      </c>
      <c r="R52" s="45">
        <f>IF(OR($A52="",D52&lt;=0),"",COUNTIFS($G$5:$G$154,G52,$D$5:$D$154,"&gt;0"))</f>
        <v/>
      </c>
      <c r="T52" s="49" t="inlineStr">
        <is>
          <t>제약 6: $U$7 &lt;= $W$7 (B_Used ≤ B_Cap)</t>
        </is>
      </c>
    </row>
    <row r="53">
      <c r="A53" s="7">
        <f>IF('02_Buyers'!$A50="","",'02_Buyers'!$A50)</f>
        <v/>
      </c>
      <c r="B53" s="7">
        <f>IF($A53="","",'02_Buyers'!$S50)</f>
        <v/>
      </c>
      <c r="C53" s="7">
        <f>IF($A53="","",'02_Buyers'!$AK50)</f>
        <v/>
      </c>
      <c r="D53" s="44">
        <f>IF($A53="",0,'02_Buyers'!$BB50)</f>
        <v/>
      </c>
      <c r="E53" s="44">
        <f>IF($A53="",0,'02_Buyers'!$BC50)</f>
        <v/>
      </c>
      <c r="F53" s="65" t="n">
        <v>0</v>
      </c>
      <c r="G53" s="61">
        <f>IF($A53="",0,'02_Buyers'!$BD50)</f>
        <v/>
      </c>
      <c r="H53" s="66">
        <f>IF($A53="",0,'02_Buyers'!$BE50)</f>
        <v/>
      </c>
      <c r="I53" s="44">
        <f>IF($A53="",0,'02_Buyers'!$AB50)</f>
        <v/>
      </c>
      <c r="J53" s="44">
        <f>IF($A53="","",F53-I53)</f>
        <v/>
      </c>
      <c r="K53" s="67">
        <f>IF(OR($A53="",I53&lt;=0),"",J53/I53)</f>
        <v/>
      </c>
      <c r="L53" s="7">
        <f>IF($A53="","",IF(M53="대상 아님","대상 아님(L/C·선수금)",IF(AND(I53&gt;0,K53&lt;=-0.3),"감액 30%↑ — 사람 승인 필요",IF(J53&gt;0,"증액 — 전결권자 승인","유지·소폭 감액"))))</f>
        <v/>
      </c>
      <c r="M53" s="7">
        <f>IF($A53="","",'02_Buyers'!$BA50)</f>
        <v/>
      </c>
      <c r="N53" s="7">
        <f>IF(OR($A53="",M53="대상 아님"),"",IF(F53&lt;=50000,"채권관리팀장",IF(F53&lt;=200000,"영업본부장","대표이사")))</f>
        <v/>
      </c>
      <c r="O53" s="7">
        <f>IF($A53="","",'02_Buyers'!$AG50)</f>
        <v/>
      </c>
      <c r="P53" s="48" t="n"/>
      <c r="Q53" s="44">
        <f>IF(OR($A53="",P53=""),"",F53-P53)</f>
        <v/>
      </c>
      <c r="R53" s="45">
        <f>IF(OR($A53="",D53&lt;=0),"",COUNTIFS($G$5:$G$154,G53,$D$5:$D$154,"&gt;0"))</f>
        <v/>
      </c>
      <c r="T53" s="49" t="inlineStr">
        <is>
          <t>'제한되지 않는 변수를 음이 아닌 수로 설정' ✔ · 해법: 단순 LP → 해 찾기</t>
        </is>
      </c>
    </row>
    <row r="54">
      <c r="A54" s="7">
        <f>IF('02_Buyers'!$A51="","",'02_Buyers'!$A51)</f>
        <v/>
      </c>
      <c r="B54" s="7">
        <f>IF($A54="","",'02_Buyers'!$S51)</f>
        <v/>
      </c>
      <c r="C54" s="7">
        <f>IF($A54="","",'02_Buyers'!$AK51)</f>
        <v/>
      </c>
      <c r="D54" s="44">
        <f>IF($A54="",0,'02_Buyers'!$BB51)</f>
        <v/>
      </c>
      <c r="E54" s="44">
        <f>IF($A54="",0,'02_Buyers'!$BC51)</f>
        <v/>
      </c>
      <c r="F54" s="65" t="n">
        <v>0</v>
      </c>
      <c r="G54" s="61">
        <f>IF($A54="",0,'02_Buyers'!$BD51)</f>
        <v/>
      </c>
      <c r="H54" s="66">
        <f>IF($A54="",0,'02_Buyers'!$BE51)</f>
        <v/>
      </c>
      <c r="I54" s="44">
        <f>IF($A54="",0,'02_Buyers'!$AB51)</f>
        <v/>
      </c>
      <c r="J54" s="44">
        <f>IF($A54="","",F54-I54)</f>
        <v/>
      </c>
      <c r="K54" s="67">
        <f>IF(OR($A54="",I54&lt;=0),"",J54/I54)</f>
        <v/>
      </c>
      <c r="L54" s="7">
        <f>IF($A54="","",IF(M54="대상 아님","대상 아님(L/C·선수금)",IF(AND(I54&gt;0,K54&lt;=-0.3),"감액 30%↑ — 사람 승인 필요",IF(J54&gt;0,"증액 — 전결권자 승인","유지·소폭 감액"))))</f>
        <v/>
      </c>
      <c r="M54" s="7">
        <f>IF($A54="","",'02_Buyers'!$BA51)</f>
        <v/>
      </c>
      <c r="N54" s="7">
        <f>IF(OR($A54="",M54="대상 아님"),"",IF(F54&lt;=50000,"채권관리팀장",IF(F54&lt;=200000,"영업본부장","대표이사")))</f>
        <v/>
      </c>
      <c r="O54" s="7">
        <f>IF($A54="","",'02_Buyers'!$AG51)</f>
        <v/>
      </c>
      <c r="P54" s="48" t="n"/>
      <c r="Q54" s="44">
        <f>IF(OR($A54="",P54=""),"",F54-P54)</f>
        <v/>
      </c>
      <c r="R54" s="45">
        <f>IF(OR($A54="",D54&lt;=0),"",COUNTIFS($G$5:$G$154,G54,$D$5:$D$154,"&gt;0"))</f>
        <v/>
      </c>
      <c r="T54" s="49" t="inlineStr">
        <is>
          <t>결과 창: '해 찾기 해 보존' + 보고서 '해답'·'민감도' → 민감도 보고서의 잠재가격을 Z5:Z7·AC12:AC31에 옮겨 적기</t>
        </is>
      </c>
    </row>
    <row r="55">
      <c r="A55" s="7">
        <f>IF('02_Buyers'!$A52="","",'02_Buyers'!$A52)</f>
        <v/>
      </c>
      <c r="B55" s="7">
        <f>IF($A55="","",'02_Buyers'!$S52)</f>
        <v/>
      </c>
      <c r="C55" s="7">
        <f>IF($A55="","",'02_Buyers'!$AK52)</f>
        <v/>
      </c>
      <c r="D55" s="44">
        <f>IF($A55="",0,'02_Buyers'!$BB52)</f>
        <v/>
      </c>
      <c r="E55" s="44">
        <f>IF($A55="",0,'02_Buyers'!$BC52)</f>
        <v/>
      </c>
      <c r="F55" s="65" t="n">
        <v>0</v>
      </c>
      <c r="G55" s="61">
        <f>IF($A55="",0,'02_Buyers'!$BD52)</f>
        <v/>
      </c>
      <c r="H55" s="66">
        <f>IF($A55="",0,'02_Buyers'!$BE52)</f>
        <v/>
      </c>
      <c r="I55" s="44">
        <f>IF($A55="",0,'02_Buyers'!$AB52)</f>
        <v/>
      </c>
      <c r="J55" s="44">
        <f>IF($A55="","",F55-I55)</f>
        <v/>
      </c>
      <c r="K55" s="67">
        <f>IF(OR($A55="",I55&lt;=0),"",J55/I55)</f>
        <v/>
      </c>
      <c r="L55" s="7">
        <f>IF($A55="","",IF(M55="대상 아님","대상 아님(L/C·선수금)",IF(AND(I55&gt;0,K55&lt;=-0.3),"감액 30%↑ — 사람 승인 필요",IF(J55&gt;0,"증액 — 전결권자 승인","유지·소폭 감액"))))</f>
        <v/>
      </c>
      <c r="M55" s="7">
        <f>IF($A55="","",'02_Buyers'!$BA52)</f>
        <v/>
      </c>
      <c r="N55" s="7">
        <f>IF(OR($A55="",M55="대상 아님"),"",IF(F55&lt;=50000,"채권관리팀장",IF(F55&lt;=200000,"영업본부장","대표이사")))</f>
        <v/>
      </c>
      <c r="O55" s="7">
        <f>IF($A55="","",'02_Buyers'!$AG52)</f>
        <v/>
      </c>
      <c r="P55" s="48" t="n"/>
      <c r="Q55" s="44">
        <f>IF(OR($A55="",P55=""),"",F55-P55)</f>
        <v/>
      </c>
      <c r="R55" s="45">
        <f>IF(OR($A55="",D55&lt;=0),"",COUNTIFS($G$5:$G$154,G55,$D$5:$D$154,"&gt;0"))</f>
        <v/>
      </c>
      <c r="T55" s="49" t="inlineStr">
        <is>
          <t>대안 최적해: 같은 coef(R열 동점 그룹)끼리는 해 찾기와 PuLP가 다른 바이어를 채울 수 있다 — 목적함수·걸린 제약으로 비교</t>
        </is>
      </c>
    </row>
    <row r="56">
      <c r="A56" s="7">
        <f>IF('02_Buyers'!$A53="","",'02_Buyers'!$A53)</f>
        <v/>
      </c>
      <c r="B56" s="7">
        <f>IF($A56="","",'02_Buyers'!$S53)</f>
        <v/>
      </c>
      <c r="C56" s="7">
        <f>IF($A56="","",'02_Buyers'!$AK53)</f>
        <v/>
      </c>
      <c r="D56" s="44">
        <f>IF($A56="",0,'02_Buyers'!$BB53)</f>
        <v/>
      </c>
      <c r="E56" s="44">
        <f>IF($A56="",0,'02_Buyers'!$BC53)</f>
        <v/>
      </c>
      <c r="F56" s="65" t="n">
        <v>0</v>
      </c>
      <c r="G56" s="61">
        <f>IF($A56="",0,'02_Buyers'!$BD53)</f>
        <v/>
      </c>
      <c r="H56" s="66">
        <f>IF($A56="",0,'02_Buyers'!$BE53)</f>
        <v/>
      </c>
      <c r="I56" s="44">
        <f>IF($A56="",0,'02_Buyers'!$AB53)</f>
        <v/>
      </c>
      <c r="J56" s="44">
        <f>IF($A56="","",F56-I56)</f>
        <v/>
      </c>
      <c r="K56" s="67">
        <f>IF(OR($A56="",I56&lt;=0),"",J56/I56)</f>
        <v/>
      </c>
      <c r="L56" s="7">
        <f>IF($A56="","",IF(M56="대상 아님","대상 아님(L/C·선수금)",IF(AND(I56&gt;0,K56&lt;=-0.3),"감액 30%↑ — 사람 승인 필요",IF(J56&gt;0,"증액 — 전결권자 승인","유지·소폭 감액"))))</f>
        <v/>
      </c>
      <c r="M56" s="7">
        <f>IF($A56="","",'02_Buyers'!$BA53)</f>
        <v/>
      </c>
      <c r="N56" s="7">
        <f>IF(OR($A56="",M56="대상 아님"),"",IF(F56&lt;=50000,"채권관리팀장",IF(F56&lt;=200000,"영업본부장","대표이사")))</f>
        <v/>
      </c>
      <c r="O56" s="7">
        <f>IF($A56="","",'02_Buyers'!$AG53)</f>
        <v/>
      </c>
      <c r="P56" s="48" t="n"/>
      <c r="Q56" s="44">
        <f>IF(OR($A56="",P56=""),"",F56-P56)</f>
        <v/>
      </c>
      <c r="R56" s="45">
        <f>IF(OR($A56="",D56&lt;=0),"",COUNTIFS($G$5:$G$154,G56,$D$5:$D$154,"&gt;0"))</f>
        <v/>
      </c>
    </row>
    <row r="57">
      <c r="A57" s="7">
        <f>IF('02_Buyers'!$A54="","",'02_Buyers'!$A54)</f>
        <v/>
      </c>
      <c r="B57" s="7">
        <f>IF($A57="","",'02_Buyers'!$S54)</f>
        <v/>
      </c>
      <c r="C57" s="7">
        <f>IF($A57="","",'02_Buyers'!$AK54)</f>
        <v/>
      </c>
      <c r="D57" s="44">
        <f>IF($A57="",0,'02_Buyers'!$BB54)</f>
        <v/>
      </c>
      <c r="E57" s="44">
        <f>IF($A57="",0,'02_Buyers'!$BC54)</f>
        <v/>
      </c>
      <c r="F57" s="65" t="n">
        <v>0</v>
      </c>
      <c r="G57" s="61">
        <f>IF($A57="",0,'02_Buyers'!$BD54)</f>
        <v/>
      </c>
      <c r="H57" s="66">
        <f>IF($A57="",0,'02_Buyers'!$BE54)</f>
        <v/>
      </c>
      <c r="I57" s="44">
        <f>IF($A57="",0,'02_Buyers'!$AB54)</f>
        <v/>
      </c>
      <c r="J57" s="44">
        <f>IF($A57="","",F57-I57)</f>
        <v/>
      </c>
      <c r="K57" s="67">
        <f>IF(OR($A57="",I57&lt;=0),"",J57/I57)</f>
        <v/>
      </c>
      <c r="L57" s="7">
        <f>IF($A57="","",IF(M57="대상 아님","대상 아님(L/C·선수금)",IF(AND(I57&gt;0,K57&lt;=-0.3),"감액 30%↑ — 사람 승인 필요",IF(J57&gt;0,"증액 — 전결권자 승인","유지·소폭 감액"))))</f>
        <v/>
      </c>
      <c r="M57" s="7">
        <f>IF($A57="","",'02_Buyers'!$BA54)</f>
        <v/>
      </c>
      <c r="N57" s="7">
        <f>IF(OR($A57="",M57="대상 아님"),"",IF(F57&lt;=50000,"채권관리팀장",IF(F57&lt;=200000,"영업본부장","대표이사")))</f>
        <v/>
      </c>
      <c r="O57" s="7">
        <f>IF($A57="","",'02_Buyers'!$AG54)</f>
        <v/>
      </c>
      <c r="P57" s="48" t="n"/>
      <c r="Q57" s="44">
        <f>IF(OR($A57="",P57=""),"",F57-P57)</f>
        <v/>
      </c>
      <c r="R57" s="45">
        <f>IF(OR($A57="",D57&lt;=0),"",COUNTIFS($G$5:$G$154,G57,$D$5:$D$154,"&gt;0"))</f>
        <v/>
      </c>
    </row>
    <row r="58">
      <c r="A58" s="7">
        <f>IF('02_Buyers'!$A55="","",'02_Buyers'!$A55)</f>
        <v/>
      </c>
      <c r="B58" s="7">
        <f>IF($A58="","",'02_Buyers'!$S55)</f>
        <v/>
      </c>
      <c r="C58" s="7">
        <f>IF($A58="","",'02_Buyers'!$AK55)</f>
        <v/>
      </c>
      <c r="D58" s="44">
        <f>IF($A58="",0,'02_Buyers'!$BB55)</f>
        <v/>
      </c>
      <c r="E58" s="44">
        <f>IF($A58="",0,'02_Buyers'!$BC55)</f>
        <v/>
      </c>
      <c r="F58" s="65" t="n">
        <v>0</v>
      </c>
      <c r="G58" s="61">
        <f>IF($A58="",0,'02_Buyers'!$BD55)</f>
        <v/>
      </c>
      <c r="H58" s="66">
        <f>IF($A58="",0,'02_Buyers'!$BE55)</f>
        <v/>
      </c>
      <c r="I58" s="44">
        <f>IF($A58="",0,'02_Buyers'!$AB55)</f>
        <v/>
      </c>
      <c r="J58" s="44">
        <f>IF($A58="","",F58-I58)</f>
        <v/>
      </c>
      <c r="K58" s="67">
        <f>IF(OR($A58="",I58&lt;=0),"",J58/I58)</f>
        <v/>
      </c>
      <c r="L58" s="7">
        <f>IF($A58="","",IF(M58="대상 아님","대상 아님(L/C·선수금)",IF(AND(I58&gt;0,K58&lt;=-0.3),"감액 30%↑ — 사람 승인 필요",IF(J58&gt;0,"증액 — 전결권자 승인","유지·소폭 감액"))))</f>
        <v/>
      </c>
      <c r="M58" s="7">
        <f>IF($A58="","",'02_Buyers'!$BA55)</f>
        <v/>
      </c>
      <c r="N58" s="7">
        <f>IF(OR($A58="",M58="대상 아님"),"",IF(F58&lt;=50000,"채권관리팀장",IF(F58&lt;=200000,"영업본부장","대표이사")))</f>
        <v/>
      </c>
      <c r="O58" s="7">
        <f>IF($A58="","",'02_Buyers'!$AG55)</f>
        <v/>
      </c>
      <c r="P58" s="48" t="n"/>
      <c r="Q58" s="44">
        <f>IF(OR($A58="",P58=""),"",F58-P58)</f>
        <v/>
      </c>
      <c r="R58" s="45">
        <f>IF(OR($A58="",D58&lt;=0),"",COUNTIFS($G$5:$G$154,G58,$D$5:$D$154,"&gt;0"))</f>
        <v/>
      </c>
    </row>
    <row r="59">
      <c r="A59" s="7">
        <f>IF('02_Buyers'!$A56="","",'02_Buyers'!$A56)</f>
        <v/>
      </c>
      <c r="B59" s="7">
        <f>IF($A59="","",'02_Buyers'!$S56)</f>
        <v/>
      </c>
      <c r="C59" s="7">
        <f>IF($A59="","",'02_Buyers'!$AK56)</f>
        <v/>
      </c>
      <c r="D59" s="44">
        <f>IF($A59="",0,'02_Buyers'!$BB56)</f>
        <v/>
      </c>
      <c r="E59" s="44">
        <f>IF($A59="",0,'02_Buyers'!$BC56)</f>
        <v/>
      </c>
      <c r="F59" s="65" t="n">
        <v>0</v>
      </c>
      <c r="G59" s="61">
        <f>IF($A59="",0,'02_Buyers'!$BD56)</f>
        <v/>
      </c>
      <c r="H59" s="66">
        <f>IF($A59="",0,'02_Buyers'!$BE56)</f>
        <v/>
      </c>
      <c r="I59" s="44">
        <f>IF($A59="",0,'02_Buyers'!$AB56)</f>
        <v/>
      </c>
      <c r="J59" s="44">
        <f>IF($A59="","",F59-I59)</f>
        <v/>
      </c>
      <c r="K59" s="67">
        <f>IF(OR($A59="",I59&lt;=0),"",J59/I59)</f>
        <v/>
      </c>
      <c r="L59" s="7">
        <f>IF($A59="","",IF(M59="대상 아님","대상 아님(L/C·선수금)",IF(AND(I59&gt;0,K59&lt;=-0.3),"감액 30%↑ — 사람 승인 필요",IF(J59&gt;0,"증액 — 전결권자 승인","유지·소폭 감액"))))</f>
        <v/>
      </c>
      <c r="M59" s="7">
        <f>IF($A59="","",'02_Buyers'!$BA56)</f>
        <v/>
      </c>
      <c r="N59" s="7">
        <f>IF(OR($A59="",M59="대상 아님"),"",IF(F59&lt;=50000,"채권관리팀장",IF(F59&lt;=200000,"영업본부장","대표이사")))</f>
        <v/>
      </c>
      <c r="O59" s="7">
        <f>IF($A59="","",'02_Buyers'!$AG56)</f>
        <v/>
      </c>
      <c r="P59" s="48" t="n"/>
      <c r="Q59" s="44">
        <f>IF(OR($A59="",P59=""),"",F59-P59)</f>
        <v/>
      </c>
      <c r="R59" s="45">
        <f>IF(OR($A59="",D59&lt;=0),"",COUNTIFS($G$5:$G$154,G59,$D$5:$D$154,"&gt;0"))</f>
        <v/>
      </c>
    </row>
    <row r="60">
      <c r="A60" s="7">
        <f>IF('02_Buyers'!$A57="","",'02_Buyers'!$A57)</f>
        <v/>
      </c>
      <c r="B60" s="7">
        <f>IF($A60="","",'02_Buyers'!$S57)</f>
        <v/>
      </c>
      <c r="C60" s="7">
        <f>IF($A60="","",'02_Buyers'!$AK57)</f>
        <v/>
      </c>
      <c r="D60" s="44">
        <f>IF($A60="",0,'02_Buyers'!$BB57)</f>
        <v/>
      </c>
      <c r="E60" s="44">
        <f>IF($A60="",0,'02_Buyers'!$BC57)</f>
        <v/>
      </c>
      <c r="F60" s="65" t="n">
        <v>0</v>
      </c>
      <c r="G60" s="61">
        <f>IF($A60="",0,'02_Buyers'!$BD57)</f>
        <v/>
      </c>
      <c r="H60" s="66">
        <f>IF($A60="",0,'02_Buyers'!$BE57)</f>
        <v/>
      </c>
      <c r="I60" s="44">
        <f>IF($A60="",0,'02_Buyers'!$AB57)</f>
        <v/>
      </c>
      <c r="J60" s="44">
        <f>IF($A60="","",F60-I60)</f>
        <v/>
      </c>
      <c r="K60" s="67">
        <f>IF(OR($A60="",I60&lt;=0),"",J60/I60)</f>
        <v/>
      </c>
      <c r="L60" s="7">
        <f>IF($A60="","",IF(M60="대상 아님","대상 아님(L/C·선수금)",IF(AND(I60&gt;0,K60&lt;=-0.3),"감액 30%↑ — 사람 승인 필요",IF(J60&gt;0,"증액 — 전결권자 승인","유지·소폭 감액"))))</f>
        <v/>
      </c>
      <c r="M60" s="7">
        <f>IF($A60="","",'02_Buyers'!$BA57)</f>
        <v/>
      </c>
      <c r="N60" s="7">
        <f>IF(OR($A60="",M60="대상 아님"),"",IF(F60&lt;=50000,"채권관리팀장",IF(F60&lt;=200000,"영업본부장","대표이사")))</f>
        <v/>
      </c>
      <c r="O60" s="7">
        <f>IF($A60="","",'02_Buyers'!$AG57)</f>
        <v/>
      </c>
      <c r="P60" s="48" t="n"/>
      <c r="Q60" s="44">
        <f>IF(OR($A60="",P60=""),"",F60-P60)</f>
        <v/>
      </c>
      <c r="R60" s="45">
        <f>IF(OR($A60="",D60&lt;=0),"",COUNTIFS($G$5:$G$154,G60,$D$5:$D$154,"&gt;0"))</f>
        <v/>
      </c>
    </row>
    <row r="61">
      <c r="A61" s="7">
        <f>IF('02_Buyers'!$A58="","",'02_Buyers'!$A58)</f>
        <v/>
      </c>
      <c r="B61" s="7">
        <f>IF($A61="","",'02_Buyers'!$S58)</f>
        <v/>
      </c>
      <c r="C61" s="7">
        <f>IF($A61="","",'02_Buyers'!$AK58)</f>
        <v/>
      </c>
      <c r="D61" s="44">
        <f>IF($A61="",0,'02_Buyers'!$BB58)</f>
        <v/>
      </c>
      <c r="E61" s="44">
        <f>IF($A61="",0,'02_Buyers'!$BC58)</f>
        <v/>
      </c>
      <c r="F61" s="65" t="n">
        <v>0</v>
      </c>
      <c r="G61" s="61">
        <f>IF($A61="",0,'02_Buyers'!$BD58)</f>
        <v/>
      </c>
      <c r="H61" s="66">
        <f>IF($A61="",0,'02_Buyers'!$BE58)</f>
        <v/>
      </c>
      <c r="I61" s="44">
        <f>IF($A61="",0,'02_Buyers'!$AB58)</f>
        <v/>
      </c>
      <c r="J61" s="44">
        <f>IF($A61="","",F61-I61)</f>
        <v/>
      </c>
      <c r="K61" s="67">
        <f>IF(OR($A61="",I61&lt;=0),"",J61/I61)</f>
        <v/>
      </c>
      <c r="L61" s="7">
        <f>IF($A61="","",IF(M61="대상 아님","대상 아님(L/C·선수금)",IF(AND(I61&gt;0,K61&lt;=-0.3),"감액 30%↑ — 사람 승인 필요",IF(J61&gt;0,"증액 — 전결권자 승인","유지·소폭 감액"))))</f>
        <v/>
      </c>
      <c r="M61" s="7">
        <f>IF($A61="","",'02_Buyers'!$BA58)</f>
        <v/>
      </c>
      <c r="N61" s="7">
        <f>IF(OR($A61="",M61="대상 아님"),"",IF(F61&lt;=50000,"채권관리팀장",IF(F61&lt;=200000,"영업본부장","대표이사")))</f>
        <v/>
      </c>
      <c r="O61" s="7">
        <f>IF($A61="","",'02_Buyers'!$AG58)</f>
        <v/>
      </c>
      <c r="P61" s="48" t="n"/>
      <c r="Q61" s="44">
        <f>IF(OR($A61="",P61=""),"",F61-P61)</f>
        <v/>
      </c>
      <c r="R61" s="45">
        <f>IF(OR($A61="",D61&lt;=0),"",COUNTIFS($G$5:$G$154,G61,$D$5:$D$154,"&gt;0"))</f>
        <v/>
      </c>
    </row>
    <row r="62">
      <c r="A62" s="7">
        <f>IF('02_Buyers'!$A59="","",'02_Buyers'!$A59)</f>
        <v/>
      </c>
      <c r="B62" s="7">
        <f>IF($A62="","",'02_Buyers'!$S59)</f>
        <v/>
      </c>
      <c r="C62" s="7">
        <f>IF($A62="","",'02_Buyers'!$AK59)</f>
        <v/>
      </c>
      <c r="D62" s="44">
        <f>IF($A62="",0,'02_Buyers'!$BB59)</f>
        <v/>
      </c>
      <c r="E62" s="44">
        <f>IF($A62="",0,'02_Buyers'!$BC59)</f>
        <v/>
      </c>
      <c r="F62" s="65" t="n">
        <v>0</v>
      </c>
      <c r="G62" s="61">
        <f>IF($A62="",0,'02_Buyers'!$BD59)</f>
        <v/>
      </c>
      <c r="H62" s="66">
        <f>IF($A62="",0,'02_Buyers'!$BE59)</f>
        <v/>
      </c>
      <c r="I62" s="44">
        <f>IF($A62="",0,'02_Buyers'!$AB59)</f>
        <v/>
      </c>
      <c r="J62" s="44">
        <f>IF($A62="","",F62-I62)</f>
        <v/>
      </c>
      <c r="K62" s="67">
        <f>IF(OR($A62="",I62&lt;=0),"",J62/I62)</f>
        <v/>
      </c>
      <c r="L62" s="7">
        <f>IF($A62="","",IF(M62="대상 아님","대상 아님(L/C·선수금)",IF(AND(I62&gt;0,K62&lt;=-0.3),"감액 30%↑ — 사람 승인 필요",IF(J62&gt;0,"증액 — 전결권자 승인","유지·소폭 감액"))))</f>
        <v/>
      </c>
      <c r="M62" s="7">
        <f>IF($A62="","",'02_Buyers'!$BA59)</f>
        <v/>
      </c>
      <c r="N62" s="7">
        <f>IF(OR($A62="",M62="대상 아님"),"",IF(F62&lt;=50000,"채권관리팀장",IF(F62&lt;=200000,"영업본부장","대표이사")))</f>
        <v/>
      </c>
      <c r="O62" s="7">
        <f>IF($A62="","",'02_Buyers'!$AG59)</f>
        <v/>
      </c>
      <c r="P62" s="48" t="n"/>
      <c r="Q62" s="44">
        <f>IF(OR($A62="",P62=""),"",F62-P62)</f>
        <v/>
      </c>
      <c r="R62" s="45">
        <f>IF(OR($A62="",D62&lt;=0),"",COUNTIFS($G$5:$G$154,G62,$D$5:$D$154,"&gt;0"))</f>
        <v/>
      </c>
    </row>
    <row r="63">
      <c r="A63" s="7">
        <f>IF('02_Buyers'!$A60="","",'02_Buyers'!$A60)</f>
        <v/>
      </c>
      <c r="B63" s="7">
        <f>IF($A63="","",'02_Buyers'!$S60)</f>
        <v/>
      </c>
      <c r="C63" s="7">
        <f>IF($A63="","",'02_Buyers'!$AK60)</f>
        <v/>
      </c>
      <c r="D63" s="44">
        <f>IF($A63="",0,'02_Buyers'!$BB60)</f>
        <v/>
      </c>
      <c r="E63" s="44">
        <f>IF($A63="",0,'02_Buyers'!$BC60)</f>
        <v/>
      </c>
      <c r="F63" s="65" t="n">
        <v>0</v>
      </c>
      <c r="G63" s="61">
        <f>IF($A63="",0,'02_Buyers'!$BD60)</f>
        <v/>
      </c>
      <c r="H63" s="66">
        <f>IF($A63="",0,'02_Buyers'!$BE60)</f>
        <v/>
      </c>
      <c r="I63" s="44">
        <f>IF($A63="",0,'02_Buyers'!$AB60)</f>
        <v/>
      </c>
      <c r="J63" s="44">
        <f>IF($A63="","",F63-I63)</f>
        <v/>
      </c>
      <c r="K63" s="67">
        <f>IF(OR($A63="",I63&lt;=0),"",J63/I63)</f>
        <v/>
      </c>
      <c r="L63" s="7">
        <f>IF($A63="","",IF(M63="대상 아님","대상 아님(L/C·선수금)",IF(AND(I63&gt;0,K63&lt;=-0.3),"감액 30%↑ — 사람 승인 필요",IF(J63&gt;0,"증액 — 전결권자 승인","유지·소폭 감액"))))</f>
        <v/>
      </c>
      <c r="M63" s="7">
        <f>IF($A63="","",'02_Buyers'!$BA60)</f>
        <v/>
      </c>
      <c r="N63" s="7">
        <f>IF(OR($A63="",M63="대상 아님"),"",IF(F63&lt;=50000,"채권관리팀장",IF(F63&lt;=200000,"영업본부장","대표이사")))</f>
        <v/>
      </c>
      <c r="O63" s="7">
        <f>IF($A63="","",'02_Buyers'!$AG60)</f>
        <v/>
      </c>
      <c r="P63" s="48" t="n"/>
      <c r="Q63" s="44">
        <f>IF(OR($A63="",P63=""),"",F63-P63)</f>
        <v/>
      </c>
      <c r="R63" s="45">
        <f>IF(OR($A63="",D63&lt;=0),"",COUNTIFS($G$5:$G$154,G63,$D$5:$D$154,"&gt;0"))</f>
        <v/>
      </c>
    </row>
    <row r="64">
      <c r="A64" s="7">
        <f>IF('02_Buyers'!$A61="","",'02_Buyers'!$A61)</f>
        <v/>
      </c>
      <c r="B64" s="7">
        <f>IF($A64="","",'02_Buyers'!$S61)</f>
        <v/>
      </c>
      <c r="C64" s="7">
        <f>IF($A64="","",'02_Buyers'!$AK61)</f>
        <v/>
      </c>
      <c r="D64" s="44">
        <f>IF($A64="",0,'02_Buyers'!$BB61)</f>
        <v/>
      </c>
      <c r="E64" s="44">
        <f>IF($A64="",0,'02_Buyers'!$BC61)</f>
        <v/>
      </c>
      <c r="F64" s="65" t="n">
        <v>0</v>
      </c>
      <c r="G64" s="61">
        <f>IF($A64="",0,'02_Buyers'!$BD61)</f>
        <v/>
      </c>
      <c r="H64" s="66">
        <f>IF($A64="",0,'02_Buyers'!$BE61)</f>
        <v/>
      </c>
      <c r="I64" s="44">
        <f>IF($A64="",0,'02_Buyers'!$AB61)</f>
        <v/>
      </c>
      <c r="J64" s="44">
        <f>IF($A64="","",F64-I64)</f>
        <v/>
      </c>
      <c r="K64" s="67">
        <f>IF(OR($A64="",I64&lt;=0),"",J64/I64)</f>
        <v/>
      </c>
      <c r="L64" s="7">
        <f>IF($A64="","",IF(M64="대상 아님","대상 아님(L/C·선수금)",IF(AND(I64&gt;0,K64&lt;=-0.3),"감액 30%↑ — 사람 승인 필요",IF(J64&gt;0,"증액 — 전결권자 승인","유지·소폭 감액"))))</f>
        <v/>
      </c>
      <c r="M64" s="7">
        <f>IF($A64="","",'02_Buyers'!$BA61)</f>
        <v/>
      </c>
      <c r="N64" s="7">
        <f>IF(OR($A64="",M64="대상 아님"),"",IF(F64&lt;=50000,"채권관리팀장",IF(F64&lt;=200000,"영업본부장","대표이사")))</f>
        <v/>
      </c>
      <c r="O64" s="7">
        <f>IF($A64="","",'02_Buyers'!$AG61)</f>
        <v/>
      </c>
      <c r="P64" s="48" t="n"/>
      <c r="Q64" s="44">
        <f>IF(OR($A64="",P64=""),"",F64-P64)</f>
        <v/>
      </c>
      <c r="R64" s="45">
        <f>IF(OR($A64="",D64&lt;=0),"",COUNTIFS($G$5:$G$154,G64,$D$5:$D$154,"&gt;0"))</f>
        <v/>
      </c>
    </row>
    <row r="65">
      <c r="A65" s="7">
        <f>IF('02_Buyers'!$A62="","",'02_Buyers'!$A62)</f>
        <v/>
      </c>
      <c r="B65" s="7">
        <f>IF($A65="","",'02_Buyers'!$S62)</f>
        <v/>
      </c>
      <c r="C65" s="7">
        <f>IF($A65="","",'02_Buyers'!$AK62)</f>
        <v/>
      </c>
      <c r="D65" s="44">
        <f>IF($A65="",0,'02_Buyers'!$BB62)</f>
        <v/>
      </c>
      <c r="E65" s="44">
        <f>IF($A65="",0,'02_Buyers'!$BC62)</f>
        <v/>
      </c>
      <c r="F65" s="65" t="n">
        <v>0</v>
      </c>
      <c r="G65" s="61">
        <f>IF($A65="",0,'02_Buyers'!$BD62)</f>
        <v/>
      </c>
      <c r="H65" s="66">
        <f>IF($A65="",0,'02_Buyers'!$BE62)</f>
        <v/>
      </c>
      <c r="I65" s="44">
        <f>IF($A65="",0,'02_Buyers'!$AB62)</f>
        <v/>
      </c>
      <c r="J65" s="44">
        <f>IF($A65="","",F65-I65)</f>
        <v/>
      </c>
      <c r="K65" s="67">
        <f>IF(OR($A65="",I65&lt;=0),"",J65/I65)</f>
        <v/>
      </c>
      <c r="L65" s="7">
        <f>IF($A65="","",IF(M65="대상 아님","대상 아님(L/C·선수금)",IF(AND(I65&gt;0,K65&lt;=-0.3),"감액 30%↑ — 사람 승인 필요",IF(J65&gt;0,"증액 — 전결권자 승인","유지·소폭 감액"))))</f>
        <v/>
      </c>
      <c r="M65" s="7">
        <f>IF($A65="","",'02_Buyers'!$BA62)</f>
        <v/>
      </c>
      <c r="N65" s="7">
        <f>IF(OR($A65="",M65="대상 아님"),"",IF(F65&lt;=50000,"채권관리팀장",IF(F65&lt;=200000,"영업본부장","대표이사")))</f>
        <v/>
      </c>
      <c r="O65" s="7">
        <f>IF($A65="","",'02_Buyers'!$AG62)</f>
        <v/>
      </c>
      <c r="P65" s="48" t="n"/>
      <c r="Q65" s="44">
        <f>IF(OR($A65="",P65=""),"",F65-P65)</f>
        <v/>
      </c>
      <c r="R65" s="45">
        <f>IF(OR($A65="",D65&lt;=0),"",COUNTIFS($G$5:$G$154,G65,$D$5:$D$154,"&gt;0"))</f>
        <v/>
      </c>
    </row>
    <row r="66">
      <c r="A66" s="7">
        <f>IF('02_Buyers'!$A63="","",'02_Buyers'!$A63)</f>
        <v/>
      </c>
      <c r="B66" s="7">
        <f>IF($A66="","",'02_Buyers'!$S63)</f>
        <v/>
      </c>
      <c r="C66" s="7">
        <f>IF($A66="","",'02_Buyers'!$AK63)</f>
        <v/>
      </c>
      <c r="D66" s="44">
        <f>IF($A66="",0,'02_Buyers'!$BB63)</f>
        <v/>
      </c>
      <c r="E66" s="44">
        <f>IF($A66="",0,'02_Buyers'!$BC63)</f>
        <v/>
      </c>
      <c r="F66" s="65" t="n">
        <v>0</v>
      </c>
      <c r="G66" s="61">
        <f>IF($A66="",0,'02_Buyers'!$BD63)</f>
        <v/>
      </c>
      <c r="H66" s="66">
        <f>IF($A66="",0,'02_Buyers'!$BE63)</f>
        <v/>
      </c>
      <c r="I66" s="44">
        <f>IF($A66="",0,'02_Buyers'!$AB63)</f>
        <v/>
      </c>
      <c r="J66" s="44">
        <f>IF($A66="","",F66-I66)</f>
        <v/>
      </c>
      <c r="K66" s="67">
        <f>IF(OR($A66="",I66&lt;=0),"",J66/I66)</f>
        <v/>
      </c>
      <c r="L66" s="7">
        <f>IF($A66="","",IF(M66="대상 아님","대상 아님(L/C·선수금)",IF(AND(I66&gt;0,K66&lt;=-0.3),"감액 30%↑ — 사람 승인 필요",IF(J66&gt;0,"증액 — 전결권자 승인","유지·소폭 감액"))))</f>
        <v/>
      </c>
      <c r="M66" s="7">
        <f>IF($A66="","",'02_Buyers'!$BA63)</f>
        <v/>
      </c>
      <c r="N66" s="7">
        <f>IF(OR($A66="",M66="대상 아님"),"",IF(F66&lt;=50000,"채권관리팀장",IF(F66&lt;=200000,"영업본부장","대표이사")))</f>
        <v/>
      </c>
      <c r="O66" s="7">
        <f>IF($A66="","",'02_Buyers'!$AG63)</f>
        <v/>
      </c>
      <c r="P66" s="48" t="n"/>
      <c r="Q66" s="44">
        <f>IF(OR($A66="",P66=""),"",F66-P66)</f>
        <v/>
      </c>
      <c r="R66" s="45">
        <f>IF(OR($A66="",D66&lt;=0),"",COUNTIFS($G$5:$G$154,G66,$D$5:$D$154,"&gt;0"))</f>
        <v/>
      </c>
    </row>
    <row r="67">
      <c r="A67" s="7">
        <f>IF('02_Buyers'!$A64="","",'02_Buyers'!$A64)</f>
        <v/>
      </c>
      <c r="B67" s="7">
        <f>IF($A67="","",'02_Buyers'!$S64)</f>
        <v/>
      </c>
      <c r="C67" s="7">
        <f>IF($A67="","",'02_Buyers'!$AK64)</f>
        <v/>
      </c>
      <c r="D67" s="44">
        <f>IF($A67="",0,'02_Buyers'!$BB64)</f>
        <v/>
      </c>
      <c r="E67" s="44">
        <f>IF($A67="",0,'02_Buyers'!$BC64)</f>
        <v/>
      </c>
      <c r="F67" s="65" t="n">
        <v>0</v>
      </c>
      <c r="G67" s="61">
        <f>IF($A67="",0,'02_Buyers'!$BD64)</f>
        <v/>
      </c>
      <c r="H67" s="66">
        <f>IF($A67="",0,'02_Buyers'!$BE64)</f>
        <v/>
      </c>
      <c r="I67" s="44">
        <f>IF($A67="",0,'02_Buyers'!$AB64)</f>
        <v/>
      </c>
      <c r="J67" s="44">
        <f>IF($A67="","",F67-I67)</f>
        <v/>
      </c>
      <c r="K67" s="67">
        <f>IF(OR($A67="",I67&lt;=0),"",J67/I67)</f>
        <v/>
      </c>
      <c r="L67" s="7">
        <f>IF($A67="","",IF(M67="대상 아님","대상 아님(L/C·선수금)",IF(AND(I67&gt;0,K67&lt;=-0.3),"감액 30%↑ — 사람 승인 필요",IF(J67&gt;0,"증액 — 전결권자 승인","유지·소폭 감액"))))</f>
        <v/>
      </c>
      <c r="M67" s="7">
        <f>IF($A67="","",'02_Buyers'!$BA64)</f>
        <v/>
      </c>
      <c r="N67" s="7">
        <f>IF(OR($A67="",M67="대상 아님"),"",IF(F67&lt;=50000,"채권관리팀장",IF(F67&lt;=200000,"영업본부장","대표이사")))</f>
        <v/>
      </c>
      <c r="O67" s="7">
        <f>IF($A67="","",'02_Buyers'!$AG64)</f>
        <v/>
      </c>
      <c r="P67" s="48" t="n"/>
      <c r="Q67" s="44">
        <f>IF(OR($A67="",P67=""),"",F67-P67)</f>
        <v/>
      </c>
      <c r="R67" s="45">
        <f>IF(OR($A67="",D67&lt;=0),"",COUNTIFS($G$5:$G$154,G67,$D$5:$D$154,"&gt;0"))</f>
        <v/>
      </c>
    </row>
    <row r="68">
      <c r="A68" s="7">
        <f>IF('02_Buyers'!$A65="","",'02_Buyers'!$A65)</f>
        <v/>
      </c>
      <c r="B68" s="7">
        <f>IF($A68="","",'02_Buyers'!$S65)</f>
        <v/>
      </c>
      <c r="C68" s="7">
        <f>IF($A68="","",'02_Buyers'!$AK65)</f>
        <v/>
      </c>
      <c r="D68" s="44">
        <f>IF($A68="",0,'02_Buyers'!$BB65)</f>
        <v/>
      </c>
      <c r="E68" s="44">
        <f>IF($A68="",0,'02_Buyers'!$BC65)</f>
        <v/>
      </c>
      <c r="F68" s="65" t="n">
        <v>0</v>
      </c>
      <c r="G68" s="61">
        <f>IF($A68="",0,'02_Buyers'!$BD65)</f>
        <v/>
      </c>
      <c r="H68" s="66">
        <f>IF($A68="",0,'02_Buyers'!$BE65)</f>
        <v/>
      </c>
      <c r="I68" s="44">
        <f>IF($A68="",0,'02_Buyers'!$AB65)</f>
        <v/>
      </c>
      <c r="J68" s="44">
        <f>IF($A68="","",F68-I68)</f>
        <v/>
      </c>
      <c r="K68" s="67">
        <f>IF(OR($A68="",I68&lt;=0),"",J68/I68)</f>
        <v/>
      </c>
      <c r="L68" s="7">
        <f>IF($A68="","",IF(M68="대상 아님","대상 아님(L/C·선수금)",IF(AND(I68&gt;0,K68&lt;=-0.3),"감액 30%↑ — 사람 승인 필요",IF(J68&gt;0,"증액 — 전결권자 승인","유지·소폭 감액"))))</f>
        <v/>
      </c>
      <c r="M68" s="7">
        <f>IF($A68="","",'02_Buyers'!$BA65)</f>
        <v/>
      </c>
      <c r="N68" s="7">
        <f>IF(OR($A68="",M68="대상 아님"),"",IF(F68&lt;=50000,"채권관리팀장",IF(F68&lt;=200000,"영업본부장","대표이사")))</f>
        <v/>
      </c>
      <c r="O68" s="7">
        <f>IF($A68="","",'02_Buyers'!$AG65)</f>
        <v/>
      </c>
      <c r="P68" s="48" t="n"/>
      <c r="Q68" s="44">
        <f>IF(OR($A68="",P68=""),"",F68-P68)</f>
        <v/>
      </c>
      <c r="R68" s="45">
        <f>IF(OR($A68="",D68&lt;=0),"",COUNTIFS($G$5:$G$154,G68,$D$5:$D$154,"&gt;0"))</f>
        <v/>
      </c>
    </row>
    <row r="69">
      <c r="A69" s="7">
        <f>IF('02_Buyers'!$A66="","",'02_Buyers'!$A66)</f>
        <v/>
      </c>
      <c r="B69" s="7">
        <f>IF($A69="","",'02_Buyers'!$S66)</f>
        <v/>
      </c>
      <c r="C69" s="7">
        <f>IF($A69="","",'02_Buyers'!$AK66)</f>
        <v/>
      </c>
      <c r="D69" s="44">
        <f>IF($A69="",0,'02_Buyers'!$BB66)</f>
        <v/>
      </c>
      <c r="E69" s="44">
        <f>IF($A69="",0,'02_Buyers'!$BC66)</f>
        <v/>
      </c>
      <c r="F69" s="65" t="n">
        <v>0</v>
      </c>
      <c r="G69" s="61">
        <f>IF($A69="",0,'02_Buyers'!$BD66)</f>
        <v/>
      </c>
      <c r="H69" s="66">
        <f>IF($A69="",0,'02_Buyers'!$BE66)</f>
        <v/>
      </c>
      <c r="I69" s="44">
        <f>IF($A69="",0,'02_Buyers'!$AB66)</f>
        <v/>
      </c>
      <c r="J69" s="44">
        <f>IF($A69="","",F69-I69)</f>
        <v/>
      </c>
      <c r="K69" s="67">
        <f>IF(OR($A69="",I69&lt;=0),"",J69/I69)</f>
        <v/>
      </c>
      <c r="L69" s="7">
        <f>IF($A69="","",IF(M69="대상 아님","대상 아님(L/C·선수금)",IF(AND(I69&gt;0,K69&lt;=-0.3),"감액 30%↑ — 사람 승인 필요",IF(J69&gt;0,"증액 — 전결권자 승인","유지·소폭 감액"))))</f>
        <v/>
      </c>
      <c r="M69" s="7">
        <f>IF($A69="","",'02_Buyers'!$BA66)</f>
        <v/>
      </c>
      <c r="N69" s="7">
        <f>IF(OR($A69="",M69="대상 아님"),"",IF(F69&lt;=50000,"채권관리팀장",IF(F69&lt;=200000,"영업본부장","대표이사")))</f>
        <v/>
      </c>
      <c r="O69" s="7">
        <f>IF($A69="","",'02_Buyers'!$AG66)</f>
        <v/>
      </c>
      <c r="P69" s="48" t="n"/>
      <c r="Q69" s="44">
        <f>IF(OR($A69="",P69=""),"",F69-P69)</f>
        <v/>
      </c>
      <c r="R69" s="45">
        <f>IF(OR($A69="",D69&lt;=0),"",COUNTIFS($G$5:$G$154,G69,$D$5:$D$154,"&gt;0"))</f>
        <v/>
      </c>
    </row>
    <row r="70">
      <c r="A70" s="7">
        <f>IF('02_Buyers'!$A67="","",'02_Buyers'!$A67)</f>
        <v/>
      </c>
      <c r="B70" s="7">
        <f>IF($A70="","",'02_Buyers'!$S67)</f>
        <v/>
      </c>
      <c r="C70" s="7">
        <f>IF($A70="","",'02_Buyers'!$AK67)</f>
        <v/>
      </c>
      <c r="D70" s="44">
        <f>IF($A70="",0,'02_Buyers'!$BB67)</f>
        <v/>
      </c>
      <c r="E70" s="44">
        <f>IF($A70="",0,'02_Buyers'!$BC67)</f>
        <v/>
      </c>
      <c r="F70" s="65" t="n">
        <v>0</v>
      </c>
      <c r="G70" s="61">
        <f>IF($A70="",0,'02_Buyers'!$BD67)</f>
        <v/>
      </c>
      <c r="H70" s="66">
        <f>IF($A70="",0,'02_Buyers'!$BE67)</f>
        <v/>
      </c>
      <c r="I70" s="44">
        <f>IF($A70="",0,'02_Buyers'!$AB67)</f>
        <v/>
      </c>
      <c r="J70" s="44">
        <f>IF($A70="","",F70-I70)</f>
        <v/>
      </c>
      <c r="K70" s="67">
        <f>IF(OR($A70="",I70&lt;=0),"",J70/I70)</f>
        <v/>
      </c>
      <c r="L70" s="7">
        <f>IF($A70="","",IF(M70="대상 아님","대상 아님(L/C·선수금)",IF(AND(I70&gt;0,K70&lt;=-0.3),"감액 30%↑ — 사람 승인 필요",IF(J70&gt;0,"증액 — 전결권자 승인","유지·소폭 감액"))))</f>
        <v/>
      </c>
      <c r="M70" s="7">
        <f>IF($A70="","",'02_Buyers'!$BA67)</f>
        <v/>
      </c>
      <c r="N70" s="7">
        <f>IF(OR($A70="",M70="대상 아님"),"",IF(F70&lt;=50000,"채권관리팀장",IF(F70&lt;=200000,"영업본부장","대표이사")))</f>
        <v/>
      </c>
      <c r="O70" s="7">
        <f>IF($A70="","",'02_Buyers'!$AG67)</f>
        <v/>
      </c>
      <c r="P70" s="48" t="n"/>
      <c r="Q70" s="44">
        <f>IF(OR($A70="",P70=""),"",F70-P70)</f>
        <v/>
      </c>
      <c r="R70" s="45">
        <f>IF(OR($A70="",D70&lt;=0),"",COUNTIFS($G$5:$G$154,G70,$D$5:$D$154,"&gt;0"))</f>
        <v/>
      </c>
    </row>
    <row r="71">
      <c r="A71" s="7">
        <f>IF('02_Buyers'!$A68="","",'02_Buyers'!$A68)</f>
        <v/>
      </c>
      <c r="B71" s="7">
        <f>IF($A71="","",'02_Buyers'!$S68)</f>
        <v/>
      </c>
      <c r="C71" s="7">
        <f>IF($A71="","",'02_Buyers'!$AK68)</f>
        <v/>
      </c>
      <c r="D71" s="44">
        <f>IF($A71="",0,'02_Buyers'!$BB68)</f>
        <v/>
      </c>
      <c r="E71" s="44">
        <f>IF($A71="",0,'02_Buyers'!$BC68)</f>
        <v/>
      </c>
      <c r="F71" s="65" t="n">
        <v>0</v>
      </c>
      <c r="G71" s="61">
        <f>IF($A71="",0,'02_Buyers'!$BD68)</f>
        <v/>
      </c>
      <c r="H71" s="66">
        <f>IF($A71="",0,'02_Buyers'!$BE68)</f>
        <v/>
      </c>
      <c r="I71" s="44">
        <f>IF($A71="",0,'02_Buyers'!$AB68)</f>
        <v/>
      </c>
      <c r="J71" s="44">
        <f>IF($A71="","",F71-I71)</f>
        <v/>
      </c>
      <c r="K71" s="67">
        <f>IF(OR($A71="",I71&lt;=0),"",J71/I71)</f>
        <v/>
      </c>
      <c r="L71" s="7">
        <f>IF($A71="","",IF(M71="대상 아님","대상 아님(L/C·선수금)",IF(AND(I71&gt;0,K71&lt;=-0.3),"감액 30%↑ — 사람 승인 필요",IF(J71&gt;0,"증액 — 전결권자 승인","유지·소폭 감액"))))</f>
        <v/>
      </c>
      <c r="M71" s="7">
        <f>IF($A71="","",'02_Buyers'!$BA68)</f>
        <v/>
      </c>
      <c r="N71" s="7">
        <f>IF(OR($A71="",M71="대상 아님"),"",IF(F71&lt;=50000,"채권관리팀장",IF(F71&lt;=200000,"영업본부장","대표이사")))</f>
        <v/>
      </c>
      <c r="O71" s="7">
        <f>IF($A71="","",'02_Buyers'!$AG68)</f>
        <v/>
      </c>
      <c r="P71" s="48" t="n"/>
      <c r="Q71" s="44">
        <f>IF(OR($A71="",P71=""),"",F71-P71)</f>
        <v/>
      </c>
      <c r="R71" s="45">
        <f>IF(OR($A71="",D71&lt;=0),"",COUNTIFS($G$5:$G$154,G71,$D$5:$D$154,"&gt;0"))</f>
        <v/>
      </c>
    </row>
    <row r="72">
      <c r="A72" s="7">
        <f>IF('02_Buyers'!$A69="","",'02_Buyers'!$A69)</f>
        <v/>
      </c>
      <c r="B72" s="7">
        <f>IF($A72="","",'02_Buyers'!$S69)</f>
        <v/>
      </c>
      <c r="C72" s="7">
        <f>IF($A72="","",'02_Buyers'!$AK69)</f>
        <v/>
      </c>
      <c r="D72" s="44">
        <f>IF($A72="",0,'02_Buyers'!$BB69)</f>
        <v/>
      </c>
      <c r="E72" s="44">
        <f>IF($A72="",0,'02_Buyers'!$BC69)</f>
        <v/>
      </c>
      <c r="F72" s="65" t="n">
        <v>0</v>
      </c>
      <c r="G72" s="61">
        <f>IF($A72="",0,'02_Buyers'!$BD69)</f>
        <v/>
      </c>
      <c r="H72" s="66">
        <f>IF($A72="",0,'02_Buyers'!$BE69)</f>
        <v/>
      </c>
      <c r="I72" s="44">
        <f>IF($A72="",0,'02_Buyers'!$AB69)</f>
        <v/>
      </c>
      <c r="J72" s="44">
        <f>IF($A72="","",F72-I72)</f>
        <v/>
      </c>
      <c r="K72" s="67">
        <f>IF(OR($A72="",I72&lt;=0),"",J72/I72)</f>
        <v/>
      </c>
      <c r="L72" s="7">
        <f>IF($A72="","",IF(M72="대상 아님","대상 아님(L/C·선수금)",IF(AND(I72&gt;0,K72&lt;=-0.3),"감액 30%↑ — 사람 승인 필요",IF(J72&gt;0,"증액 — 전결권자 승인","유지·소폭 감액"))))</f>
        <v/>
      </c>
      <c r="M72" s="7">
        <f>IF($A72="","",'02_Buyers'!$BA69)</f>
        <v/>
      </c>
      <c r="N72" s="7">
        <f>IF(OR($A72="",M72="대상 아님"),"",IF(F72&lt;=50000,"채권관리팀장",IF(F72&lt;=200000,"영업본부장","대표이사")))</f>
        <v/>
      </c>
      <c r="O72" s="7">
        <f>IF($A72="","",'02_Buyers'!$AG69)</f>
        <v/>
      </c>
      <c r="P72" s="48" t="n"/>
      <c r="Q72" s="44">
        <f>IF(OR($A72="",P72=""),"",F72-P72)</f>
        <v/>
      </c>
      <c r="R72" s="45">
        <f>IF(OR($A72="",D72&lt;=0),"",COUNTIFS($G$5:$G$154,G72,$D$5:$D$154,"&gt;0"))</f>
        <v/>
      </c>
    </row>
    <row r="73">
      <c r="A73" s="7">
        <f>IF('02_Buyers'!$A70="","",'02_Buyers'!$A70)</f>
        <v/>
      </c>
      <c r="B73" s="7">
        <f>IF($A73="","",'02_Buyers'!$S70)</f>
        <v/>
      </c>
      <c r="C73" s="7">
        <f>IF($A73="","",'02_Buyers'!$AK70)</f>
        <v/>
      </c>
      <c r="D73" s="44">
        <f>IF($A73="",0,'02_Buyers'!$BB70)</f>
        <v/>
      </c>
      <c r="E73" s="44">
        <f>IF($A73="",0,'02_Buyers'!$BC70)</f>
        <v/>
      </c>
      <c r="F73" s="65" t="n">
        <v>0</v>
      </c>
      <c r="G73" s="61">
        <f>IF($A73="",0,'02_Buyers'!$BD70)</f>
        <v/>
      </c>
      <c r="H73" s="66">
        <f>IF($A73="",0,'02_Buyers'!$BE70)</f>
        <v/>
      </c>
      <c r="I73" s="44">
        <f>IF($A73="",0,'02_Buyers'!$AB70)</f>
        <v/>
      </c>
      <c r="J73" s="44">
        <f>IF($A73="","",F73-I73)</f>
        <v/>
      </c>
      <c r="K73" s="67">
        <f>IF(OR($A73="",I73&lt;=0),"",J73/I73)</f>
        <v/>
      </c>
      <c r="L73" s="7">
        <f>IF($A73="","",IF(M73="대상 아님","대상 아님(L/C·선수금)",IF(AND(I73&gt;0,K73&lt;=-0.3),"감액 30%↑ — 사람 승인 필요",IF(J73&gt;0,"증액 — 전결권자 승인","유지·소폭 감액"))))</f>
        <v/>
      </c>
      <c r="M73" s="7">
        <f>IF($A73="","",'02_Buyers'!$BA70)</f>
        <v/>
      </c>
      <c r="N73" s="7">
        <f>IF(OR($A73="",M73="대상 아님"),"",IF(F73&lt;=50000,"채권관리팀장",IF(F73&lt;=200000,"영업본부장","대표이사")))</f>
        <v/>
      </c>
      <c r="O73" s="7">
        <f>IF($A73="","",'02_Buyers'!$AG70)</f>
        <v/>
      </c>
      <c r="P73" s="48" t="n"/>
      <c r="Q73" s="44">
        <f>IF(OR($A73="",P73=""),"",F73-P73)</f>
        <v/>
      </c>
      <c r="R73" s="45">
        <f>IF(OR($A73="",D73&lt;=0),"",COUNTIFS($G$5:$G$154,G73,$D$5:$D$154,"&gt;0"))</f>
        <v/>
      </c>
    </row>
    <row r="74">
      <c r="A74" s="7">
        <f>IF('02_Buyers'!$A71="","",'02_Buyers'!$A71)</f>
        <v/>
      </c>
      <c r="B74" s="7">
        <f>IF($A74="","",'02_Buyers'!$S71)</f>
        <v/>
      </c>
      <c r="C74" s="7">
        <f>IF($A74="","",'02_Buyers'!$AK71)</f>
        <v/>
      </c>
      <c r="D74" s="44">
        <f>IF($A74="",0,'02_Buyers'!$BB71)</f>
        <v/>
      </c>
      <c r="E74" s="44">
        <f>IF($A74="",0,'02_Buyers'!$BC71)</f>
        <v/>
      </c>
      <c r="F74" s="65" t="n">
        <v>0</v>
      </c>
      <c r="G74" s="61">
        <f>IF($A74="",0,'02_Buyers'!$BD71)</f>
        <v/>
      </c>
      <c r="H74" s="66">
        <f>IF($A74="",0,'02_Buyers'!$BE71)</f>
        <v/>
      </c>
      <c r="I74" s="44">
        <f>IF($A74="",0,'02_Buyers'!$AB71)</f>
        <v/>
      </c>
      <c r="J74" s="44">
        <f>IF($A74="","",F74-I74)</f>
        <v/>
      </c>
      <c r="K74" s="67">
        <f>IF(OR($A74="",I74&lt;=0),"",J74/I74)</f>
        <v/>
      </c>
      <c r="L74" s="7">
        <f>IF($A74="","",IF(M74="대상 아님","대상 아님(L/C·선수금)",IF(AND(I74&gt;0,K74&lt;=-0.3),"감액 30%↑ — 사람 승인 필요",IF(J74&gt;0,"증액 — 전결권자 승인","유지·소폭 감액"))))</f>
        <v/>
      </c>
      <c r="M74" s="7">
        <f>IF($A74="","",'02_Buyers'!$BA71)</f>
        <v/>
      </c>
      <c r="N74" s="7">
        <f>IF(OR($A74="",M74="대상 아님"),"",IF(F74&lt;=50000,"채권관리팀장",IF(F74&lt;=200000,"영업본부장","대표이사")))</f>
        <v/>
      </c>
      <c r="O74" s="7">
        <f>IF($A74="","",'02_Buyers'!$AG71)</f>
        <v/>
      </c>
      <c r="P74" s="48" t="n"/>
      <c r="Q74" s="44">
        <f>IF(OR($A74="",P74=""),"",F74-P74)</f>
        <v/>
      </c>
      <c r="R74" s="45">
        <f>IF(OR($A74="",D74&lt;=0),"",COUNTIFS($G$5:$G$154,G74,$D$5:$D$154,"&gt;0"))</f>
        <v/>
      </c>
    </row>
    <row r="75">
      <c r="A75" s="7">
        <f>IF('02_Buyers'!$A72="","",'02_Buyers'!$A72)</f>
        <v/>
      </c>
      <c r="B75" s="7">
        <f>IF($A75="","",'02_Buyers'!$S72)</f>
        <v/>
      </c>
      <c r="C75" s="7">
        <f>IF($A75="","",'02_Buyers'!$AK72)</f>
        <v/>
      </c>
      <c r="D75" s="44">
        <f>IF($A75="",0,'02_Buyers'!$BB72)</f>
        <v/>
      </c>
      <c r="E75" s="44">
        <f>IF($A75="",0,'02_Buyers'!$BC72)</f>
        <v/>
      </c>
      <c r="F75" s="65" t="n">
        <v>0</v>
      </c>
      <c r="G75" s="61">
        <f>IF($A75="",0,'02_Buyers'!$BD72)</f>
        <v/>
      </c>
      <c r="H75" s="66">
        <f>IF($A75="",0,'02_Buyers'!$BE72)</f>
        <v/>
      </c>
      <c r="I75" s="44">
        <f>IF($A75="",0,'02_Buyers'!$AB72)</f>
        <v/>
      </c>
      <c r="J75" s="44">
        <f>IF($A75="","",F75-I75)</f>
        <v/>
      </c>
      <c r="K75" s="67">
        <f>IF(OR($A75="",I75&lt;=0),"",J75/I75)</f>
        <v/>
      </c>
      <c r="L75" s="7">
        <f>IF($A75="","",IF(M75="대상 아님","대상 아님(L/C·선수금)",IF(AND(I75&gt;0,K75&lt;=-0.3),"감액 30%↑ — 사람 승인 필요",IF(J75&gt;0,"증액 — 전결권자 승인","유지·소폭 감액"))))</f>
        <v/>
      </c>
      <c r="M75" s="7">
        <f>IF($A75="","",'02_Buyers'!$BA72)</f>
        <v/>
      </c>
      <c r="N75" s="7">
        <f>IF(OR($A75="",M75="대상 아님"),"",IF(F75&lt;=50000,"채권관리팀장",IF(F75&lt;=200000,"영업본부장","대표이사")))</f>
        <v/>
      </c>
      <c r="O75" s="7">
        <f>IF($A75="","",'02_Buyers'!$AG72)</f>
        <v/>
      </c>
      <c r="P75" s="48" t="n"/>
      <c r="Q75" s="44">
        <f>IF(OR($A75="",P75=""),"",F75-P75)</f>
        <v/>
      </c>
      <c r="R75" s="45">
        <f>IF(OR($A75="",D75&lt;=0),"",COUNTIFS($G$5:$G$154,G75,$D$5:$D$154,"&gt;0"))</f>
        <v/>
      </c>
    </row>
    <row r="76">
      <c r="A76" s="7">
        <f>IF('02_Buyers'!$A73="","",'02_Buyers'!$A73)</f>
        <v/>
      </c>
      <c r="B76" s="7">
        <f>IF($A76="","",'02_Buyers'!$S73)</f>
        <v/>
      </c>
      <c r="C76" s="7">
        <f>IF($A76="","",'02_Buyers'!$AK73)</f>
        <v/>
      </c>
      <c r="D76" s="44">
        <f>IF($A76="",0,'02_Buyers'!$BB73)</f>
        <v/>
      </c>
      <c r="E76" s="44">
        <f>IF($A76="",0,'02_Buyers'!$BC73)</f>
        <v/>
      </c>
      <c r="F76" s="65" t="n">
        <v>0</v>
      </c>
      <c r="G76" s="61">
        <f>IF($A76="",0,'02_Buyers'!$BD73)</f>
        <v/>
      </c>
      <c r="H76" s="66">
        <f>IF($A76="",0,'02_Buyers'!$BE73)</f>
        <v/>
      </c>
      <c r="I76" s="44">
        <f>IF($A76="",0,'02_Buyers'!$AB73)</f>
        <v/>
      </c>
      <c r="J76" s="44">
        <f>IF($A76="","",F76-I76)</f>
        <v/>
      </c>
      <c r="K76" s="67">
        <f>IF(OR($A76="",I76&lt;=0),"",J76/I76)</f>
        <v/>
      </c>
      <c r="L76" s="7">
        <f>IF($A76="","",IF(M76="대상 아님","대상 아님(L/C·선수금)",IF(AND(I76&gt;0,K76&lt;=-0.3),"감액 30%↑ — 사람 승인 필요",IF(J76&gt;0,"증액 — 전결권자 승인","유지·소폭 감액"))))</f>
        <v/>
      </c>
      <c r="M76" s="7">
        <f>IF($A76="","",'02_Buyers'!$BA73)</f>
        <v/>
      </c>
      <c r="N76" s="7">
        <f>IF(OR($A76="",M76="대상 아님"),"",IF(F76&lt;=50000,"채권관리팀장",IF(F76&lt;=200000,"영업본부장","대표이사")))</f>
        <v/>
      </c>
      <c r="O76" s="7">
        <f>IF($A76="","",'02_Buyers'!$AG73)</f>
        <v/>
      </c>
      <c r="P76" s="48" t="n"/>
      <c r="Q76" s="44">
        <f>IF(OR($A76="",P76=""),"",F76-P76)</f>
        <v/>
      </c>
      <c r="R76" s="45">
        <f>IF(OR($A76="",D76&lt;=0),"",COUNTIFS($G$5:$G$154,G76,$D$5:$D$154,"&gt;0"))</f>
        <v/>
      </c>
    </row>
    <row r="77">
      <c r="A77" s="7">
        <f>IF('02_Buyers'!$A74="","",'02_Buyers'!$A74)</f>
        <v/>
      </c>
      <c r="B77" s="7">
        <f>IF($A77="","",'02_Buyers'!$S74)</f>
        <v/>
      </c>
      <c r="C77" s="7">
        <f>IF($A77="","",'02_Buyers'!$AK74)</f>
        <v/>
      </c>
      <c r="D77" s="44">
        <f>IF($A77="",0,'02_Buyers'!$BB74)</f>
        <v/>
      </c>
      <c r="E77" s="44">
        <f>IF($A77="",0,'02_Buyers'!$BC74)</f>
        <v/>
      </c>
      <c r="F77" s="65" t="n">
        <v>0</v>
      </c>
      <c r="G77" s="61">
        <f>IF($A77="",0,'02_Buyers'!$BD74)</f>
        <v/>
      </c>
      <c r="H77" s="66">
        <f>IF($A77="",0,'02_Buyers'!$BE74)</f>
        <v/>
      </c>
      <c r="I77" s="44">
        <f>IF($A77="",0,'02_Buyers'!$AB74)</f>
        <v/>
      </c>
      <c r="J77" s="44">
        <f>IF($A77="","",F77-I77)</f>
        <v/>
      </c>
      <c r="K77" s="67">
        <f>IF(OR($A77="",I77&lt;=0),"",J77/I77)</f>
        <v/>
      </c>
      <c r="L77" s="7">
        <f>IF($A77="","",IF(M77="대상 아님","대상 아님(L/C·선수금)",IF(AND(I77&gt;0,K77&lt;=-0.3),"감액 30%↑ — 사람 승인 필요",IF(J77&gt;0,"증액 — 전결권자 승인","유지·소폭 감액"))))</f>
        <v/>
      </c>
      <c r="M77" s="7">
        <f>IF($A77="","",'02_Buyers'!$BA74)</f>
        <v/>
      </c>
      <c r="N77" s="7">
        <f>IF(OR($A77="",M77="대상 아님"),"",IF(F77&lt;=50000,"채권관리팀장",IF(F77&lt;=200000,"영업본부장","대표이사")))</f>
        <v/>
      </c>
      <c r="O77" s="7">
        <f>IF($A77="","",'02_Buyers'!$AG74)</f>
        <v/>
      </c>
      <c r="P77" s="48" t="n"/>
      <c r="Q77" s="44">
        <f>IF(OR($A77="",P77=""),"",F77-P77)</f>
        <v/>
      </c>
      <c r="R77" s="45">
        <f>IF(OR($A77="",D77&lt;=0),"",COUNTIFS($G$5:$G$154,G77,$D$5:$D$154,"&gt;0"))</f>
        <v/>
      </c>
    </row>
    <row r="78">
      <c r="A78" s="7">
        <f>IF('02_Buyers'!$A75="","",'02_Buyers'!$A75)</f>
        <v/>
      </c>
      <c r="B78" s="7">
        <f>IF($A78="","",'02_Buyers'!$S75)</f>
        <v/>
      </c>
      <c r="C78" s="7">
        <f>IF($A78="","",'02_Buyers'!$AK75)</f>
        <v/>
      </c>
      <c r="D78" s="44">
        <f>IF($A78="",0,'02_Buyers'!$BB75)</f>
        <v/>
      </c>
      <c r="E78" s="44">
        <f>IF($A78="",0,'02_Buyers'!$BC75)</f>
        <v/>
      </c>
      <c r="F78" s="65" t="n">
        <v>0</v>
      </c>
      <c r="G78" s="61">
        <f>IF($A78="",0,'02_Buyers'!$BD75)</f>
        <v/>
      </c>
      <c r="H78" s="66">
        <f>IF($A78="",0,'02_Buyers'!$BE75)</f>
        <v/>
      </c>
      <c r="I78" s="44">
        <f>IF($A78="",0,'02_Buyers'!$AB75)</f>
        <v/>
      </c>
      <c r="J78" s="44">
        <f>IF($A78="","",F78-I78)</f>
        <v/>
      </c>
      <c r="K78" s="67">
        <f>IF(OR($A78="",I78&lt;=0),"",J78/I78)</f>
        <v/>
      </c>
      <c r="L78" s="7">
        <f>IF($A78="","",IF(M78="대상 아님","대상 아님(L/C·선수금)",IF(AND(I78&gt;0,K78&lt;=-0.3),"감액 30%↑ — 사람 승인 필요",IF(J78&gt;0,"증액 — 전결권자 승인","유지·소폭 감액"))))</f>
        <v/>
      </c>
      <c r="M78" s="7">
        <f>IF($A78="","",'02_Buyers'!$BA75)</f>
        <v/>
      </c>
      <c r="N78" s="7">
        <f>IF(OR($A78="",M78="대상 아님"),"",IF(F78&lt;=50000,"채권관리팀장",IF(F78&lt;=200000,"영업본부장","대표이사")))</f>
        <v/>
      </c>
      <c r="O78" s="7">
        <f>IF($A78="","",'02_Buyers'!$AG75)</f>
        <v/>
      </c>
      <c r="P78" s="48" t="n"/>
      <c r="Q78" s="44">
        <f>IF(OR($A78="",P78=""),"",F78-P78)</f>
        <v/>
      </c>
      <c r="R78" s="45">
        <f>IF(OR($A78="",D78&lt;=0),"",COUNTIFS($G$5:$G$154,G78,$D$5:$D$154,"&gt;0"))</f>
        <v/>
      </c>
    </row>
    <row r="79">
      <c r="A79" s="7">
        <f>IF('02_Buyers'!$A76="","",'02_Buyers'!$A76)</f>
        <v/>
      </c>
      <c r="B79" s="7">
        <f>IF($A79="","",'02_Buyers'!$S76)</f>
        <v/>
      </c>
      <c r="C79" s="7">
        <f>IF($A79="","",'02_Buyers'!$AK76)</f>
        <v/>
      </c>
      <c r="D79" s="44">
        <f>IF($A79="",0,'02_Buyers'!$BB76)</f>
        <v/>
      </c>
      <c r="E79" s="44">
        <f>IF($A79="",0,'02_Buyers'!$BC76)</f>
        <v/>
      </c>
      <c r="F79" s="65" t="n">
        <v>0</v>
      </c>
      <c r="G79" s="61">
        <f>IF($A79="",0,'02_Buyers'!$BD76)</f>
        <v/>
      </c>
      <c r="H79" s="66">
        <f>IF($A79="",0,'02_Buyers'!$BE76)</f>
        <v/>
      </c>
      <c r="I79" s="44">
        <f>IF($A79="",0,'02_Buyers'!$AB76)</f>
        <v/>
      </c>
      <c r="J79" s="44">
        <f>IF($A79="","",F79-I79)</f>
        <v/>
      </c>
      <c r="K79" s="67">
        <f>IF(OR($A79="",I79&lt;=0),"",J79/I79)</f>
        <v/>
      </c>
      <c r="L79" s="7">
        <f>IF($A79="","",IF(M79="대상 아님","대상 아님(L/C·선수금)",IF(AND(I79&gt;0,K79&lt;=-0.3),"감액 30%↑ — 사람 승인 필요",IF(J79&gt;0,"증액 — 전결권자 승인","유지·소폭 감액"))))</f>
        <v/>
      </c>
      <c r="M79" s="7">
        <f>IF($A79="","",'02_Buyers'!$BA76)</f>
        <v/>
      </c>
      <c r="N79" s="7">
        <f>IF(OR($A79="",M79="대상 아님"),"",IF(F79&lt;=50000,"채권관리팀장",IF(F79&lt;=200000,"영업본부장","대표이사")))</f>
        <v/>
      </c>
      <c r="O79" s="7">
        <f>IF($A79="","",'02_Buyers'!$AG76)</f>
        <v/>
      </c>
      <c r="P79" s="48" t="n"/>
      <c r="Q79" s="44">
        <f>IF(OR($A79="",P79=""),"",F79-P79)</f>
        <v/>
      </c>
      <c r="R79" s="45">
        <f>IF(OR($A79="",D79&lt;=0),"",COUNTIFS($G$5:$G$154,G79,$D$5:$D$154,"&gt;0"))</f>
        <v/>
      </c>
    </row>
    <row r="80">
      <c r="A80" s="7">
        <f>IF('02_Buyers'!$A77="","",'02_Buyers'!$A77)</f>
        <v/>
      </c>
      <c r="B80" s="7">
        <f>IF($A80="","",'02_Buyers'!$S77)</f>
        <v/>
      </c>
      <c r="C80" s="7">
        <f>IF($A80="","",'02_Buyers'!$AK77)</f>
        <v/>
      </c>
      <c r="D80" s="44">
        <f>IF($A80="",0,'02_Buyers'!$BB77)</f>
        <v/>
      </c>
      <c r="E80" s="44">
        <f>IF($A80="",0,'02_Buyers'!$BC77)</f>
        <v/>
      </c>
      <c r="F80" s="65" t="n">
        <v>0</v>
      </c>
      <c r="G80" s="61">
        <f>IF($A80="",0,'02_Buyers'!$BD77)</f>
        <v/>
      </c>
      <c r="H80" s="66">
        <f>IF($A80="",0,'02_Buyers'!$BE77)</f>
        <v/>
      </c>
      <c r="I80" s="44">
        <f>IF($A80="",0,'02_Buyers'!$AB77)</f>
        <v/>
      </c>
      <c r="J80" s="44">
        <f>IF($A80="","",F80-I80)</f>
        <v/>
      </c>
      <c r="K80" s="67">
        <f>IF(OR($A80="",I80&lt;=0),"",J80/I80)</f>
        <v/>
      </c>
      <c r="L80" s="7">
        <f>IF($A80="","",IF(M80="대상 아님","대상 아님(L/C·선수금)",IF(AND(I80&gt;0,K80&lt;=-0.3),"감액 30%↑ — 사람 승인 필요",IF(J80&gt;0,"증액 — 전결권자 승인","유지·소폭 감액"))))</f>
        <v/>
      </c>
      <c r="M80" s="7">
        <f>IF($A80="","",'02_Buyers'!$BA77)</f>
        <v/>
      </c>
      <c r="N80" s="7">
        <f>IF(OR($A80="",M80="대상 아님"),"",IF(F80&lt;=50000,"채권관리팀장",IF(F80&lt;=200000,"영업본부장","대표이사")))</f>
        <v/>
      </c>
      <c r="O80" s="7">
        <f>IF($A80="","",'02_Buyers'!$AG77)</f>
        <v/>
      </c>
      <c r="P80" s="48" t="n"/>
      <c r="Q80" s="44">
        <f>IF(OR($A80="",P80=""),"",F80-P80)</f>
        <v/>
      </c>
      <c r="R80" s="45">
        <f>IF(OR($A80="",D80&lt;=0),"",COUNTIFS($G$5:$G$154,G80,$D$5:$D$154,"&gt;0"))</f>
        <v/>
      </c>
    </row>
    <row r="81">
      <c r="A81" s="7">
        <f>IF('02_Buyers'!$A78="","",'02_Buyers'!$A78)</f>
        <v/>
      </c>
      <c r="B81" s="7">
        <f>IF($A81="","",'02_Buyers'!$S78)</f>
        <v/>
      </c>
      <c r="C81" s="7">
        <f>IF($A81="","",'02_Buyers'!$AK78)</f>
        <v/>
      </c>
      <c r="D81" s="44">
        <f>IF($A81="",0,'02_Buyers'!$BB78)</f>
        <v/>
      </c>
      <c r="E81" s="44">
        <f>IF($A81="",0,'02_Buyers'!$BC78)</f>
        <v/>
      </c>
      <c r="F81" s="65" t="n">
        <v>0</v>
      </c>
      <c r="G81" s="61">
        <f>IF($A81="",0,'02_Buyers'!$BD78)</f>
        <v/>
      </c>
      <c r="H81" s="66">
        <f>IF($A81="",0,'02_Buyers'!$BE78)</f>
        <v/>
      </c>
      <c r="I81" s="44">
        <f>IF($A81="",0,'02_Buyers'!$AB78)</f>
        <v/>
      </c>
      <c r="J81" s="44">
        <f>IF($A81="","",F81-I81)</f>
        <v/>
      </c>
      <c r="K81" s="67">
        <f>IF(OR($A81="",I81&lt;=0),"",J81/I81)</f>
        <v/>
      </c>
      <c r="L81" s="7">
        <f>IF($A81="","",IF(M81="대상 아님","대상 아님(L/C·선수금)",IF(AND(I81&gt;0,K81&lt;=-0.3),"감액 30%↑ — 사람 승인 필요",IF(J81&gt;0,"증액 — 전결권자 승인","유지·소폭 감액"))))</f>
        <v/>
      </c>
      <c r="M81" s="7">
        <f>IF($A81="","",'02_Buyers'!$BA78)</f>
        <v/>
      </c>
      <c r="N81" s="7">
        <f>IF(OR($A81="",M81="대상 아님"),"",IF(F81&lt;=50000,"채권관리팀장",IF(F81&lt;=200000,"영업본부장","대표이사")))</f>
        <v/>
      </c>
      <c r="O81" s="7">
        <f>IF($A81="","",'02_Buyers'!$AG78)</f>
        <v/>
      </c>
      <c r="P81" s="48" t="n"/>
      <c r="Q81" s="44">
        <f>IF(OR($A81="",P81=""),"",F81-P81)</f>
        <v/>
      </c>
      <c r="R81" s="45">
        <f>IF(OR($A81="",D81&lt;=0),"",COUNTIFS($G$5:$G$154,G81,$D$5:$D$154,"&gt;0"))</f>
        <v/>
      </c>
    </row>
    <row r="82">
      <c r="A82" s="7">
        <f>IF('02_Buyers'!$A79="","",'02_Buyers'!$A79)</f>
        <v/>
      </c>
      <c r="B82" s="7">
        <f>IF($A82="","",'02_Buyers'!$S79)</f>
        <v/>
      </c>
      <c r="C82" s="7">
        <f>IF($A82="","",'02_Buyers'!$AK79)</f>
        <v/>
      </c>
      <c r="D82" s="44">
        <f>IF($A82="",0,'02_Buyers'!$BB79)</f>
        <v/>
      </c>
      <c r="E82" s="44">
        <f>IF($A82="",0,'02_Buyers'!$BC79)</f>
        <v/>
      </c>
      <c r="F82" s="65" t="n">
        <v>0</v>
      </c>
      <c r="G82" s="61">
        <f>IF($A82="",0,'02_Buyers'!$BD79)</f>
        <v/>
      </c>
      <c r="H82" s="66">
        <f>IF($A82="",0,'02_Buyers'!$BE79)</f>
        <v/>
      </c>
      <c r="I82" s="44">
        <f>IF($A82="",0,'02_Buyers'!$AB79)</f>
        <v/>
      </c>
      <c r="J82" s="44">
        <f>IF($A82="","",F82-I82)</f>
        <v/>
      </c>
      <c r="K82" s="67">
        <f>IF(OR($A82="",I82&lt;=0),"",J82/I82)</f>
        <v/>
      </c>
      <c r="L82" s="7">
        <f>IF($A82="","",IF(M82="대상 아님","대상 아님(L/C·선수금)",IF(AND(I82&gt;0,K82&lt;=-0.3),"감액 30%↑ — 사람 승인 필요",IF(J82&gt;0,"증액 — 전결권자 승인","유지·소폭 감액"))))</f>
        <v/>
      </c>
      <c r="M82" s="7">
        <f>IF($A82="","",'02_Buyers'!$BA79)</f>
        <v/>
      </c>
      <c r="N82" s="7">
        <f>IF(OR($A82="",M82="대상 아님"),"",IF(F82&lt;=50000,"채권관리팀장",IF(F82&lt;=200000,"영업본부장","대표이사")))</f>
        <v/>
      </c>
      <c r="O82" s="7">
        <f>IF($A82="","",'02_Buyers'!$AG79)</f>
        <v/>
      </c>
      <c r="P82" s="48" t="n"/>
      <c r="Q82" s="44">
        <f>IF(OR($A82="",P82=""),"",F82-P82)</f>
        <v/>
      </c>
      <c r="R82" s="45">
        <f>IF(OR($A82="",D82&lt;=0),"",COUNTIFS($G$5:$G$154,G82,$D$5:$D$154,"&gt;0"))</f>
        <v/>
      </c>
    </row>
    <row r="83">
      <c r="A83" s="7">
        <f>IF('02_Buyers'!$A80="","",'02_Buyers'!$A80)</f>
        <v/>
      </c>
      <c r="B83" s="7">
        <f>IF($A83="","",'02_Buyers'!$S80)</f>
        <v/>
      </c>
      <c r="C83" s="7">
        <f>IF($A83="","",'02_Buyers'!$AK80)</f>
        <v/>
      </c>
      <c r="D83" s="44">
        <f>IF($A83="",0,'02_Buyers'!$BB80)</f>
        <v/>
      </c>
      <c r="E83" s="44">
        <f>IF($A83="",0,'02_Buyers'!$BC80)</f>
        <v/>
      </c>
      <c r="F83" s="65" t="n">
        <v>0</v>
      </c>
      <c r="G83" s="61">
        <f>IF($A83="",0,'02_Buyers'!$BD80)</f>
        <v/>
      </c>
      <c r="H83" s="66">
        <f>IF($A83="",0,'02_Buyers'!$BE80)</f>
        <v/>
      </c>
      <c r="I83" s="44">
        <f>IF($A83="",0,'02_Buyers'!$AB80)</f>
        <v/>
      </c>
      <c r="J83" s="44">
        <f>IF($A83="","",F83-I83)</f>
        <v/>
      </c>
      <c r="K83" s="67">
        <f>IF(OR($A83="",I83&lt;=0),"",J83/I83)</f>
        <v/>
      </c>
      <c r="L83" s="7">
        <f>IF($A83="","",IF(M83="대상 아님","대상 아님(L/C·선수금)",IF(AND(I83&gt;0,K83&lt;=-0.3),"감액 30%↑ — 사람 승인 필요",IF(J83&gt;0,"증액 — 전결권자 승인","유지·소폭 감액"))))</f>
        <v/>
      </c>
      <c r="M83" s="7">
        <f>IF($A83="","",'02_Buyers'!$BA80)</f>
        <v/>
      </c>
      <c r="N83" s="7">
        <f>IF(OR($A83="",M83="대상 아님"),"",IF(F83&lt;=50000,"채권관리팀장",IF(F83&lt;=200000,"영업본부장","대표이사")))</f>
        <v/>
      </c>
      <c r="O83" s="7">
        <f>IF($A83="","",'02_Buyers'!$AG80)</f>
        <v/>
      </c>
      <c r="P83" s="48" t="n"/>
      <c r="Q83" s="44">
        <f>IF(OR($A83="",P83=""),"",F83-P83)</f>
        <v/>
      </c>
      <c r="R83" s="45">
        <f>IF(OR($A83="",D83&lt;=0),"",COUNTIFS($G$5:$G$154,G83,$D$5:$D$154,"&gt;0"))</f>
        <v/>
      </c>
    </row>
    <row r="84">
      <c r="A84" s="7">
        <f>IF('02_Buyers'!$A81="","",'02_Buyers'!$A81)</f>
        <v/>
      </c>
      <c r="B84" s="7">
        <f>IF($A84="","",'02_Buyers'!$S81)</f>
        <v/>
      </c>
      <c r="C84" s="7">
        <f>IF($A84="","",'02_Buyers'!$AK81)</f>
        <v/>
      </c>
      <c r="D84" s="44">
        <f>IF($A84="",0,'02_Buyers'!$BB81)</f>
        <v/>
      </c>
      <c r="E84" s="44">
        <f>IF($A84="",0,'02_Buyers'!$BC81)</f>
        <v/>
      </c>
      <c r="F84" s="65" t="n">
        <v>0</v>
      </c>
      <c r="G84" s="61">
        <f>IF($A84="",0,'02_Buyers'!$BD81)</f>
        <v/>
      </c>
      <c r="H84" s="66">
        <f>IF($A84="",0,'02_Buyers'!$BE81)</f>
        <v/>
      </c>
      <c r="I84" s="44">
        <f>IF($A84="",0,'02_Buyers'!$AB81)</f>
        <v/>
      </c>
      <c r="J84" s="44">
        <f>IF($A84="","",F84-I84)</f>
        <v/>
      </c>
      <c r="K84" s="67">
        <f>IF(OR($A84="",I84&lt;=0),"",J84/I84)</f>
        <v/>
      </c>
      <c r="L84" s="7">
        <f>IF($A84="","",IF(M84="대상 아님","대상 아님(L/C·선수금)",IF(AND(I84&gt;0,K84&lt;=-0.3),"감액 30%↑ — 사람 승인 필요",IF(J84&gt;0,"증액 — 전결권자 승인","유지·소폭 감액"))))</f>
        <v/>
      </c>
      <c r="M84" s="7">
        <f>IF($A84="","",'02_Buyers'!$BA81)</f>
        <v/>
      </c>
      <c r="N84" s="7">
        <f>IF(OR($A84="",M84="대상 아님"),"",IF(F84&lt;=50000,"채권관리팀장",IF(F84&lt;=200000,"영업본부장","대표이사")))</f>
        <v/>
      </c>
      <c r="O84" s="7">
        <f>IF($A84="","",'02_Buyers'!$AG81)</f>
        <v/>
      </c>
      <c r="P84" s="48" t="n"/>
      <c r="Q84" s="44">
        <f>IF(OR($A84="",P84=""),"",F84-P84)</f>
        <v/>
      </c>
      <c r="R84" s="45">
        <f>IF(OR($A84="",D84&lt;=0),"",COUNTIFS($G$5:$G$154,G84,$D$5:$D$154,"&gt;0"))</f>
        <v/>
      </c>
    </row>
    <row r="85">
      <c r="A85" s="7">
        <f>IF('02_Buyers'!$A82="","",'02_Buyers'!$A82)</f>
        <v/>
      </c>
      <c r="B85" s="7">
        <f>IF($A85="","",'02_Buyers'!$S82)</f>
        <v/>
      </c>
      <c r="C85" s="7">
        <f>IF($A85="","",'02_Buyers'!$AK82)</f>
        <v/>
      </c>
      <c r="D85" s="44">
        <f>IF($A85="",0,'02_Buyers'!$BB82)</f>
        <v/>
      </c>
      <c r="E85" s="44">
        <f>IF($A85="",0,'02_Buyers'!$BC82)</f>
        <v/>
      </c>
      <c r="F85" s="65" t="n">
        <v>0</v>
      </c>
      <c r="G85" s="61">
        <f>IF($A85="",0,'02_Buyers'!$BD82)</f>
        <v/>
      </c>
      <c r="H85" s="66">
        <f>IF($A85="",0,'02_Buyers'!$BE82)</f>
        <v/>
      </c>
      <c r="I85" s="44">
        <f>IF($A85="",0,'02_Buyers'!$AB82)</f>
        <v/>
      </c>
      <c r="J85" s="44">
        <f>IF($A85="","",F85-I85)</f>
        <v/>
      </c>
      <c r="K85" s="67">
        <f>IF(OR($A85="",I85&lt;=0),"",J85/I85)</f>
        <v/>
      </c>
      <c r="L85" s="7">
        <f>IF($A85="","",IF(M85="대상 아님","대상 아님(L/C·선수금)",IF(AND(I85&gt;0,K85&lt;=-0.3),"감액 30%↑ — 사람 승인 필요",IF(J85&gt;0,"증액 — 전결권자 승인","유지·소폭 감액"))))</f>
        <v/>
      </c>
      <c r="M85" s="7">
        <f>IF($A85="","",'02_Buyers'!$BA82)</f>
        <v/>
      </c>
      <c r="N85" s="7">
        <f>IF(OR($A85="",M85="대상 아님"),"",IF(F85&lt;=50000,"채권관리팀장",IF(F85&lt;=200000,"영업본부장","대표이사")))</f>
        <v/>
      </c>
      <c r="O85" s="7">
        <f>IF($A85="","",'02_Buyers'!$AG82)</f>
        <v/>
      </c>
      <c r="P85" s="48" t="n"/>
      <c r="Q85" s="44">
        <f>IF(OR($A85="",P85=""),"",F85-P85)</f>
        <v/>
      </c>
      <c r="R85" s="45">
        <f>IF(OR($A85="",D85&lt;=0),"",COUNTIFS($G$5:$G$154,G85,$D$5:$D$154,"&gt;0"))</f>
        <v/>
      </c>
    </row>
    <row r="86">
      <c r="A86" s="7">
        <f>IF('02_Buyers'!$A83="","",'02_Buyers'!$A83)</f>
        <v/>
      </c>
      <c r="B86" s="7">
        <f>IF($A86="","",'02_Buyers'!$S83)</f>
        <v/>
      </c>
      <c r="C86" s="7">
        <f>IF($A86="","",'02_Buyers'!$AK83)</f>
        <v/>
      </c>
      <c r="D86" s="44">
        <f>IF($A86="",0,'02_Buyers'!$BB83)</f>
        <v/>
      </c>
      <c r="E86" s="44">
        <f>IF($A86="",0,'02_Buyers'!$BC83)</f>
        <v/>
      </c>
      <c r="F86" s="65" t="n">
        <v>0</v>
      </c>
      <c r="G86" s="61">
        <f>IF($A86="",0,'02_Buyers'!$BD83)</f>
        <v/>
      </c>
      <c r="H86" s="66">
        <f>IF($A86="",0,'02_Buyers'!$BE83)</f>
        <v/>
      </c>
      <c r="I86" s="44">
        <f>IF($A86="",0,'02_Buyers'!$AB83)</f>
        <v/>
      </c>
      <c r="J86" s="44">
        <f>IF($A86="","",F86-I86)</f>
        <v/>
      </c>
      <c r="K86" s="67">
        <f>IF(OR($A86="",I86&lt;=0),"",J86/I86)</f>
        <v/>
      </c>
      <c r="L86" s="7">
        <f>IF($A86="","",IF(M86="대상 아님","대상 아님(L/C·선수금)",IF(AND(I86&gt;0,K86&lt;=-0.3),"감액 30%↑ — 사람 승인 필요",IF(J86&gt;0,"증액 — 전결권자 승인","유지·소폭 감액"))))</f>
        <v/>
      </c>
      <c r="M86" s="7">
        <f>IF($A86="","",'02_Buyers'!$BA83)</f>
        <v/>
      </c>
      <c r="N86" s="7">
        <f>IF(OR($A86="",M86="대상 아님"),"",IF(F86&lt;=50000,"채권관리팀장",IF(F86&lt;=200000,"영업본부장","대표이사")))</f>
        <v/>
      </c>
      <c r="O86" s="7">
        <f>IF($A86="","",'02_Buyers'!$AG83)</f>
        <v/>
      </c>
      <c r="P86" s="48" t="n"/>
      <c r="Q86" s="44">
        <f>IF(OR($A86="",P86=""),"",F86-P86)</f>
        <v/>
      </c>
      <c r="R86" s="45">
        <f>IF(OR($A86="",D86&lt;=0),"",COUNTIFS($G$5:$G$154,G86,$D$5:$D$154,"&gt;0"))</f>
        <v/>
      </c>
    </row>
    <row r="87">
      <c r="A87" s="7">
        <f>IF('02_Buyers'!$A84="","",'02_Buyers'!$A84)</f>
        <v/>
      </c>
      <c r="B87" s="7">
        <f>IF($A87="","",'02_Buyers'!$S84)</f>
        <v/>
      </c>
      <c r="C87" s="7">
        <f>IF($A87="","",'02_Buyers'!$AK84)</f>
        <v/>
      </c>
      <c r="D87" s="44">
        <f>IF($A87="",0,'02_Buyers'!$BB84)</f>
        <v/>
      </c>
      <c r="E87" s="44">
        <f>IF($A87="",0,'02_Buyers'!$BC84)</f>
        <v/>
      </c>
      <c r="F87" s="65" t="n">
        <v>0</v>
      </c>
      <c r="G87" s="61">
        <f>IF($A87="",0,'02_Buyers'!$BD84)</f>
        <v/>
      </c>
      <c r="H87" s="66">
        <f>IF($A87="",0,'02_Buyers'!$BE84)</f>
        <v/>
      </c>
      <c r="I87" s="44">
        <f>IF($A87="",0,'02_Buyers'!$AB84)</f>
        <v/>
      </c>
      <c r="J87" s="44">
        <f>IF($A87="","",F87-I87)</f>
        <v/>
      </c>
      <c r="K87" s="67">
        <f>IF(OR($A87="",I87&lt;=0),"",J87/I87)</f>
        <v/>
      </c>
      <c r="L87" s="7">
        <f>IF($A87="","",IF(M87="대상 아님","대상 아님(L/C·선수금)",IF(AND(I87&gt;0,K87&lt;=-0.3),"감액 30%↑ — 사람 승인 필요",IF(J87&gt;0,"증액 — 전결권자 승인","유지·소폭 감액"))))</f>
        <v/>
      </c>
      <c r="M87" s="7">
        <f>IF($A87="","",'02_Buyers'!$BA84)</f>
        <v/>
      </c>
      <c r="N87" s="7">
        <f>IF(OR($A87="",M87="대상 아님"),"",IF(F87&lt;=50000,"채권관리팀장",IF(F87&lt;=200000,"영업본부장","대표이사")))</f>
        <v/>
      </c>
      <c r="O87" s="7">
        <f>IF($A87="","",'02_Buyers'!$AG84)</f>
        <v/>
      </c>
      <c r="P87" s="48" t="n"/>
      <c r="Q87" s="44">
        <f>IF(OR($A87="",P87=""),"",F87-P87)</f>
        <v/>
      </c>
      <c r="R87" s="45">
        <f>IF(OR($A87="",D87&lt;=0),"",COUNTIFS($G$5:$G$154,G87,$D$5:$D$154,"&gt;0"))</f>
        <v/>
      </c>
    </row>
    <row r="88">
      <c r="A88" s="7">
        <f>IF('02_Buyers'!$A85="","",'02_Buyers'!$A85)</f>
        <v/>
      </c>
      <c r="B88" s="7">
        <f>IF($A88="","",'02_Buyers'!$S85)</f>
        <v/>
      </c>
      <c r="C88" s="7">
        <f>IF($A88="","",'02_Buyers'!$AK85)</f>
        <v/>
      </c>
      <c r="D88" s="44">
        <f>IF($A88="",0,'02_Buyers'!$BB85)</f>
        <v/>
      </c>
      <c r="E88" s="44">
        <f>IF($A88="",0,'02_Buyers'!$BC85)</f>
        <v/>
      </c>
      <c r="F88" s="65" t="n">
        <v>0</v>
      </c>
      <c r="G88" s="61">
        <f>IF($A88="",0,'02_Buyers'!$BD85)</f>
        <v/>
      </c>
      <c r="H88" s="66">
        <f>IF($A88="",0,'02_Buyers'!$BE85)</f>
        <v/>
      </c>
      <c r="I88" s="44">
        <f>IF($A88="",0,'02_Buyers'!$AB85)</f>
        <v/>
      </c>
      <c r="J88" s="44">
        <f>IF($A88="","",F88-I88)</f>
        <v/>
      </c>
      <c r="K88" s="67">
        <f>IF(OR($A88="",I88&lt;=0),"",J88/I88)</f>
        <v/>
      </c>
      <c r="L88" s="7">
        <f>IF($A88="","",IF(M88="대상 아님","대상 아님(L/C·선수금)",IF(AND(I88&gt;0,K88&lt;=-0.3),"감액 30%↑ — 사람 승인 필요",IF(J88&gt;0,"증액 — 전결권자 승인","유지·소폭 감액"))))</f>
        <v/>
      </c>
      <c r="M88" s="7">
        <f>IF($A88="","",'02_Buyers'!$BA85)</f>
        <v/>
      </c>
      <c r="N88" s="7">
        <f>IF(OR($A88="",M88="대상 아님"),"",IF(F88&lt;=50000,"채권관리팀장",IF(F88&lt;=200000,"영업본부장","대표이사")))</f>
        <v/>
      </c>
      <c r="O88" s="7">
        <f>IF($A88="","",'02_Buyers'!$AG85)</f>
        <v/>
      </c>
      <c r="P88" s="48" t="n"/>
      <c r="Q88" s="44">
        <f>IF(OR($A88="",P88=""),"",F88-P88)</f>
        <v/>
      </c>
      <c r="R88" s="45">
        <f>IF(OR($A88="",D88&lt;=0),"",COUNTIFS($G$5:$G$154,G88,$D$5:$D$154,"&gt;0"))</f>
        <v/>
      </c>
    </row>
    <row r="89">
      <c r="A89" s="7">
        <f>IF('02_Buyers'!$A86="","",'02_Buyers'!$A86)</f>
        <v/>
      </c>
      <c r="B89" s="7">
        <f>IF($A89="","",'02_Buyers'!$S86)</f>
        <v/>
      </c>
      <c r="C89" s="7">
        <f>IF($A89="","",'02_Buyers'!$AK86)</f>
        <v/>
      </c>
      <c r="D89" s="44">
        <f>IF($A89="",0,'02_Buyers'!$BB86)</f>
        <v/>
      </c>
      <c r="E89" s="44">
        <f>IF($A89="",0,'02_Buyers'!$BC86)</f>
        <v/>
      </c>
      <c r="F89" s="65" t="n">
        <v>0</v>
      </c>
      <c r="G89" s="61">
        <f>IF($A89="",0,'02_Buyers'!$BD86)</f>
        <v/>
      </c>
      <c r="H89" s="66">
        <f>IF($A89="",0,'02_Buyers'!$BE86)</f>
        <v/>
      </c>
      <c r="I89" s="44">
        <f>IF($A89="",0,'02_Buyers'!$AB86)</f>
        <v/>
      </c>
      <c r="J89" s="44">
        <f>IF($A89="","",F89-I89)</f>
        <v/>
      </c>
      <c r="K89" s="67">
        <f>IF(OR($A89="",I89&lt;=0),"",J89/I89)</f>
        <v/>
      </c>
      <c r="L89" s="7">
        <f>IF($A89="","",IF(M89="대상 아님","대상 아님(L/C·선수금)",IF(AND(I89&gt;0,K89&lt;=-0.3),"감액 30%↑ — 사람 승인 필요",IF(J89&gt;0,"증액 — 전결권자 승인","유지·소폭 감액"))))</f>
        <v/>
      </c>
      <c r="M89" s="7">
        <f>IF($A89="","",'02_Buyers'!$BA86)</f>
        <v/>
      </c>
      <c r="N89" s="7">
        <f>IF(OR($A89="",M89="대상 아님"),"",IF(F89&lt;=50000,"채권관리팀장",IF(F89&lt;=200000,"영업본부장","대표이사")))</f>
        <v/>
      </c>
      <c r="O89" s="7">
        <f>IF($A89="","",'02_Buyers'!$AG86)</f>
        <v/>
      </c>
      <c r="P89" s="48" t="n"/>
      <c r="Q89" s="44">
        <f>IF(OR($A89="",P89=""),"",F89-P89)</f>
        <v/>
      </c>
      <c r="R89" s="45">
        <f>IF(OR($A89="",D89&lt;=0),"",COUNTIFS($G$5:$G$154,G89,$D$5:$D$154,"&gt;0"))</f>
        <v/>
      </c>
    </row>
    <row r="90">
      <c r="A90" s="7">
        <f>IF('02_Buyers'!$A87="","",'02_Buyers'!$A87)</f>
        <v/>
      </c>
      <c r="B90" s="7">
        <f>IF($A90="","",'02_Buyers'!$S87)</f>
        <v/>
      </c>
      <c r="C90" s="7">
        <f>IF($A90="","",'02_Buyers'!$AK87)</f>
        <v/>
      </c>
      <c r="D90" s="44">
        <f>IF($A90="",0,'02_Buyers'!$BB87)</f>
        <v/>
      </c>
      <c r="E90" s="44">
        <f>IF($A90="",0,'02_Buyers'!$BC87)</f>
        <v/>
      </c>
      <c r="F90" s="65" t="n">
        <v>0</v>
      </c>
      <c r="G90" s="61">
        <f>IF($A90="",0,'02_Buyers'!$BD87)</f>
        <v/>
      </c>
      <c r="H90" s="66">
        <f>IF($A90="",0,'02_Buyers'!$BE87)</f>
        <v/>
      </c>
      <c r="I90" s="44">
        <f>IF($A90="",0,'02_Buyers'!$AB87)</f>
        <v/>
      </c>
      <c r="J90" s="44">
        <f>IF($A90="","",F90-I90)</f>
        <v/>
      </c>
      <c r="K90" s="67">
        <f>IF(OR($A90="",I90&lt;=0),"",J90/I90)</f>
        <v/>
      </c>
      <c r="L90" s="7">
        <f>IF($A90="","",IF(M90="대상 아님","대상 아님(L/C·선수금)",IF(AND(I90&gt;0,K90&lt;=-0.3),"감액 30%↑ — 사람 승인 필요",IF(J90&gt;0,"증액 — 전결권자 승인","유지·소폭 감액"))))</f>
        <v/>
      </c>
      <c r="M90" s="7">
        <f>IF($A90="","",'02_Buyers'!$BA87)</f>
        <v/>
      </c>
      <c r="N90" s="7">
        <f>IF(OR($A90="",M90="대상 아님"),"",IF(F90&lt;=50000,"채권관리팀장",IF(F90&lt;=200000,"영업본부장","대표이사")))</f>
        <v/>
      </c>
      <c r="O90" s="7">
        <f>IF($A90="","",'02_Buyers'!$AG87)</f>
        <v/>
      </c>
      <c r="P90" s="48" t="n"/>
      <c r="Q90" s="44">
        <f>IF(OR($A90="",P90=""),"",F90-P90)</f>
        <v/>
      </c>
      <c r="R90" s="45">
        <f>IF(OR($A90="",D90&lt;=0),"",COUNTIFS($G$5:$G$154,G90,$D$5:$D$154,"&gt;0"))</f>
        <v/>
      </c>
    </row>
    <row r="91">
      <c r="A91" s="7">
        <f>IF('02_Buyers'!$A88="","",'02_Buyers'!$A88)</f>
        <v/>
      </c>
      <c r="B91" s="7">
        <f>IF($A91="","",'02_Buyers'!$S88)</f>
        <v/>
      </c>
      <c r="C91" s="7">
        <f>IF($A91="","",'02_Buyers'!$AK88)</f>
        <v/>
      </c>
      <c r="D91" s="44">
        <f>IF($A91="",0,'02_Buyers'!$BB88)</f>
        <v/>
      </c>
      <c r="E91" s="44">
        <f>IF($A91="",0,'02_Buyers'!$BC88)</f>
        <v/>
      </c>
      <c r="F91" s="65" t="n">
        <v>0</v>
      </c>
      <c r="G91" s="61">
        <f>IF($A91="",0,'02_Buyers'!$BD88)</f>
        <v/>
      </c>
      <c r="H91" s="66">
        <f>IF($A91="",0,'02_Buyers'!$BE88)</f>
        <v/>
      </c>
      <c r="I91" s="44">
        <f>IF($A91="",0,'02_Buyers'!$AB88)</f>
        <v/>
      </c>
      <c r="J91" s="44">
        <f>IF($A91="","",F91-I91)</f>
        <v/>
      </c>
      <c r="K91" s="67">
        <f>IF(OR($A91="",I91&lt;=0),"",J91/I91)</f>
        <v/>
      </c>
      <c r="L91" s="7">
        <f>IF($A91="","",IF(M91="대상 아님","대상 아님(L/C·선수금)",IF(AND(I91&gt;0,K91&lt;=-0.3),"감액 30%↑ — 사람 승인 필요",IF(J91&gt;0,"증액 — 전결권자 승인","유지·소폭 감액"))))</f>
        <v/>
      </c>
      <c r="M91" s="7">
        <f>IF($A91="","",'02_Buyers'!$BA88)</f>
        <v/>
      </c>
      <c r="N91" s="7">
        <f>IF(OR($A91="",M91="대상 아님"),"",IF(F91&lt;=50000,"채권관리팀장",IF(F91&lt;=200000,"영업본부장","대표이사")))</f>
        <v/>
      </c>
      <c r="O91" s="7">
        <f>IF($A91="","",'02_Buyers'!$AG88)</f>
        <v/>
      </c>
      <c r="P91" s="48" t="n"/>
      <c r="Q91" s="44">
        <f>IF(OR($A91="",P91=""),"",F91-P91)</f>
        <v/>
      </c>
      <c r="R91" s="45">
        <f>IF(OR($A91="",D91&lt;=0),"",COUNTIFS($G$5:$G$154,G91,$D$5:$D$154,"&gt;0"))</f>
        <v/>
      </c>
    </row>
    <row r="92">
      <c r="A92" s="7">
        <f>IF('02_Buyers'!$A89="","",'02_Buyers'!$A89)</f>
        <v/>
      </c>
      <c r="B92" s="7">
        <f>IF($A92="","",'02_Buyers'!$S89)</f>
        <v/>
      </c>
      <c r="C92" s="7">
        <f>IF($A92="","",'02_Buyers'!$AK89)</f>
        <v/>
      </c>
      <c r="D92" s="44">
        <f>IF($A92="",0,'02_Buyers'!$BB89)</f>
        <v/>
      </c>
      <c r="E92" s="44">
        <f>IF($A92="",0,'02_Buyers'!$BC89)</f>
        <v/>
      </c>
      <c r="F92" s="65" t="n">
        <v>0</v>
      </c>
      <c r="G92" s="61">
        <f>IF($A92="",0,'02_Buyers'!$BD89)</f>
        <v/>
      </c>
      <c r="H92" s="66">
        <f>IF($A92="",0,'02_Buyers'!$BE89)</f>
        <v/>
      </c>
      <c r="I92" s="44">
        <f>IF($A92="",0,'02_Buyers'!$AB89)</f>
        <v/>
      </c>
      <c r="J92" s="44">
        <f>IF($A92="","",F92-I92)</f>
        <v/>
      </c>
      <c r="K92" s="67">
        <f>IF(OR($A92="",I92&lt;=0),"",J92/I92)</f>
        <v/>
      </c>
      <c r="L92" s="7">
        <f>IF($A92="","",IF(M92="대상 아님","대상 아님(L/C·선수금)",IF(AND(I92&gt;0,K92&lt;=-0.3),"감액 30%↑ — 사람 승인 필요",IF(J92&gt;0,"증액 — 전결권자 승인","유지·소폭 감액"))))</f>
        <v/>
      </c>
      <c r="M92" s="7">
        <f>IF($A92="","",'02_Buyers'!$BA89)</f>
        <v/>
      </c>
      <c r="N92" s="7">
        <f>IF(OR($A92="",M92="대상 아님"),"",IF(F92&lt;=50000,"채권관리팀장",IF(F92&lt;=200000,"영업본부장","대표이사")))</f>
        <v/>
      </c>
      <c r="O92" s="7">
        <f>IF($A92="","",'02_Buyers'!$AG89)</f>
        <v/>
      </c>
      <c r="P92" s="48" t="n"/>
      <c r="Q92" s="44">
        <f>IF(OR($A92="",P92=""),"",F92-P92)</f>
        <v/>
      </c>
      <c r="R92" s="45">
        <f>IF(OR($A92="",D92&lt;=0),"",COUNTIFS($G$5:$G$154,G92,$D$5:$D$154,"&gt;0"))</f>
        <v/>
      </c>
    </row>
    <row r="93">
      <c r="A93" s="7">
        <f>IF('02_Buyers'!$A90="","",'02_Buyers'!$A90)</f>
        <v/>
      </c>
      <c r="B93" s="7">
        <f>IF($A93="","",'02_Buyers'!$S90)</f>
        <v/>
      </c>
      <c r="C93" s="7">
        <f>IF($A93="","",'02_Buyers'!$AK90)</f>
        <v/>
      </c>
      <c r="D93" s="44">
        <f>IF($A93="",0,'02_Buyers'!$BB90)</f>
        <v/>
      </c>
      <c r="E93" s="44">
        <f>IF($A93="",0,'02_Buyers'!$BC90)</f>
        <v/>
      </c>
      <c r="F93" s="65" t="n">
        <v>0</v>
      </c>
      <c r="G93" s="61">
        <f>IF($A93="",0,'02_Buyers'!$BD90)</f>
        <v/>
      </c>
      <c r="H93" s="66">
        <f>IF($A93="",0,'02_Buyers'!$BE90)</f>
        <v/>
      </c>
      <c r="I93" s="44">
        <f>IF($A93="",0,'02_Buyers'!$AB90)</f>
        <v/>
      </c>
      <c r="J93" s="44">
        <f>IF($A93="","",F93-I93)</f>
        <v/>
      </c>
      <c r="K93" s="67">
        <f>IF(OR($A93="",I93&lt;=0),"",J93/I93)</f>
        <v/>
      </c>
      <c r="L93" s="7">
        <f>IF($A93="","",IF(M93="대상 아님","대상 아님(L/C·선수금)",IF(AND(I93&gt;0,K93&lt;=-0.3),"감액 30%↑ — 사람 승인 필요",IF(J93&gt;0,"증액 — 전결권자 승인","유지·소폭 감액"))))</f>
        <v/>
      </c>
      <c r="M93" s="7">
        <f>IF($A93="","",'02_Buyers'!$BA90)</f>
        <v/>
      </c>
      <c r="N93" s="7">
        <f>IF(OR($A93="",M93="대상 아님"),"",IF(F93&lt;=50000,"채권관리팀장",IF(F93&lt;=200000,"영업본부장","대표이사")))</f>
        <v/>
      </c>
      <c r="O93" s="7">
        <f>IF($A93="","",'02_Buyers'!$AG90)</f>
        <v/>
      </c>
      <c r="P93" s="48" t="n"/>
      <c r="Q93" s="44">
        <f>IF(OR($A93="",P93=""),"",F93-P93)</f>
        <v/>
      </c>
      <c r="R93" s="45">
        <f>IF(OR($A93="",D93&lt;=0),"",COUNTIFS($G$5:$G$154,G93,$D$5:$D$154,"&gt;0"))</f>
        <v/>
      </c>
    </row>
    <row r="94">
      <c r="A94" s="7">
        <f>IF('02_Buyers'!$A91="","",'02_Buyers'!$A91)</f>
        <v/>
      </c>
      <c r="B94" s="7">
        <f>IF($A94="","",'02_Buyers'!$S91)</f>
        <v/>
      </c>
      <c r="C94" s="7">
        <f>IF($A94="","",'02_Buyers'!$AK91)</f>
        <v/>
      </c>
      <c r="D94" s="44">
        <f>IF($A94="",0,'02_Buyers'!$BB91)</f>
        <v/>
      </c>
      <c r="E94" s="44">
        <f>IF($A94="",0,'02_Buyers'!$BC91)</f>
        <v/>
      </c>
      <c r="F94" s="65" t="n">
        <v>0</v>
      </c>
      <c r="G94" s="61">
        <f>IF($A94="",0,'02_Buyers'!$BD91)</f>
        <v/>
      </c>
      <c r="H94" s="66">
        <f>IF($A94="",0,'02_Buyers'!$BE91)</f>
        <v/>
      </c>
      <c r="I94" s="44">
        <f>IF($A94="",0,'02_Buyers'!$AB91)</f>
        <v/>
      </c>
      <c r="J94" s="44">
        <f>IF($A94="","",F94-I94)</f>
        <v/>
      </c>
      <c r="K94" s="67">
        <f>IF(OR($A94="",I94&lt;=0),"",J94/I94)</f>
        <v/>
      </c>
      <c r="L94" s="7">
        <f>IF($A94="","",IF(M94="대상 아님","대상 아님(L/C·선수금)",IF(AND(I94&gt;0,K94&lt;=-0.3),"감액 30%↑ — 사람 승인 필요",IF(J94&gt;0,"증액 — 전결권자 승인","유지·소폭 감액"))))</f>
        <v/>
      </c>
      <c r="M94" s="7">
        <f>IF($A94="","",'02_Buyers'!$BA91)</f>
        <v/>
      </c>
      <c r="N94" s="7">
        <f>IF(OR($A94="",M94="대상 아님"),"",IF(F94&lt;=50000,"채권관리팀장",IF(F94&lt;=200000,"영업본부장","대표이사")))</f>
        <v/>
      </c>
      <c r="O94" s="7">
        <f>IF($A94="","",'02_Buyers'!$AG91)</f>
        <v/>
      </c>
      <c r="P94" s="48" t="n"/>
      <c r="Q94" s="44">
        <f>IF(OR($A94="",P94=""),"",F94-P94)</f>
        <v/>
      </c>
      <c r="R94" s="45">
        <f>IF(OR($A94="",D94&lt;=0),"",COUNTIFS($G$5:$G$154,G94,$D$5:$D$154,"&gt;0"))</f>
        <v/>
      </c>
    </row>
    <row r="95">
      <c r="A95" s="7">
        <f>IF('02_Buyers'!$A92="","",'02_Buyers'!$A92)</f>
        <v/>
      </c>
      <c r="B95" s="7">
        <f>IF($A95="","",'02_Buyers'!$S92)</f>
        <v/>
      </c>
      <c r="C95" s="7">
        <f>IF($A95="","",'02_Buyers'!$AK92)</f>
        <v/>
      </c>
      <c r="D95" s="44">
        <f>IF($A95="",0,'02_Buyers'!$BB92)</f>
        <v/>
      </c>
      <c r="E95" s="44">
        <f>IF($A95="",0,'02_Buyers'!$BC92)</f>
        <v/>
      </c>
      <c r="F95" s="65" t="n">
        <v>0</v>
      </c>
      <c r="G95" s="61">
        <f>IF($A95="",0,'02_Buyers'!$BD92)</f>
        <v/>
      </c>
      <c r="H95" s="66">
        <f>IF($A95="",0,'02_Buyers'!$BE92)</f>
        <v/>
      </c>
      <c r="I95" s="44">
        <f>IF($A95="",0,'02_Buyers'!$AB92)</f>
        <v/>
      </c>
      <c r="J95" s="44">
        <f>IF($A95="","",F95-I95)</f>
        <v/>
      </c>
      <c r="K95" s="67">
        <f>IF(OR($A95="",I95&lt;=0),"",J95/I95)</f>
        <v/>
      </c>
      <c r="L95" s="7">
        <f>IF($A95="","",IF(M95="대상 아님","대상 아님(L/C·선수금)",IF(AND(I95&gt;0,K95&lt;=-0.3),"감액 30%↑ — 사람 승인 필요",IF(J95&gt;0,"증액 — 전결권자 승인","유지·소폭 감액"))))</f>
        <v/>
      </c>
      <c r="M95" s="7">
        <f>IF($A95="","",'02_Buyers'!$BA92)</f>
        <v/>
      </c>
      <c r="N95" s="7">
        <f>IF(OR($A95="",M95="대상 아님"),"",IF(F95&lt;=50000,"채권관리팀장",IF(F95&lt;=200000,"영업본부장","대표이사")))</f>
        <v/>
      </c>
      <c r="O95" s="7">
        <f>IF($A95="","",'02_Buyers'!$AG92)</f>
        <v/>
      </c>
      <c r="P95" s="48" t="n"/>
      <c r="Q95" s="44">
        <f>IF(OR($A95="",P95=""),"",F95-P95)</f>
        <v/>
      </c>
      <c r="R95" s="45">
        <f>IF(OR($A95="",D95&lt;=0),"",COUNTIFS($G$5:$G$154,G95,$D$5:$D$154,"&gt;0"))</f>
        <v/>
      </c>
    </row>
    <row r="96">
      <c r="A96" s="7">
        <f>IF('02_Buyers'!$A93="","",'02_Buyers'!$A93)</f>
        <v/>
      </c>
      <c r="B96" s="7">
        <f>IF($A96="","",'02_Buyers'!$S93)</f>
        <v/>
      </c>
      <c r="C96" s="7">
        <f>IF($A96="","",'02_Buyers'!$AK93)</f>
        <v/>
      </c>
      <c r="D96" s="44">
        <f>IF($A96="",0,'02_Buyers'!$BB93)</f>
        <v/>
      </c>
      <c r="E96" s="44">
        <f>IF($A96="",0,'02_Buyers'!$BC93)</f>
        <v/>
      </c>
      <c r="F96" s="65" t="n">
        <v>0</v>
      </c>
      <c r="G96" s="61">
        <f>IF($A96="",0,'02_Buyers'!$BD93)</f>
        <v/>
      </c>
      <c r="H96" s="66">
        <f>IF($A96="",0,'02_Buyers'!$BE93)</f>
        <v/>
      </c>
      <c r="I96" s="44">
        <f>IF($A96="",0,'02_Buyers'!$AB93)</f>
        <v/>
      </c>
      <c r="J96" s="44">
        <f>IF($A96="","",F96-I96)</f>
        <v/>
      </c>
      <c r="K96" s="67">
        <f>IF(OR($A96="",I96&lt;=0),"",J96/I96)</f>
        <v/>
      </c>
      <c r="L96" s="7">
        <f>IF($A96="","",IF(M96="대상 아님","대상 아님(L/C·선수금)",IF(AND(I96&gt;0,K96&lt;=-0.3),"감액 30%↑ — 사람 승인 필요",IF(J96&gt;0,"증액 — 전결권자 승인","유지·소폭 감액"))))</f>
        <v/>
      </c>
      <c r="M96" s="7">
        <f>IF($A96="","",'02_Buyers'!$BA93)</f>
        <v/>
      </c>
      <c r="N96" s="7">
        <f>IF(OR($A96="",M96="대상 아님"),"",IF(F96&lt;=50000,"채권관리팀장",IF(F96&lt;=200000,"영업본부장","대표이사")))</f>
        <v/>
      </c>
      <c r="O96" s="7">
        <f>IF($A96="","",'02_Buyers'!$AG93)</f>
        <v/>
      </c>
      <c r="P96" s="48" t="n"/>
      <c r="Q96" s="44">
        <f>IF(OR($A96="",P96=""),"",F96-P96)</f>
        <v/>
      </c>
      <c r="R96" s="45">
        <f>IF(OR($A96="",D96&lt;=0),"",COUNTIFS($G$5:$G$154,G96,$D$5:$D$154,"&gt;0"))</f>
        <v/>
      </c>
    </row>
    <row r="97">
      <c r="A97" s="7">
        <f>IF('02_Buyers'!$A94="","",'02_Buyers'!$A94)</f>
        <v/>
      </c>
      <c r="B97" s="7">
        <f>IF($A97="","",'02_Buyers'!$S94)</f>
        <v/>
      </c>
      <c r="C97" s="7">
        <f>IF($A97="","",'02_Buyers'!$AK94)</f>
        <v/>
      </c>
      <c r="D97" s="44">
        <f>IF($A97="",0,'02_Buyers'!$BB94)</f>
        <v/>
      </c>
      <c r="E97" s="44">
        <f>IF($A97="",0,'02_Buyers'!$BC94)</f>
        <v/>
      </c>
      <c r="F97" s="65" t="n">
        <v>0</v>
      </c>
      <c r="G97" s="61">
        <f>IF($A97="",0,'02_Buyers'!$BD94)</f>
        <v/>
      </c>
      <c r="H97" s="66">
        <f>IF($A97="",0,'02_Buyers'!$BE94)</f>
        <v/>
      </c>
      <c r="I97" s="44">
        <f>IF($A97="",0,'02_Buyers'!$AB94)</f>
        <v/>
      </c>
      <c r="J97" s="44">
        <f>IF($A97="","",F97-I97)</f>
        <v/>
      </c>
      <c r="K97" s="67">
        <f>IF(OR($A97="",I97&lt;=0),"",J97/I97)</f>
        <v/>
      </c>
      <c r="L97" s="7">
        <f>IF($A97="","",IF(M97="대상 아님","대상 아님(L/C·선수금)",IF(AND(I97&gt;0,K97&lt;=-0.3),"감액 30%↑ — 사람 승인 필요",IF(J97&gt;0,"증액 — 전결권자 승인","유지·소폭 감액"))))</f>
        <v/>
      </c>
      <c r="M97" s="7">
        <f>IF($A97="","",'02_Buyers'!$BA94)</f>
        <v/>
      </c>
      <c r="N97" s="7">
        <f>IF(OR($A97="",M97="대상 아님"),"",IF(F97&lt;=50000,"채권관리팀장",IF(F97&lt;=200000,"영업본부장","대표이사")))</f>
        <v/>
      </c>
      <c r="O97" s="7">
        <f>IF($A97="","",'02_Buyers'!$AG94)</f>
        <v/>
      </c>
      <c r="P97" s="48" t="n"/>
      <c r="Q97" s="44">
        <f>IF(OR($A97="",P97=""),"",F97-P97)</f>
        <v/>
      </c>
      <c r="R97" s="45">
        <f>IF(OR($A97="",D97&lt;=0),"",COUNTIFS($G$5:$G$154,G97,$D$5:$D$154,"&gt;0"))</f>
        <v/>
      </c>
    </row>
    <row r="98">
      <c r="A98" s="7">
        <f>IF('02_Buyers'!$A95="","",'02_Buyers'!$A95)</f>
        <v/>
      </c>
      <c r="B98" s="7">
        <f>IF($A98="","",'02_Buyers'!$S95)</f>
        <v/>
      </c>
      <c r="C98" s="7">
        <f>IF($A98="","",'02_Buyers'!$AK95)</f>
        <v/>
      </c>
      <c r="D98" s="44">
        <f>IF($A98="",0,'02_Buyers'!$BB95)</f>
        <v/>
      </c>
      <c r="E98" s="44">
        <f>IF($A98="",0,'02_Buyers'!$BC95)</f>
        <v/>
      </c>
      <c r="F98" s="65" t="n">
        <v>0</v>
      </c>
      <c r="G98" s="61">
        <f>IF($A98="",0,'02_Buyers'!$BD95)</f>
        <v/>
      </c>
      <c r="H98" s="66">
        <f>IF($A98="",0,'02_Buyers'!$BE95)</f>
        <v/>
      </c>
      <c r="I98" s="44">
        <f>IF($A98="",0,'02_Buyers'!$AB95)</f>
        <v/>
      </c>
      <c r="J98" s="44">
        <f>IF($A98="","",F98-I98)</f>
        <v/>
      </c>
      <c r="K98" s="67">
        <f>IF(OR($A98="",I98&lt;=0),"",J98/I98)</f>
        <v/>
      </c>
      <c r="L98" s="7">
        <f>IF($A98="","",IF(M98="대상 아님","대상 아님(L/C·선수금)",IF(AND(I98&gt;0,K98&lt;=-0.3),"감액 30%↑ — 사람 승인 필요",IF(J98&gt;0,"증액 — 전결권자 승인","유지·소폭 감액"))))</f>
        <v/>
      </c>
      <c r="M98" s="7">
        <f>IF($A98="","",'02_Buyers'!$BA95)</f>
        <v/>
      </c>
      <c r="N98" s="7">
        <f>IF(OR($A98="",M98="대상 아님"),"",IF(F98&lt;=50000,"채권관리팀장",IF(F98&lt;=200000,"영업본부장","대표이사")))</f>
        <v/>
      </c>
      <c r="O98" s="7">
        <f>IF($A98="","",'02_Buyers'!$AG95)</f>
        <v/>
      </c>
      <c r="P98" s="48" t="n"/>
      <c r="Q98" s="44">
        <f>IF(OR($A98="",P98=""),"",F98-P98)</f>
        <v/>
      </c>
      <c r="R98" s="45">
        <f>IF(OR($A98="",D98&lt;=0),"",COUNTIFS($G$5:$G$154,G98,$D$5:$D$154,"&gt;0"))</f>
        <v/>
      </c>
    </row>
    <row r="99">
      <c r="A99" s="7">
        <f>IF('02_Buyers'!$A96="","",'02_Buyers'!$A96)</f>
        <v/>
      </c>
      <c r="B99" s="7">
        <f>IF($A99="","",'02_Buyers'!$S96)</f>
        <v/>
      </c>
      <c r="C99" s="7">
        <f>IF($A99="","",'02_Buyers'!$AK96)</f>
        <v/>
      </c>
      <c r="D99" s="44">
        <f>IF($A99="",0,'02_Buyers'!$BB96)</f>
        <v/>
      </c>
      <c r="E99" s="44">
        <f>IF($A99="",0,'02_Buyers'!$BC96)</f>
        <v/>
      </c>
      <c r="F99" s="65" t="n">
        <v>0</v>
      </c>
      <c r="G99" s="61">
        <f>IF($A99="",0,'02_Buyers'!$BD96)</f>
        <v/>
      </c>
      <c r="H99" s="66">
        <f>IF($A99="",0,'02_Buyers'!$BE96)</f>
        <v/>
      </c>
      <c r="I99" s="44">
        <f>IF($A99="",0,'02_Buyers'!$AB96)</f>
        <v/>
      </c>
      <c r="J99" s="44">
        <f>IF($A99="","",F99-I99)</f>
        <v/>
      </c>
      <c r="K99" s="67">
        <f>IF(OR($A99="",I99&lt;=0),"",J99/I99)</f>
        <v/>
      </c>
      <c r="L99" s="7">
        <f>IF($A99="","",IF(M99="대상 아님","대상 아님(L/C·선수금)",IF(AND(I99&gt;0,K99&lt;=-0.3),"감액 30%↑ — 사람 승인 필요",IF(J99&gt;0,"증액 — 전결권자 승인","유지·소폭 감액"))))</f>
        <v/>
      </c>
      <c r="M99" s="7">
        <f>IF($A99="","",'02_Buyers'!$BA96)</f>
        <v/>
      </c>
      <c r="N99" s="7">
        <f>IF(OR($A99="",M99="대상 아님"),"",IF(F99&lt;=50000,"채권관리팀장",IF(F99&lt;=200000,"영업본부장","대표이사")))</f>
        <v/>
      </c>
      <c r="O99" s="7">
        <f>IF($A99="","",'02_Buyers'!$AG96)</f>
        <v/>
      </c>
      <c r="P99" s="48" t="n"/>
      <c r="Q99" s="44">
        <f>IF(OR($A99="",P99=""),"",F99-P99)</f>
        <v/>
      </c>
      <c r="R99" s="45">
        <f>IF(OR($A99="",D99&lt;=0),"",COUNTIFS($G$5:$G$154,G99,$D$5:$D$154,"&gt;0"))</f>
        <v/>
      </c>
    </row>
    <row r="100">
      <c r="A100" s="7">
        <f>IF('02_Buyers'!$A97="","",'02_Buyers'!$A97)</f>
        <v/>
      </c>
      <c r="B100" s="7">
        <f>IF($A100="","",'02_Buyers'!$S97)</f>
        <v/>
      </c>
      <c r="C100" s="7">
        <f>IF($A100="","",'02_Buyers'!$AK97)</f>
        <v/>
      </c>
      <c r="D100" s="44">
        <f>IF($A100="",0,'02_Buyers'!$BB97)</f>
        <v/>
      </c>
      <c r="E100" s="44">
        <f>IF($A100="",0,'02_Buyers'!$BC97)</f>
        <v/>
      </c>
      <c r="F100" s="65" t="n">
        <v>0</v>
      </c>
      <c r="G100" s="61">
        <f>IF($A100="",0,'02_Buyers'!$BD97)</f>
        <v/>
      </c>
      <c r="H100" s="66">
        <f>IF($A100="",0,'02_Buyers'!$BE97)</f>
        <v/>
      </c>
      <c r="I100" s="44">
        <f>IF($A100="",0,'02_Buyers'!$AB97)</f>
        <v/>
      </c>
      <c r="J100" s="44">
        <f>IF($A100="","",F100-I100)</f>
        <v/>
      </c>
      <c r="K100" s="67">
        <f>IF(OR($A100="",I100&lt;=0),"",J100/I100)</f>
        <v/>
      </c>
      <c r="L100" s="7">
        <f>IF($A100="","",IF(M100="대상 아님","대상 아님(L/C·선수금)",IF(AND(I100&gt;0,K100&lt;=-0.3),"감액 30%↑ — 사람 승인 필요",IF(J100&gt;0,"증액 — 전결권자 승인","유지·소폭 감액"))))</f>
        <v/>
      </c>
      <c r="M100" s="7">
        <f>IF($A100="","",'02_Buyers'!$BA97)</f>
        <v/>
      </c>
      <c r="N100" s="7">
        <f>IF(OR($A100="",M100="대상 아님"),"",IF(F100&lt;=50000,"채권관리팀장",IF(F100&lt;=200000,"영업본부장","대표이사")))</f>
        <v/>
      </c>
      <c r="O100" s="7">
        <f>IF($A100="","",'02_Buyers'!$AG97)</f>
        <v/>
      </c>
      <c r="P100" s="48" t="n"/>
      <c r="Q100" s="44">
        <f>IF(OR($A100="",P100=""),"",F100-P100)</f>
        <v/>
      </c>
      <c r="R100" s="45">
        <f>IF(OR($A100="",D100&lt;=0),"",COUNTIFS($G$5:$G$154,G100,$D$5:$D$154,"&gt;0"))</f>
        <v/>
      </c>
    </row>
    <row r="101">
      <c r="A101" s="7">
        <f>IF('02_Buyers'!$A98="","",'02_Buyers'!$A98)</f>
        <v/>
      </c>
      <c r="B101" s="7">
        <f>IF($A101="","",'02_Buyers'!$S98)</f>
        <v/>
      </c>
      <c r="C101" s="7">
        <f>IF($A101="","",'02_Buyers'!$AK98)</f>
        <v/>
      </c>
      <c r="D101" s="44">
        <f>IF($A101="",0,'02_Buyers'!$BB98)</f>
        <v/>
      </c>
      <c r="E101" s="44">
        <f>IF($A101="",0,'02_Buyers'!$BC98)</f>
        <v/>
      </c>
      <c r="F101" s="65" t="n">
        <v>0</v>
      </c>
      <c r="G101" s="61">
        <f>IF($A101="",0,'02_Buyers'!$BD98)</f>
        <v/>
      </c>
      <c r="H101" s="66">
        <f>IF($A101="",0,'02_Buyers'!$BE98)</f>
        <v/>
      </c>
      <c r="I101" s="44">
        <f>IF($A101="",0,'02_Buyers'!$AB98)</f>
        <v/>
      </c>
      <c r="J101" s="44">
        <f>IF($A101="","",F101-I101)</f>
        <v/>
      </c>
      <c r="K101" s="67">
        <f>IF(OR($A101="",I101&lt;=0),"",J101/I101)</f>
        <v/>
      </c>
      <c r="L101" s="7">
        <f>IF($A101="","",IF(M101="대상 아님","대상 아님(L/C·선수금)",IF(AND(I101&gt;0,K101&lt;=-0.3),"감액 30%↑ — 사람 승인 필요",IF(J101&gt;0,"증액 — 전결권자 승인","유지·소폭 감액"))))</f>
        <v/>
      </c>
      <c r="M101" s="7">
        <f>IF($A101="","",'02_Buyers'!$BA98)</f>
        <v/>
      </c>
      <c r="N101" s="7">
        <f>IF(OR($A101="",M101="대상 아님"),"",IF(F101&lt;=50000,"채권관리팀장",IF(F101&lt;=200000,"영업본부장","대표이사")))</f>
        <v/>
      </c>
      <c r="O101" s="7">
        <f>IF($A101="","",'02_Buyers'!$AG98)</f>
        <v/>
      </c>
      <c r="P101" s="48" t="n"/>
      <c r="Q101" s="44">
        <f>IF(OR($A101="",P101=""),"",F101-P101)</f>
        <v/>
      </c>
      <c r="R101" s="45">
        <f>IF(OR($A101="",D101&lt;=0),"",COUNTIFS($G$5:$G$154,G101,$D$5:$D$154,"&gt;0"))</f>
        <v/>
      </c>
    </row>
    <row r="102">
      <c r="A102" s="7">
        <f>IF('02_Buyers'!$A99="","",'02_Buyers'!$A99)</f>
        <v/>
      </c>
      <c r="B102" s="7">
        <f>IF($A102="","",'02_Buyers'!$S99)</f>
        <v/>
      </c>
      <c r="C102" s="7">
        <f>IF($A102="","",'02_Buyers'!$AK99)</f>
        <v/>
      </c>
      <c r="D102" s="44">
        <f>IF($A102="",0,'02_Buyers'!$BB99)</f>
        <v/>
      </c>
      <c r="E102" s="44">
        <f>IF($A102="",0,'02_Buyers'!$BC99)</f>
        <v/>
      </c>
      <c r="F102" s="65" t="n">
        <v>0</v>
      </c>
      <c r="G102" s="61">
        <f>IF($A102="",0,'02_Buyers'!$BD99)</f>
        <v/>
      </c>
      <c r="H102" s="66">
        <f>IF($A102="",0,'02_Buyers'!$BE99)</f>
        <v/>
      </c>
      <c r="I102" s="44">
        <f>IF($A102="",0,'02_Buyers'!$AB99)</f>
        <v/>
      </c>
      <c r="J102" s="44">
        <f>IF($A102="","",F102-I102)</f>
        <v/>
      </c>
      <c r="K102" s="67">
        <f>IF(OR($A102="",I102&lt;=0),"",J102/I102)</f>
        <v/>
      </c>
      <c r="L102" s="7">
        <f>IF($A102="","",IF(M102="대상 아님","대상 아님(L/C·선수금)",IF(AND(I102&gt;0,K102&lt;=-0.3),"감액 30%↑ — 사람 승인 필요",IF(J102&gt;0,"증액 — 전결권자 승인","유지·소폭 감액"))))</f>
        <v/>
      </c>
      <c r="M102" s="7">
        <f>IF($A102="","",'02_Buyers'!$BA99)</f>
        <v/>
      </c>
      <c r="N102" s="7">
        <f>IF(OR($A102="",M102="대상 아님"),"",IF(F102&lt;=50000,"채권관리팀장",IF(F102&lt;=200000,"영업본부장","대표이사")))</f>
        <v/>
      </c>
      <c r="O102" s="7">
        <f>IF($A102="","",'02_Buyers'!$AG99)</f>
        <v/>
      </c>
      <c r="P102" s="48" t="n"/>
      <c r="Q102" s="44">
        <f>IF(OR($A102="",P102=""),"",F102-P102)</f>
        <v/>
      </c>
      <c r="R102" s="45">
        <f>IF(OR($A102="",D102&lt;=0),"",COUNTIFS($G$5:$G$154,G102,$D$5:$D$154,"&gt;0"))</f>
        <v/>
      </c>
    </row>
    <row r="103">
      <c r="A103" s="7">
        <f>IF('02_Buyers'!$A100="","",'02_Buyers'!$A100)</f>
        <v/>
      </c>
      <c r="B103" s="7">
        <f>IF($A103="","",'02_Buyers'!$S100)</f>
        <v/>
      </c>
      <c r="C103" s="7">
        <f>IF($A103="","",'02_Buyers'!$AK100)</f>
        <v/>
      </c>
      <c r="D103" s="44">
        <f>IF($A103="",0,'02_Buyers'!$BB100)</f>
        <v/>
      </c>
      <c r="E103" s="44">
        <f>IF($A103="",0,'02_Buyers'!$BC100)</f>
        <v/>
      </c>
      <c r="F103" s="65" t="n">
        <v>0</v>
      </c>
      <c r="G103" s="61">
        <f>IF($A103="",0,'02_Buyers'!$BD100)</f>
        <v/>
      </c>
      <c r="H103" s="66">
        <f>IF($A103="",0,'02_Buyers'!$BE100)</f>
        <v/>
      </c>
      <c r="I103" s="44">
        <f>IF($A103="",0,'02_Buyers'!$AB100)</f>
        <v/>
      </c>
      <c r="J103" s="44">
        <f>IF($A103="","",F103-I103)</f>
        <v/>
      </c>
      <c r="K103" s="67">
        <f>IF(OR($A103="",I103&lt;=0),"",J103/I103)</f>
        <v/>
      </c>
      <c r="L103" s="7">
        <f>IF($A103="","",IF(M103="대상 아님","대상 아님(L/C·선수금)",IF(AND(I103&gt;0,K103&lt;=-0.3),"감액 30%↑ — 사람 승인 필요",IF(J103&gt;0,"증액 — 전결권자 승인","유지·소폭 감액"))))</f>
        <v/>
      </c>
      <c r="M103" s="7">
        <f>IF($A103="","",'02_Buyers'!$BA100)</f>
        <v/>
      </c>
      <c r="N103" s="7">
        <f>IF(OR($A103="",M103="대상 아님"),"",IF(F103&lt;=50000,"채권관리팀장",IF(F103&lt;=200000,"영업본부장","대표이사")))</f>
        <v/>
      </c>
      <c r="O103" s="7">
        <f>IF($A103="","",'02_Buyers'!$AG100)</f>
        <v/>
      </c>
      <c r="P103" s="48" t="n"/>
      <c r="Q103" s="44">
        <f>IF(OR($A103="",P103=""),"",F103-P103)</f>
        <v/>
      </c>
      <c r="R103" s="45">
        <f>IF(OR($A103="",D103&lt;=0),"",COUNTIFS($G$5:$G$154,G103,$D$5:$D$154,"&gt;0"))</f>
        <v/>
      </c>
    </row>
    <row r="104">
      <c r="A104" s="7">
        <f>IF('02_Buyers'!$A101="","",'02_Buyers'!$A101)</f>
        <v/>
      </c>
      <c r="B104" s="7">
        <f>IF($A104="","",'02_Buyers'!$S101)</f>
        <v/>
      </c>
      <c r="C104" s="7">
        <f>IF($A104="","",'02_Buyers'!$AK101)</f>
        <v/>
      </c>
      <c r="D104" s="44">
        <f>IF($A104="",0,'02_Buyers'!$BB101)</f>
        <v/>
      </c>
      <c r="E104" s="44">
        <f>IF($A104="",0,'02_Buyers'!$BC101)</f>
        <v/>
      </c>
      <c r="F104" s="65" t="n">
        <v>0</v>
      </c>
      <c r="G104" s="61">
        <f>IF($A104="",0,'02_Buyers'!$BD101)</f>
        <v/>
      </c>
      <c r="H104" s="66">
        <f>IF($A104="",0,'02_Buyers'!$BE101)</f>
        <v/>
      </c>
      <c r="I104" s="44">
        <f>IF($A104="",0,'02_Buyers'!$AB101)</f>
        <v/>
      </c>
      <c r="J104" s="44">
        <f>IF($A104="","",F104-I104)</f>
        <v/>
      </c>
      <c r="K104" s="67">
        <f>IF(OR($A104="",I104&lt;=0),"",J104/I104)</f>
        <v/>
      </c>
      <c r="L104" s="7">
        <f>IF($A104="","",IF(M104="대상 아님","대상 아님(L/C·선수금)",IF(AND(I104&gt;0,K104&lt;=-0.3),"감액 30%↑ — 사람 승인 필요",IF(J104&gt;0,"증액 — 전결권자 승인","유지·소폭 감액"))))</f>
        <v/>
      </c>
      <c r="M104" s="7">
        <f>IF($A104="","",'02_Buyers'!$BA101)</f>
        <v/>
      </c>
      <c r="N104" s="7">
        <f>IF(OR($A104="",M104="대상 아님"),"",IF(F104&lt;=50000,"채권관리팀장",IF(F104&lt;=200000,"영업본부장","대표이사")))</f>
        <v/>
      </c>
      <c r="O104" s="7">
        <f>IF($A104="","",'02_Buyers'!$AG101)</f>
        <v/>
      </c>
      <c r="P104" s="48" t="n"/>
      <c r="Q104" s="44">
        <f>IF(OR($A104="",P104=""),"",F104-P104)</f>
        <v/>
      </c>
      <c r="R104" s="45">
        <f>IF(OR($A104="",D104&lt;=0),"",COUNTIFS($G$5:$G$154,G104,$D$5:$D$154,"&gt;0"))</f>
        <v/>
      </c>
    </row>
    <row r="105">
      <c r="A105" s="7">
        <f>IF('02_Buyers'!$A102="","",'02_Buyers'!$A102)</f>
        <v/>
      </c>
      <c r="B105" s="7">
        <f>IF($A105="","",'02_Buyers'!$S102)</f>
        <v/>
      </c>
      <c r="C105" s="7">
        <f>IF($A105="","",'02_Buyers'!$AK102)</f>
        <v/>
      </c>
      <c r="D105" s="44">
        <f>IF($A105="",0,'02_Buyers'!$BB102)</f>
        <v/>
      </c>
      <c r="E105" s="44">
        <f>IF($A105="",0,'02_Buyers'!$BC102)</f>
        <v/>
      </c>
      <c r="F105" s="65" t="n">
        <v>0</v>
      </c>
      <c r="G105" s="61">
        <f>IF($A105="",0,'02_Buyers'!$BD102)</f>
        <v/>
      </c>
      <c r="H105" s="66">
        <f>IF($A105="",0,'02_Buyers'!$BE102)</f>
        <v/>
      </c>
      <c r="I105" s="44">
        <f>IF($A105="",0,'02_Buyers'!$AB102)</f>
        <v/>
      </c>
      <c r="J105" s="44">
        <f>IF($A105="","",F105-I105)</f>
        <v/>
      </c>
      <c r="K105" s="67">
        <f>IF(OR($A105="",I105&lt;=0),"",J105/I105)</f>
        <v/>
      </c>
      <c r="L105" s="7">
        <f>IF($A105="","",IF(M105="대상 아님","대상 아님(L/C·선수금)",IF(AND(I105&gt;0,K105&lt;=-0.3),"감액 30%↑ — 사람 승인 필요",IF(J105&gt;0,"증액 — 전결권자 승인","유지·소폭 감액"))))</f>
        <v/>
      </c>
      <c r="M105" s="7">
        <f>IF($A105="","",'02_Buyers'!$BA102)</f>
        <v/>
      </c>
      <c r="N105" s="7">
        <f>IF(OR($A105="",M105="대상 아님"),"",IF(F105&lt;=50000,"채권관리팀장",IF(F105&lt;=200000,"영업본부장","대표이사")))</f>
        <v/>
      </c>
      <c r="O105" s="7">
        <f>IF($A105="","",'02_Buyers'!$AG102)</f>
        <v/>
      </c>
      <c r="P105" s="48" t="n"/>
      <c r="Q105" s="44">
        <f>IF(OR($A105="",P105=""),"",F105-P105)</f>
        <v/>
      </c>
      <c r="R105" s="45">
        <f>IF(OR($A105="",D105&lt;=0),"",COUNTIFS($G$5:$G$154,G105,$D$5:$D$154,"&gt;0"))</f>
        <v/>
      </c>
    </row>
    <row r="106">
      <c r="A106" s="7">
        <f>IF('02_Buyers'!$A103="","",'02_Buyers'!$A103)</f>
        <v/>
      </c>
      <c r="B106" s="7">
        <f>IF($A106="","",'02_Buyers'!$S103)</f>
        <v/>
      </c>
      <c r="C106" s="7">
        <f>IF($A106="","",'02_Buyers'!$AK103)</f>
        <v/>
      </c>
      <c r="D106" s="44">
        <f>IF($A106="",0,'02_Buyers'!$BB103)</f>
        <v/>
      </c>
      <c r="E106" s="44">
        <f>IF($A106="",0,'02_Buyers'!$BC103)</f>
        <v/>
      </c>
      <c r="F106" s="65" t="n">
        <v>0</v>
      </c>
      <c r="G106" s="61">
        <f>IF($A106="",0,'02_Buyers'!$BD103)</f>
        <v/>
      </c>
      <c r="H106" s="66">
        <f>IF($A106="",0,'02_Buyers'!$BE103)</f>
        <v/>
      </c>
      <c r="I106" s="44">
        <f>IF($A106="",0,'02_Buyers'!$AB103)</f>
        <v/>
      </c>
      <c r="J106" s="44">
        <f>IF($A106="","",F106-I106)</f>
        <v/>
      </c>
      <c r="K106" s="67">
        <f>IF(OR($A106="",I106&lt;=0),"",J106/I106)</f>
        <v/>
      </c>
      <c r="L106" s="7">
        <f>IF($A106="","",IF(M106="대상 아님","대상 아님(L/C·선수금)",IF(AND(I106&gt;0,K106&lt;=-0.3),"감액 30%↑ — 사람 승인 필요",IF(J106&gt;0,"증액 — 전결권자 승인","유지·소폭 감액"))))</f>
        <v/>
      </c>
      <c r="M106" s="7">
        <f>IF($A106="","",'02_Buyers'!$BA103)</f>
        <v/>
      </c>
      <c r="N106" s="7">
        <f>IF(OR($A106="",M106="대상 아님"),"",IF(F106&lt;=50000,"채권관리팀장",IF(F106&lt;=200000,"영업본부장","대표이사")))</f>
        <v/>
      </c>
      <c r="O106" s="7">
        <f>IF($A106="","",'02_Buyers'!$AG103)</f>
        <v/>
      </c>
      <c r="P106" s="48" t="n"/>
      <c r="Q106" s="44">
        <f>IF(OR($A106="",P106=""),"",F106-P106)</f>
        <v/>
      </c>
      <c r="R106" s="45">
        <f>IF(OR($A106="",D106&lt;=0),"",COUNTIFS($G$5:$G$154,G106,$D$5:$D$154,"&gt;0"))</f>
        <v/>
      </c>
    </row>
    <row r="107">
      <c r="A107" s="7">
        <f>IF('02_Buyers'!$A104="","",'02_Buyers'!$A104)</f>
        <v/>
      </c>
      <c r="B107" s="7">
        <f>IF($A107="","",'02_Buyers'!$S104)</f>
        <v/>
      </c>
      <c r="C107" s="7">
        <f>IF($A107="","",'02_Buyers'!$AK104)</f>
        <v/>
      </c>
      <c r="D107" s="44">
        <f>IF($A107="",0,'02_Buyers'!$BB104)</f>
        <v/>
      </c>
      <c r="E107" s="44">
        <f>IF($A107="",0,'02_Buyers'!$BC104)</f>
        <v/>
      </c>
      <c r="F107" s="65" t="n">
        <v>0</v>
      </c>
      <c r="G107" s="61">
        <f>IF($A107="",0,'02_Buyers'!$BD104)</f>
        <v/>
      </c>
      <c r="H107" s="66">
        <f>IF($A107="",0,'02_Buyers'!$BE104)</f>
        <v/>
      </c>
      <c r="I107" s="44">
        <f>IF($A107="",0,'02_Buyers'!$AB104)</f>
        <v/>
      </c>
      <c r="J107" s="44">
        <f>IF($A107="","",F107-I107)</f>
        <v/>
      </c>
      <c r="K107" s="67">
        <f>IF(OR($A107="",I107&lt;=0),"",J107/I107)</f>
        <v/>
      </c>
      <c r="L107" s="7">
        <f>IF($A107="","",IF(M107="대상 아님","대상 아님(L/C·선수금)",IF(AND(I107&gt;0,K107&lt;=-0.3),"감액 30%↑ — 사람 승인 필요",IF(J107&gt;0,"증액 — 전결권자 승인","유지·소폭 감액"))))</f>
        <v/>
      </c>
      <c r="M107" s="7">
        <f>IF($A107="","",'02_Buyers'!$BA104)</f>
        <v/>
      </c>
      <c r="N107" s="7">
        <f>IF(OR($A107="",M107="대상 아님"),"",IF(F107&lt;=50000,"채권관리팀장",IF(F107&lt;=200000,"영업본부장","대표이사")))</f>
        <v/>
      </c>
      <c r="O107" s="7">
        <f>IF($A107="","",'02_Buyers'!$AG104)</f>
        <v/>
      </c>
      <c r="P107" s="48" t="n"/>
      <c r="Q107" s="44">
        <f>IF(OR($A107="",P107=""),"",F107-P107)</f>
        <v/>
      </c>
      <c r="R107" s="45">
        <f>IF(OR($A107="",D107&lt;=0),"",COUNTIFS($G$5:$G$154,G107,$D$5:$D$154,"&gt;0"))</f>
        <v/>
      </c>
    </row>
    <row r="108">
      <c r="A108" s="7">
        <f>IF('02_Buyers'!$A105="","",'02_Buyers'!$A105)</f>
        <v/>
      </c>
      <c r="B108" s="7">
        <f>IF($A108="","",'02_Buyers'!$S105)</f>
        <v/>
      </c>
      <c r="C108" s="7">
        <f>IF($A108="","",'02_Buyers'!$AK105)</f>
        <v/>
      </c>
      <c r="D108" s="44">
        <f>IF($A108="",0,'02_Buyers'!$BB105)</f>
        <v/>
      </c>
      <c r="E108" s="44">
        <f>IF($A108="",0,'02_Buyers'!$BC105)</f>
        <v/>
      </c>
      <c r="F108" s="65" t="n">
        <v>0</v>
      </c>
      <c r="G108" s="61">
        <f>IF($A108="",0,'02_Buyers'!$BD105)</f>
        <v/>
      </c>
      <c r="H108" s="66">
        <f>IF($A108="",0,'02_Buyers'!$BE105)</f>
        <v/>
      </c>
      <c r="I108" s="44">
        <f>IF($A108="",0,'02_Buyers'!$AB105)</f>
        <v/>
      </c>
      <c r="J108" s="44">
        <f>IF($A108="","",F108-I108)</f>
        <v/>
      </c>
      <c r="K108" s="67">
        <f>IF(OR($A108="",I108&lt;=0),"",J108/I108)</f>
        <v/>
      </c>
      <c r="L108" s="7">
        <f>IF($A108="","",IF(M108="대상 아님","대상 아님(L/C·선수금)",IF(AND(I108&gt;0,K108&lt;=-0.3),"감액 30%↑ — 사람 승인 필요",IF(J108&gt;0,"증액 — 전결권자 승인","유지·소폭 감액"))))</f>
        <v/>
      </c>
      <c r="M108" s="7">
        <f>IF($A108="","",'02_Buyers'!$BA105)</f>
        <v/>
      </c>
      <c r="N108" s="7">
        <f>IF(OR($A108="",M108="대상 아님"),"",IF(F108&lt;=50000,"채권관리팀장",IF(F108&lt;=200000,"영업본부장","대표이사")))</f>
        <v/>
      </c>
      <c r="O108" s="7">
        <f>IF($A108="","",'02_Buyers'!$AG105)</f>
        <v/>
      </c>
      <c r="P108" s="48" t="n"/>
      <c r="Q108" s="44">
        <f>IF(OR($A108="",P108=""),"",F108-P108)</f>
        <v/>
      </c>
      <c r="R108" s="45">
        <f>IF(OR($A108="",D108&lt;=0),"",COUNTIFS($G$5:$G$154,G108,$D$5:$D$154,"&gt;0"))</f>
        <v/>
      </c>
    </row>
    <row r="109">
      <c r="A109" s="7">
        <f>IF('02_Buyers'!$A106="","",'02_Buyers'!$A106)</f>
        <v/>
      </c>
      <c r="B109" s="7">
        <f>IF($A109="","",'02_Buyers'!$S106)</f>
        <v/>
      </c>
      <c r="C109" s="7">
        <f>IF($A109="","",'02_Buyers'!$AK106)</f>
        <v/>
      </c>
      <c r="D109" s="44">
        <f>IF($A109="",0,'02_Buyers'!$BB106)</f>
        <v/>
      </c>
      <c r="E109" s="44">
        <f>IF($A109="",0,'02_Buyers'!$BC106)</f>
        <v/>
      </c>
      <c r="F109" s="65" t="n">
        <v>0</v>
      </c>
      <c r="G109" s="61">
        <f>IF($A109="",0,'02_Buyers'!$BD106)</f>
        <v/>
      </c>
      <c r="H109" s="66">
        <f>IF($A109="",0,'02_Buyers'!$BE106)</f>
        <v/>
      </c>
      <c r="I109" s="44">
        <f>IF($A109="",0,'02_Buyers'!$AB106)</f>
        <v/>
      </c>
      <c r="J109" s="44">
        <f>IF($A109="","",F109-I109)</f>
        <v/>
      </c>
      <c r="K109" s="67">
        <f>IF(OR($A109="",I109&lt;=0),"",J109/I109)</f>
        <v/>
      </c>
      <c r="L109" s="7">
        <f>IF($A109="","",IF(M109="대상 아님","대상 아님(L/C·선수금)",IF(AND(I109&gt;0,K109&lt;=-0.3),"감액 30%↑ — 사람 승인 필요",IF(J109&gt;0,"증액 — 전결권자 승인","유지·소폭 감액"))))</f>
        <v/>
      </c>
      <c r="M109" s="7">
        <f>IF($A109="","",'02_Buyers'!$BA106)</f>
        <v/>
      </c>
      <c r="N109" s="7">
        <f>IF(OR($A109="",M109="대상 아님"),"",IF(F109&lt;=50000,"채권관리팀장",IF(F109&lt;=200000,"영업본부장","대표이사")))</f>
        <v/>
      </c>
      <c r="O109" s="7">
        <f>IF($A109="","",'02_Buyers'!$AG106)</f>
        <v/>
      </c>
      <c r="P109" s="48" t="n"/>
      <c r="Q109" s="44">
        <f>IF(OR($A109="",P109=""),"",F109-P109)</f>
        <v/>
      </c>
      <c r="R109" s="45">
        <f>IF(OR($A109="",D109&lt;=0),"",COUNTIFS($G$5:$G$154,G109,$D$5:$D$154,"&gt;0"))</f>
        <v/>
      </c>
    </row>
    <row r="110">
      <c r="A110" s="7">
        <f>IF('02_Buyers'!$A107="","",'02_Buyers'!$A107)</f>
        <v/>
      </c>
      <c r="B110" s="7">
        <f>IF($A110="","",'02_Buyers'!$S107)</f>
        <v/>
      </c>
      <c r="C110" s="7">
        <f>IF($A110="","",'02_Buyers'!$AK107)</f>
        <v/>
      </c>
      <c r="D110" s="44">
        <f>IF($A110="",0,'02_Buyers'!$BB107)</f>
        <v/>
      </c>
      <c r="E110" s="44">
        <f>IF($A110="",0,'02_Buyers'!$BC107)</f>
        <v/>
      </c>
      <c r="F110" s="65" t="n">
        <v>0</v>
      </c>
      <c r="G110" s="61">
        <f>IF($A110="",0,'02_Buyers'!$BD107)</f>
        <v/>
      </c>
      <c r="H110" s="66">
        <f>IF($A110="",0,'02_Buyers'!$BE107)</f>
        <v/>
      </c>
      <c r="I110" s="44">
        <f>IF($A110="",0,'02_Buyers'!$AB107)</f>
        <v/>
      </c>
      <c r="J110" s="44">
        <f>IF($A110="","",F110-I110)</f>
        <v/>
      </c>
      <c r="K110" s="67">
        <f>IF(OR($A110="",I110&lt;=0),"",J110/I110)</f>
        <v/>
      </c>
      <c r="L110" s="7">
        <f>IF($A110="","",IF(M110="대상 아님","대상 아님(L/C·선수금)",IF(AND(I110&gt;0,K110&lt;=-0.3),"감액 30%↑ — 사람 승인 필요",IF(J110&gt;0,"증액 — 전결권자 승인","유지·소폭 감액"))))</f>
        <v/>
      </c>
      <c r="M110" s="7">
        <f>IF($A110="","",'02_Buyers'!$BA107)</f>
        <v/>
      </c>
      <c r="N110" s="7">
        <f>IF(OR($A110="",M110="대상 아님"),"",IF(F110&lt;=50000,"채권관리팀장",IF(F110&lt;=200000,"영업본부장","대표이사")))</f>
        <v/>
      </c>
      <c r="O110" s="7">
        <f>IF($A110="","",'02_Buyers'!$AG107)</f>
        <v/>
      </c>
      <c r="P110" s="48" t="n"/>
      <c r="Q110" s="44">
        <f>IF(OR($A110="",P110=""),"",F110-P110)</f>
        <v/>
      </c>
      <c r="R110" s="45">
        <f>IF(OR($A110="",D110&lt;=0),"",COUNTIFS($G$5:$G$154,G110,$D$5:$D$154,"&gt;0"))</f>
        <v/>
      </c>
    </row>
    <row r="111">
      <c r="A111" s="7">
        <f>IF('02_Buyers'!$A108="","",'02_Buyers'!$A108)</f>
        <v/>
      </c>
      <c r="B111" s="7">
        <f>IF($A111="","",'02_Buyers'!$S108)</f>
        <v/>
      </c>
      <c r="C111" s="7">
        <f>IF($A111="","",'02_Buyers'!$AK108)</f>
        <v/>
      </c>
      <c r="D111" s="44">
        <f>IF($A111="",0,'02_Buyers'!$BB108)</f>
        <v/>
      </c>
      <c r="E111" s="44">
        <f>IF($A111="",0,'02_Buyers'!$BC108)</f>
        <v/>
      </c>
      <c r="F111" s="65" t="n">
        <v>0</v>
      </c>
      <c r="G111" s="61">
        <f>IF($A111="",0,'02_Buyers'!$BD108)</f>
        <v/>
      </c>
      <c r="H111" s="66">
        <f>IF($A111="",0,'02_Buyers'!$BE108)</f>
        <v/>
      </c>
      <c r="I111" s="44">
        <f>IF($A111="",0,'02_Buyers'!$AB108)</f>
        <v/>
      </c>
      <c r="J111" s="44">
        <f>IF($A111="","",F111-I111)</f>
        <v/>
      </c>
      <c r="K111" s="67">
        <f>IF(OR($A111="",I111&lt;=0),"",J111/I111)</f>
        <v/>
      </c>
      <c r="L111" s="7">
        <f>IF($A111="","",IF(M111="대상 아님","대상 아님(L/C·선수금)",IF(AND(I111&gt;0,K111&lt;=-0.3),"감액 30%↑ — 사람 승인 필요",IF(J111&gt;0,"증액 — 전결권자 승인","유지·소폭 감액"))))</f>
        <v/>
      </c>
      <c r="M111" s="7">
        <f>IF($A111="","",'02_Buyers'!$BA108)</f>
        <v/>
      </c>
      <c r="N111" s="7">
        <f>IF(OR($A111="",M111="대상 아님"),"",IF(F111&lt;=50000,"채권관리팀장",IF(F111&lt;=200000,"영업본부장","대표이사")))</f>
        <v/>
      </c>
      <c r="O111" s="7">
        <f>IF($A111="","",'02_Buyers'!$AG108)</f>
        <v/>
      </c>
      <c r="P111" s="48" t="n"/>
      <c r="Q111" s="44">
        <f>IF(OR($A111="",P111=""),"",F111-P111)</f>
        <v/>
      </c>
      <c r="R111" s="45">
        <f>IF(OR($A111="",D111&lt;=0),"",COUNTIFS($G$5:$G$154,G111,$D$5:$D$154,"&gt;0"))</f>
        <v/>
      </c>
    </row>
    <row r="112">
      <c r="A112" s="7">
        <f>IF('02_Buyers'!$A109="","",'02_Buyers'!$A109)</f>
        <v/>
      </c>
      <c r="B112" s="7">
        <f>IF($A112="","",'02_Buyers'!$S109)</f>
        <v/>
      </c>
      <c r="C112" s="7">
        <f>IF($A112="","",'02_Buyers'!$AK109)</f>
        <v/>
      </c>
      <c r="D112" s="44">
        <f>IF($A112="",0,'02_Buyers'!$BB109)</f>
        <v/>
      </c>
      <c r="E112" s="44">
        <f>IF($A112="",0,'02_Buyers'!$BC109)</f>
        <v/>
      </c>
      <c r="F112" s="65" t="n">
        <v>0</v>
      </c>
      <c r="G112" s="61">
        <f>IF($A112="",0,'02_Buyers'!$BD109)</f>
        <v/>
      </c>
      <c r="H112" s="66">
        <f>IF($A112="",0,'02_Buyers'!$BE109)</f>
        <v/>
      </c>
      <c r="I112" s="44">
        <f>IF($A112="",0,'02_Buyers'!$AB109)</f>
        <v/>
      </c>
      <c r="J112" s="44">
        <f>IF($A112="","",F112-I112)</f>
        <v/>
      </c>
      <c r="K112" s="67">
        <f>IF(OR($A112="",I112&lt;=0),"",J112/I112)</f>
        <v/>
      </c>
      <c r="L112" s="7">
        <f>IF($A112="","",IF(M112="대상 아님","대상 아님(L/C·선수금)",IF(AND(I112&gt;0,K112&lt;=-0.3),"감액 30%↑ — 사람 승인 필요",IF(J112&gt;0,"증액 — 전결권자 승인","유지·소폭 감액"))))</f>
        <v/>
      </c>
      <c r="M112" s="7">
        <f>IF($A112="","",'02_Buyers'!$BA109)</f>
        <v/>
      </c>
      <c r="N112" s="7">
        <f>IF(OR($A112="",M112="대상 아님"),"",IF(F112&lt;=50000,"채권관리팀장",IF(F112&lt;=200000,"영업본부장","대표이사")))</f>
        <v/>
      </c>
      <c r="O112" s="7">
        <f>IF($A112="","",'02_Buyers'!$AG109)</f>
        <v/>
      </c>
      <c r="P112" s="48" t="n"/>
      <c r="Q112" s="44">
        <f>IF(OR($A112="",P112=""),"",F112-P112)</f>
        <v/>
      </c>
      <c r="R112" s="45">
        <f>IF(OR($A112="",D112&lt;=0),"",COUNTIFS($G$5:$G$154,G112,$D$5:$D$154,"&gt;0"))</f>
        <v/>
      </c>
    </row>
    <row r="113">
      <c r="A113" s="7">
        <f>IF('02_Buyers'!$A110="","",'02_Buyers'!$A110)</f>
        <v/>
      </c>
      <c r="B113" s="7">
        <f>IF($A113="","",'02_Buyers'!$S110)</f>
        <v/>
      </c>
      <c r="C113" s="7">
        <f>IF($A113="","",'02_Buyers'!$AK110)</f>
        <v/>
      </c>
      <c r="D113" s="44">
        <f>IF($A113="",0,'02_Buyers'!$BB110)</f>
        <v/>
      </c>
      <c r="E113" s="44">
        <f>IF($A113="",0,'02_Buyers'!$BC110)</f>
        <v/>
      </c>
      <c r="F113" s="65" t="n">
        <v>0</v>
      </c>
      <c r="G113" s="61">
        <f>IF($A113="",0,'02_Buyers'!$BD110)</f>
        <v/>
      </c>
      <c r="H113" s="66">
        <f>IF($A113="",0,'02_Buyers'!$BE110)</f>
        <v/>
      </c>
      <c r="I113" s="44">
        <f>IF($A113="",0,'02_Buyers'!$AB110)</f>
        <v/>
      </c>
      <c r="J113" s="44">
        <f>IF($A113="","",F113-I113)</f>
        <v/>
      </c>
      <c r="K113" s="67">
        <f>IF(OR($A113="",I113&lt;=0),"",J113/I113)</f>
        <v/>
      </c>
      <c r="L113" s="7">
        <f>IF($A113="","",IF(M113="대상 아님","대상 아님(L/C·선수금)",IF(AND(I113&gt;0,K113&lt;=-0.3),"감액 30%↑ — 사람 승인 필요",IF(J113&gt;0,"증액 — 전결권자 승인","유지·소폭 감액"))))</f>
        <v/>
      </c>
      <c r="M113" s="7">
        <f>IF($A113="","",'02_Buyers'!$BA110)</f>
        <v/>
      </c>
      <c r="N113" s="7">
        <f>IF(OR($A113="",M113="대상 아님"),"",IF(F113&lt;=50000,"채권관리팀장",IF(F113&lt;=200000,"영업본부장","대표이사")))</f>
        <v/>
      </c>
      <c r="O113" s="7">
        <f>IF($A113="","",'02_Buyers'!$AG110)</f>
        <v/>
      </c>
      <c r="P113" s="48" t="n"/>
      <c r="Q113" s="44">
        <f>IF(OR($A113="",P113=""),"",F113-P113)</f>
        <v/>
      </c>
      <c r="R113" s="45">
        <f>IF(OR($A113="",D113&lt;=0),"",COUNTIFS($G$5:$G$154,G113,$D$5:$D$154,"&gt;0"))</f>
        <v/>
      </c>
    </row>
    <row r="114">
      <c r="A114" s="7">
        <f>IF('02_Buyers'!$A111="","",'02_Buyers'!$A111)</f>
        <v/>
      </c>
      <c r="B114" s="7">
        <f>IF($A114="","",'02_Buyers'!$S111)</f>
        <v/>
      </c>
      <c r="C114" s="7">
        <f>IF($A114="","",'02_Buyers'!$AK111)</f>
        <v/>
      </c>
      <c r="D114" s="44">
        <f>IF($A114="",0,'02_Buyers'!$BB111)</f>
        <v/>
      </c>
      <c r="E114" s="44">
        <f>IF($A114="",0,'02_Buyers'!$BC111)</f>
        <v/>
      </c>
      <c r="F114" s="65" t="n">
        <v>0</v>
      </c>
      <c r="G114" s="61">
        <f>IF($A114="",0,'02_Buyers'!$BD111)</f>
        <v/>
      </c>
      <c r="H114" s="66">
        <f>IF($A114="",0,'02_Buyers'!$BE111)</f>
        <v/>
      </c>
      <c r="I114" s="44">
        <f>IF($A114="",0,'02_Buyers'!$AB111)</f>
        <v/>
      </c>
      <c r="J114" s="44">
        <f>IF($A114="","",F114-I114)</f>
        <v/>
      </c>
      <c r="K114" s="67">
        <f>IF(OR($A114="",I114&lt;=0),"",J114/I114)</f>
        <v/>
      </c>
      <c r="L114" s="7">
        <f>IF($A114="","",IF(M114="대상 아님","대상 아님(L/C·선수금)",IF(AND(I114&gt;0,K114&lt;=-0.3),"감액 30%↑ — 사람 승인 필요",IF(J114&gt;0,"증액 — 전결권자 승인","유지·소폭 감액"))))</f>
        <v/>
      </c>
      <c r="M114" s="7">
        <f>IF($A114="","",'02_Buyers'!$BA111)</f>
        <v/>
      </c>
      <c r="N114" s="7">
        <f>IF(OR($A114="",M114="대상 아님"),"",IF(F114&lt;=50000,"채권관리팀장",IF(F114&lt;=200000,"영업본부장","대표이사")))</f>
        <v/>
      </c>
      <c r="O114" s="7">
        <f>IF($A114="","",'02_Buyers'!$AG111)</f>
        <v/>
      </c>
      <c r="P114" s="48" t="n"/>
      <c r="Q114" s="44">
        <f>IF(OR($A114="",P114=""),"",F114-P114)</f>
        <v/>
      </c>
      <c r="R114" s="45">
        <f>IF(OR($A114="",D114&lt;=0),"",COUNTIFS($G$5:$G$154,G114,$D$5:$D$154,"&gt;0"))</f>
        <v/>
      </c>
    </row>
    <row r="115">
      <c r="A115" s="7">
        <f>IF('02_Buyers'!$A112="","",'02_Buyers'!$A112)</f>
        <v/>
      </c>
      <c r="B115" s="7">
        <f>IF($A115="","",'02_Buyers'!$S112)</f>
        <v/>
      </c>
      <c r="C115" s="7">
        <f>IF($A115="","",'02_Buyers'!$AK112)</f>
        <v/>
      </c>
      <c r="D115" s="44">
        <f>IF($A115="",0,'02_Buyers'!$BB112)</f>
        <v/>
      </c>
      <c r="E115" s="44">
        <f>IF($A115="",0,'02_Buyers'!$BC112)</f>
        <v/>
      </c>
      <c r="F115" s="65" t="n">
        <v>0</v>
      </c>
      <c r="G115" s="61">
        <f>IF($A115="",0,'02_Buyers'!$BD112)</f>
        <v/>
      </c>
      <c r="H115" s="66">
        <f>IF($A115="",0,'02_Buyers'!$BE112)</f>
        <v/>
      </c>
      <c r="I115" s="44">
        <f>IF($A115="",0,'02_Buyers'!$AB112)</f>
        <v/>
      </c>
      <c r="J115" s="44">
        <f>IF($A115="","",F115-I115)</f>
        <v/>
      </c>
      <c r="K115" s="67">
        <f>IF(OR($A115="",I115&lt;=0),"",J115/I115)</f>
        <v/>
      </c>
      <c r="L115" s="7">
        <f>IF($A115="","",IF(M115="대상 아님","대상 아님(L/C·선수금)",IF(AND(I115&gt;0,K115&lt;=-0.3),"감액 30%↑ — 사람 승인 필요",IF(J115&gt;0,"증액 — 전결권자 승인","유지·소폭 감액"))))</f>
        <v/>
      </c>
      <c r="M115" s="7">
        <f>IF($A115="","",'02_Buyers'!$BA112)</f>
        <v/>
      </c>
      <c r="N115" s="7">
        <f>IF(OR($A115="",M115="대상 아님"),"",IF(F115&lt;=50000,"채권관리팀장",IF(F115&lt;=200000,"영업본부장","대표이사")))</f>
        <v/>
      </c>
      <c r="O115" s="7">
        <f>IF($A115="","",'02_Buyers'!$AG112)</f>
        <v/>
      </c>
      <c r="P115" s="48" t="n"/>
      <c r="Q115" s="44">
        <f>IF(OR($A115="",P115=""),"",F115-P115)</f>
        <v/>
      </c>
      <c r="R115" s="45">
        <f>IF(OR($A115="",D115&lt;=0),"",COUNTIFS($G$5:$G$154,G115,$D$5:$D$154,"&gt;0"))</f>
        <v/>
      </c>
    </row>
    <row r="116">
      <c r="A116" s="7">
        <f>IF('02_Buyers'!$A113="","",'02_Buyers'!$A113)</f>
        <v/>
      </c>
      <c r="B116" s="7">
        <f>IF($A116="","",'02_Buyers'!$S113)</f>
        <v/>
      </c>
      <c r="C116" s="7">
        <f>IF($A116="","",'02_Buyers'!$AK113)</f>
        <v/>
      </c>
      <c r="D116" s="44">
        <f>IF($A116="",0,'02_Buyers'!$BB113)</f>
        <v/>
      </c>
      <c r="E116" s="44">
        <f>IF($A116="",0,'02_Buyers'!$BC113)</f>
        <v/>
      </c>
      <c r="F116" s="65" t="n">
        <v>0</v>
      </c>
      <c r="G116" s="61">
        <f>IF($A116="",0,'02_Buyers'!$BD113)</f>
        <v/>
      </c>
      <c r="H116" s="66">
        <f>IF($A116="",0,'02_Buyers'!$BE113)</f>
        <v/>
      </c>
      <c r="I116" s="44">
        <f>IF($A116="",0,'02_Buyers'!$AB113)</f>
        <v/>
      </c>
      <c r="J116" s="44">
        <f>IF($A116="","",F116-I116)</f>
        <v/>
      </c>
      <c r="K116" s="67">
        <f>IF(OR($A116="",I116&lt;=0),"",J116/I116)</f>
        <v/>
      </c>
      <c r="L116" s="7">
        <f>IF($A116="","",IF(M116="대상 아님","대상 아님(L/C·선수금)",IF(AND(I116&gt;0,K116&lt;=-0.3),"감액 30%↑ — 사람 승인 필요",IF(J116&gt;0,"증액 — 전결권자 승인","유지·소폭 감액"))))</f>
        <v/>
      </c>
      <c r="M116" s="7">
        <f>IF($A116="","",'02_Buyers'!$BA113)</f>
        <v/>
      </c>
      <c r="N116" s="7">
        <f>IF(OR($A116="",M116="대상 아님"),"",IF(F116&lt;=50000,"채권관리팀장",IF(F116&lt;=200000,"영업본부장","대표이사")))</f>
        <v/>
      </c>
      <c r="O116" s="7">
        <f>IF($A116="","",'02_Buyers'!$AG113)</f>
        <v/>
      </c>
      <c r="P116" s="48" t="n"/>
      <c r="Q116" s="44">
        <f>IF(OR($A116="",P116=""),"",F116-P116)</f>
        <v/>
      </c>
      <c r="R116" s="45">
        <f>IF(OR($A116="",D116&lt;=0),"",COUNTIFS($G$5:$G$154,G116,$D$5:$D$154,"&gt;0"))</f>
        <v/>
      </c>
    </row>
    <row r="117">
      <c r="A117" s="7">
        <f>IF('02_Buyers'!$A114="","",'02_Buyers'!$A114)</f>
        <v/>
      </c>
      <c r="B117" s="7">
        <f>IF($A117="","",'02_Buyers'!$S114)</f>
        <v/>
      </c>
      <c r="C117" s="7">
        <f>IF($A117="","",'02_Buyers'!$AK114)</f>
        <v/>
      </c>
      <c r="D117" s="44">
        <f>IF($A117="",0,'02_Buyers'!$BB114)</f>
        <v/>
      </c>
      <c r="E117" s="44">
        <f>IF($A117="",0,'02_Buyers'!$BC114)</f>
        <v/>
      </c>
      <c r="F117" s="65" t="n">
        <v>0</v>
      </c>
      <c r="G117" s="61">
        <f>IF($A117="",0,'02_Buyers'!$BD114)</f>
        <v/>
      </c>
      <c r="H117" s="66">
        <f>IF($A117="",0,'02_Buyers'!$BE114)</f>
        <v/>
      </c>
      <c r="I117" s="44">
        <f>IF($A117="",0,'02_Buyers'!$AB114)</f>
        <v/>
      </c>
      <c r="J117" s="44">
        <f>IF($A117="","",F117-I117)</f>
        <v/>
      </c>
      <c r="K117" s="67">
        <f>IF(OR($A117="",I117&lt;=0),"",J117/I117)</f>
        <v/>
      </c>
      <c r="L117" s="7">
        <f>IF($A117="","",IF(M117="대상 아님","대상 아님(L/C·선수금)",IF(AND(I117&gt;0,K117&lt;=-0.3),"감액 30%↑ — 사람 승인 필요",IF(J117&gt;0,"증액 — 전결권자 승인","유지·소폭 감액"))))</f>
        <v/>
      </c>
      <c r="M117" s="7">
        <f>IF($A117="","",'02_Buyers'!$BA114)</f>
        <v/>
      </c>
      <c r="N117" s="7">
        <f>IF(OR($A117="",M117="대상 아님"),"",IF(F117&lt;=50000,"채권관리팀장",IF(F117&lt;=200000,"영업본부장","대표이사")))</f>
        <v/>
      </c>
      <c r="O117" s="7">
        <f>IF($A117="","",'02_Buyers'!$AG114)</f>
        <v/>
      </c>
      <c r="P117" s="48" t="n"/>
      <c r="Q117" s="44">
        <f>IF(OR($A117="",P117=""),"",F117-P117)</f>
        <v/>
      </c>
      <c r="R117" s="45">
        <f>IF(OR($A117="",D117&lt;=0),"",COUNTIFS($G$5:$G$154,G117,$D$5:$D$154,"&gt;0"))</f>
        <v/>
      </c>
    </row>
    <row r="118">
      <c r="A118" s="7">
        <f>IF('02_Buyers'!$A115="","",'02_Buyers'!$A115)</f>
        <v/>
      </c>
      <c r="B118" s="7">
        <f>IF($A118="","",'02_Buyers'!$S115)</f>
        <v/>
      </c>
      <c r="C118" s="7">
        <f>IF($A118="","",'02_Buyers'!$AK115)</f>
        <v/>
      </c>
      <c r="D118" s="44">
        <f>IF($A118="",0,'02_Buyers'!$BB115)</f>
        <v/>
      </c>
      <c r="E118" s="44">
        <f>IF($A118="",0,'02_Buyers'!$BC115)</f>
        <v/>
      </c>
      <c r="F118" s="65" t="n">
        <v>0</v>
      </c>
      <c r="G118" s="61">
        <f>IF($A118="",0,'02_Buyers'!$BD115)</f>
        <v/>
      </c>
      <c r="H118" s="66">
        <f>IF($A118="",0,'02_Buyers'!$BE115)</f>
        <v/>
      </c>
      <c r="I118" s="44">
        <f>IF($A118="",0,'02_Buyers'!$AB115)</f>
        <v/>
      </c>
      <c r="J118" s="44">
        <f>IF($A118="","",F118-I118)</f>
        <v/>
      </c>
      <c r="K118" s="67">
        <f>IF(OR($A118="",I118&lt;=0),"",J118/I118)</f>
        <v/>
      </c>
      <c r="L118" s="7">
        <f>IF($A118="","",IF(M118="대상 아님","대상 아님(L/C·선수금)",IF(AND(I118&gt;0,K118&lt;=-0.3),"감액 30%↑ — 사람 승인 필요",IF(J118&gt;0,"증액 — 전결권자 승인","유지·소폭 감액"))))</f>
        <v/>
      </c>
      <c r="M118" s="7">
        <f>IF($A118="","",'02_Buyers'!$BA115)</f>
        <v/>
      </c>
      <c r="N118" s="7">
        <f>IF(OR($A118="",M118="대상 아님"),"",IF(F118&lt;=50000,"채권관리팀장",IF(F118&lt;=200000,"영업본부장","대표이사")))</f>
        <v/>
      </c>
      <c r="O118" s="7">
        <f>IF($A118="","",'02_Buyers'!$AG115)</f>
        <v/>
      </c>
      <c r="P118" s="48" t="n"/>
      <c r="Q118" s="44">
        <f>IF(OR($A118="",P118=""),"",F118-P118)</f>
        <v/>
      </c>
      <c r="R118" s="45">
        <f>IF(OR($A118="",D118&lt;=0),"",COUNTIFS($G$5:$G$154,G118,$D$5:$D$154,"&gt;0"))</f>
        <v/>
      </c>
    </row>
    <row r="119">
      <c r="A119" s="7">
        <f>IF('02_Buyers'!$A116="","",'02_Buyers'!$A116)</f>
        <v/>
      </c>
      <c r="B119" s="7">
        <f>IF($A119="","",'02_Buyers'!$S116)</f>
        <v/>
      </c>
      <c r="C119" s="7">
        <f>IF($A119="","",'02_Buyers'!$AK116)</f>
        <v/>
      </c>
      <c r="D119" s="44">
        <f>IF($A119="",0,'02_Buyers'!$BB116)</f>
        <v/>
      </c>
      <c r="E119" s="44">
        <f>IF($A119="",0,'02_Buyers'!$BC116)</f>
        <v/>
      </c>
      <c r="F119" s="65" t="n">
        <v>0</v>
      </c>
      <c r="G119" s="61">
        <f>IF($A119="",0,'02_Buyers'!$BD116)</f>
        <v/>
      </c>
      <c r="H119" s="66">
        <f>IF($A119="",0,'02_Buyers'!$BE116)</f>
        <v/>
      </c>
      <c r="I119" s="44">
        <f>IF($A119="",0,'02_Buyers'!$AB116)</f>
        <v/>
      </c>
      <c r="J119" s="44">
        <f>IF($A119="","",F119-I119)</f>
        <v/>
      </c>
      <c r="K119" s="67">
        <f>IF(OR($A119="",I119&lt;=0),"",J119/I119)</f>
        <v/>
      </c>
      <c r="L119" s="7">
        <f>IF($A119="","",IF(M119="대상 아님","대상 아님(L/C·선수금)",IF(AND(I119&gt;0,K119&lt;=-0.3),"감액 30%↑ — 사람 승인 필요",IF(J119&gt;0,"증액 — 전결권자 승인","유지·소폭 감액"))))</f>
        <v/>
      </c>
      <c r="M119" s="7">
        <f>IF($A119="","",'02_Buyers'!$BA116)</f>
        <v/>
      </c>
      <c r="N119" s="7">
        <f>IF(OR($A119="",M119="대상 아님"),"",IF(F119&lt;=50000,"채권관리팀장",IF(F119&lt;=200000,"영업본부장","대표이사")))</f>
        <v/>
      </c>
      <c r="O119" s="7">
        <f>IF($A119="","",'02_Buyers'!$AG116)</f>
        <v/>
      </c>
      <c r="P119" s="48" t="n"/>
      <c r="Q119" s="44">
        <f>IF(OR($A119="",P119=""),"",F119-P119)</f>
        <v/>
      </c>
      <c r="R119" s="45">
        <f>IF(OR($A119="",D119&lt;=0),"",COUNTIFS($G$5:$G$154,G119,$D$5:$D$154,"&gt;0"))</f>
        <v/>
      </c>
    </row>
    <row r="120">
      <c r="A120" s="7">
        <f>IF('02_Buyers'!$A117="","",'02_Buyers'!$A117)</f>
        <v/>
      </c>
      <c r="B120" s="7">
        <f>IF($A120="","",'02_Buyers'!$S117)</f>
        <v/>
      </c>
      <c r="C120" s="7">
        <f>IF($A120="","",'02_Buyers'!$AK117)</f>
        <v/>
      </c>
      <c r="D120" s="44">
        <f>IF($A120="",0,'02_Buyers'!$BB117)</f>
        <v/>
      </c>
      <c r="E120" s="44">
        <f>IF($A120="",0,'02_Buyers'!$BC117)</f>
        <v/>
      </c>
      <c r="F120" s="65" t="n">
        <v>0</v>
      </c>
      <c r="G120" s="61">
        <f>IF($A120="",0,'02_Buyers'!$BD117)</f>
        <v/>
      </c>
      <c r="H120" s="66">
        <f>IF($A120="",0,'02_Buyers'!$BE117)</f>
        <v/>
      </c>
      <c r="I120" s="44">
        <f>IF($A120="",0,'02_Buyers'!$AB117)</f>
        <v/>
      </c>
      <c r="J120" s="44">
        <f>IF($A120="","",F120-I120)</f>
        <v/>
      </c>
      <c r="K120" s="67">
        <f>IF(OR($A120="",I120&lt;=0),"",J120/I120)</f>
        <v/>
      </c>
      <c r="L120" s="7">
        <f>IF($A120="","",IF(M120="대상 아님","대상 아님(L/C·선수금)",IF(AND(I120&gt;0,K120&lt;=-0.3),"감액 30%↑ — 사람 승인 필요",IF(J120&gt;0,"증액 — 전결권자 승인","유지·소폭 감액"))))</f>
        <v/>
      </c>
      <c r="M120" s="7">
        <f>IF($A120="","",'02_Buyers'!$BA117)</f>
        <v/>
      </c>
      <c r="N120" s="7">
        <f>IF(OR($A120="",M120="대상 아님"),"",IF(F120&lt;=50000,"채권관리팀장",IF(F120&lt;=200000,"영업본부장","대표이사")))</f>
        <v/>
      </c>
      <c r="O120" s="7">
        <f>IF($A120="","",'02_Buyers'!$AG117)</f>
        <v/>
      </c>
      <c r="P120" s="48" t="n"/>
      <c r="Q120" s="44">
        <f>IF(OR($A120="",P120=""),"",F120-P120)</f>
        <v/>
      </c>
      <c r="R120" s="45">
        <f>IF(OR($A120="",D120&lt;=0),"",COUNTIFS($G$5:$G$154,G120,$D$5:$D$154,"&gt;0"))</f>
        <v/>
      </c>
    </row>
    <row r="121">
      <c r="A121" s="7">
        <f>IF('02_Buyers'!$A118="","",'02_Buyers'!$A118)</f>
        <v/>
      </c>
      <c r="B121" s="7">
        <f>IF($A121="","",'02_Buyers'!$S118)</f>
        <v/>
      </c>
      <c r="C121" s="7">
        <f>IF($A121="","",'02_Buyers'!$AK118)</f>
        <v/>
      </c>
      <c r="D121" s="44">
        <f>IF($A121="",0,'02_Buyers'!$BB118)</f>
        <v/>
      </c>
      <c r="E121" s="44">
        <f>IF($A121="",0,'02_Buyers'!$BC118)</f>
        <v/>
      </c>
      <c r="F121" s="65" t="n">
        <v>0</v>
      </c>
      <c r="G121" s="61">
        <f>IF($A121="",0,'02_Buyers'!$BD118)</f>
        <v/>
      </c>
      <c r="H121" s="66">
        <f>IF($A121="",0,'02_Buyers'!$BE118)</f>
        <v/>
      </c>
      <c r="I121" s="44">
        <f>IF($A121="",0,'02_Buyers'!$AB118)</f>
        <v/>
      </c>
      <c r="J121" s="44">
        <f>IF($A121="","",F121-I121)</f>
        <v/>
      </c>
      <c r="K121" s="67">
        <f>IF(OR($A121="",I121&lt;=0),"",J121/I121)</f>
        <v/>
      </c>
      <c r="L121" s="7">
        <f>IF($A121="","",IF(M121="대상 아님","대상 아님(L/C·선수금)",IF(AND(I121&gt;0,K121&lt;=-0.3),"감액 30%↑ — 사람 승인 필요",IF(J121&gt;0,"증액 — 전결권자 승인","유지·소폭 감액"))))</f>
        <v/>
      </c>
      <c r="M121" s="7">
        <f>IF($A121="","",'02_Buyers'!$BA118)</f>
        <v/>
      </c>
      <c r="N121" s="7">
        <f>IF(OR($A121="",M121="대상 아님"),"",IF(F121&lt;=50000,"채권관리팀장",IF(F121&lt;=200000,"영업본부장","대표이사")))</f>
        <v/>
      </c>
      <c r="O121" s="7">
        <f>IF($A121="","",'02_Buyers'!$AG118)</f>
        <v/>
      </c>
      <c r="P121" s="48" t="n"/>
      <c r="Q121" s="44">
        <f>IF(OR($A121="",P121=""),"",F121-P121)</f>
        <v/>
      </c>
      <c r="R121" s="45">
        <f>IF(OR($A121="",D121&lt;=0),"",COUNTIFS($G$5:$G$154,G121,$D$5:$D$154,"&gt;0"))</f>
        <v/>
      </c>
    </row>
    <row r="122">
      <c r="A122" s="7">
        <f>IF('02_Buyers'!$A119="","",'02_Buyers'!$A119)</f>
        <v/>
      </c>
      <c r="B122" s="7">
        <f>IF($A122="","",'02_Buyers'!$S119)</f>
        <v/>
      </c>
      <c r="C122" s="7">
        <f>IF($A122="","",'02_Buyers'!$AK119)</f>
        <v/>
      </c>
      <c r="D122" s="44">
        <f>IF($A122="",0,'02_Buyers'!$BB119)</f>
        <v/>
      </c>
      <c r="E122" s="44">
        <f>IF($A122="",0,'02_Buyers'!$BC119)</f>
        <v/>
      </c>
      <c r="F122" s="65" t="n">
        <v>0</v>
      </c>
      <c r="G122" s="61">
        <f>IF($A122="",0,'02_Buyers'!$BD119)</f>
        <v/>
      </c>
      <c r="H122" s="66">
        <f>IF($A122="",0,'02_Buyers'!$BE119)</f>
        <v/>
      </c>
      <c r="I122" s="44">
        <f>IF($A122="",0,'02_Buyers'!$AB119)</f>
        <v/>
      </c>
      <c r="J122" s="44">
        <f>IF($A122="","",F122-I122)</f>
        <v/>
      </c>
      <c r="K122" s="67">
        <f>IF(OR($A122="",I122&lt;=0),"",J122/I122)</f>
        <v/>
      </c>
      <c r="L122" s="7">
        <f>IF($A122="","",IF(M122="대상 아님","대상 아님(L/C·선수금)",IF(AND(I122&gt;0,K122&lt;=-0.3),"감액 30%↑ — 사람 승인 필요",IF(J122&gt;0,"증액 — 전결권자 승인","유지·소폭 감액"))))</f>
        <v/>
      </c>
      <c r="M122" s="7">
        <f>IF($A122="","",'02_Buyers'!$BA119)</f>
        <v/>
      </c>
      <c r="N122" s="7">
        <f>IF(OR($A122="",M122="대상 아님"),"",IF(F122&lt;=50000,"채권관리팀장",IF(F122&lt;=200000,"영업본부장","대표이사")))</f>
        <v/>
      </c>
      <c r="O122" s="7">
        <f>IF($A122="","",'02_Buyers'!$AG119)</f>
        <v/>
      </c>
      <c r="P122" s="48" t="n"/>
      <c r="Q122" s="44">
        <f>IF(OR($A122="",P122=""),"",F122-P122)</f>
        <v/>
      </c>
      <c r="R122" s="45">
        <f>IF(OR($A122="",D122&lt;=0),"",COUNTIFS($G$5:$G$154,G122,$D$5:$D$154,"&gt;0"))</f>
        <v/>
      </c>
    </row>
    <row r="123">
      <c r="A123" s="7">
        <f>IF('02_Buyers'!$A120="","",'02_Buyers'!$A120)</f>
        <v/>
      </c>
      <c r="B123" s="7">
        <f>IF($A123="","",'02_Buyers'!$S120)</f>
        <v/>
      </c>
      <c r="C123" s="7">
        <f>IF($A123="","",'02_Buyers'!$AK120)</f>
        <v/>
      </c>
      <c r="D123" s="44">
        <f>IF($A123="",0,'02_Buyers'!$BB120)</f>
        <v/>
      </c>
      <c r="E123" s="44">
        <f>IF($A123="",0,'02_Buyers'!$BC120)</f>
        <v/>
      </c>
      <c r="F123" s="65" t="n">
        <v>0</v>
      </c>
      <c r="G123" s="61">
        <f>IF($A123="",0,'02_Buyers'!$BD120)</f>
        <v/>
      </c>
      <c r="H123" s="66">
        <f>IF($A123="",0,'02_Buyers'!$BE120)</f>
        <v/>
      </c>
      <c r="I123" s="44">
        <f>IF($A123="",0,'02_Buyers'!$AB120)</f>
        <v/>
      </c>
      <c r="J123" s="44">
        <f>IF($A123="","",F123-I123)</f>
        <v/>
      </c>
      <c r="K123" s="67">
        <f>IF(OR($A123="",I123&lt;=0),"",J123/I123)</f>
        <v/>
      </c>
      <c r="L123" s="7">
        <f>IF($A123="","",IF(M123="대상 아님","대상 아님(L/C·선수금)",IF(AND(I123&gt;0,K123&lt;=-0.3),"감액 30%↑ — 사람 승인 필요",IF(J123&gt;0,"증액 — 전결권자 승인","유지·소폭 감액"))))</f>
        <v/>
      </c>
      <c r="M123" s="7">
        <f>IF($A123="","",'02_Buyers'!$BA120)</f>
        <v/>
      </c>
      <c r="N123" s="7">
        <f>IF(OR($A123="",M123="대상 아님"),"",IF(F123&lt;=50000,"채권관리팀장",IF(F123&lt;=200000,"영업본부장","대표이사")))</f>
        <v/>
      </c>
      <c r="O123" s="7">
        <f>IF($A123="","",'02_Buyers'!$AG120)</f>
        <v/>
      </c>
      <c r="P123" s="48" t="n"/>
      <c r="Q123" s="44">
        <f>IF(OR($A123="",P123=""),"",F123-P123)</f>
        <v/>
      </c>
      <c r="R123" s="45">
        <f>IF(OR($A123="",D123&lt;=0),"",COUNTIFS($G$5:$G$154,G123,$D$5:$D$154,"&gt;0"))</f>
        <v/>
      </c>
    </row>
    <row r="124">
      <c r="A124" s="7">
        <f>IF('02_Buyers'!$A121="","",'02_Buyers'!$A121)</f>
        <v/>
      </c>
      <c r="B124" s="7">
        <f>IF($A124="","",'02_Buyers'!$S121)</f>
        <v/>
      </c>
      <c r="C124" s="7">
        <f>IF($A124="","",'02_Buyers'!$AK121)</f>
        <v/>
      </c>
      <c r="D124" s="44">
        <f>IF($A124="",0,'02_Buyers'!$BB121)</f>
        <v/>
      </c>
      <c r="E124" s="44">
        <f>IF($A124="",0,'02_Buyers'!$BC121)</f>
        <v/>
      </c>
      <c r="F124" s="65" t="n">
        <v>0</v>
      </c>
      <c r="G124" s="61">
        <f>IF($A124="",0,'02_Buyers'!$BD121)</f>
        <v/>
      </c>
      <c r="H124" s="66">
        <f>IF($A124="",0,'02_Buyers'!$BE121)</f>
        <v/>
      </c>
      <c r="I124" s="44">
        <f>IF($A124="",0,'02_Buyers'!$AB121)</f>
        <v/>
      </c>
      <c r="J124" s="44">
        <f>IF($A124="","",F124-I124)</f>
        <v/>
      </c>
      <c r="K124" s="67">
        <f>IF(OR($A124="",I124&lt;=0),"",J124/I124)</f>
        <v/>
      </c>
      <c r="L124" s="7">
        <f>IF($A124="","",IF(M124="대상 아님","대상 아님(L/C·선수금)",IF(AND(I124&gt;0,K124&lt;=-0.3),"감액 30%↑ — 사람 승인 필요",IF(J124&gt;0,"증액 — 전결권자 승인","유지·소폭 감액"))))</f>
        <v/>
      </c>
      <c r="M124" s="7">
        <f>IF($A124="","",'02_Buyers'!$BA121)</f>
        <v/>
      </c>
      <c r="N124" s="7">
        <f>IF(OR($A124="",M124="대상 아님"),"",IF(F124&lt;=50000,"채권관리팀장",IF(F124&lt;=200000,"영업본부장","대표이사")))</f>
        <v/>
      </c>
      <c r="O124" s="7">
        <f>IF($A124="","",'02_Buyers'!$AG121)</f>
        <v/>
      </c>
      <c r="P124" s="48" t="n"/>
      <c r="Q124" s="44">
        <f>IF(OR($A124="",P124=""),"",F124-P124)</f>
        <v/>
      </c>
      <c r="R124" s="45">
        <f>IF(OR($A124="",D124&lt;=0),"",COUNTIFS($G$5:$G$154,G124,$D$5:$D$154,"&gt;0"))</f>
        <v/>
      </c>
    </row>
    <row r="125">
      <c r="A125" s="7">
        <f>IF('02_Buyers'!$A122="","",'02_Buyers'!$A122)</f>
        <v/>
      </c>
      <c r="B125" s="7">
        <f>IF($A125="","",'02_Buyers'!$S122)</f>
        <v/>
      </c>
      <c r="C125" s="7">
        <f>IF($A125="","",'02_Buyers'!$AK122)</f>
        <v/>
      </c>
      <c r="D125" s="44">
        <f>IF($A125="",0,'02_Buyers'!$BB122)</f>
        <v/>
      </c>
      <c r="E125" s="44">
        <f>IF($A125="",0,'02_Buyers'!$BC122)</f>
        <v/>
      </c>
      <c r="F125" s="65" t="n">
        <v>0</v>
      </c>
      <c r="G125" s="61">
        <f>IF($A125="",0,'02_Buyers'!$BD122)</f>
        <v/>
      </c>
      <c r="H125" s="66">
        <f>IF($A125="",0,'02_Buyers'!$BE122)</f>
        <v/>
      </c>
      <c r="I125" s="44">
        <f>IF($A125="",0,'02_Buyers'!$AB122)</f>
        <v/>
      </c>
      <c r="J125" s="44">
        <f>IF($A125="","",F125-I125)</f>
        <v/>
      </c>
      <c r="K125" s="67">
        <f>IF(OR($A125="",I125&lt;=0),"",J125/I125)</f>
        <v/>
      </c>
      <c r="L125" s="7">
        <f>IF($A125="","",IF(M125="대상 아님","대상 아님(L/C·선수금)",IF(AND(I125&gt;0,K125&lt;=-0.3),"감액 30%↑ — 사람 승인 필요",IF(J125&gt;0,"증액 — 전결권자 승인","유지·소폭 감액"))))</f>
        <v/>
      </c>
      <c r="M125" s="7">
        <f>IF($A125="","",'02_Buyers'!$BA122)</f>
        <v/>
      </c>
      <c r="N125" s="7">
        <f>IF(OR($A125="",M125="대상 아님"),"",IF(F125&lt;=50000,"채권관리팀장",IF(F125&lt;=200000,"영업본부장","대표이사")))</f>
        <v/>
      </c>
      <c r="O125" s="7">
        <f>IF($A125="","",'02_Buyers'!$AG122)</f>
        <v/>
      </c>
      <c r="P125" s="48" t="n"/>
      <c r="Q125" s="44">
        <f>IF(OR($A125="",P125=""),"",F125-P125)</f>
        <v/>
      </c>
      <c r="R125" s="45">
        <f>IF(OR($A125="",D125&lt;=0),"",COUNTIFS($G$5:$G$154,G125,$D$5:$D$154,"&gt;0"))</f>
        <v/>
      </c>
    </row>
    <row r="126">
      <c r="A126" s="7">
        <f>IF('02_Buyers'!$A123="","",'02_Buyers'!$A123)</f>
        <v/>
      </c>
      <c r="B126" s="7">
        <f>IF($A126="","",'02_Buyers'!$S123)</f>
        <v/>
      </c>
      <c r="C126" s="7">
        <f>IF($A126="","",'02_Buyers'!$AK123)</f>
        <v/>
      </c>
      <c r="D126" s="44">
        <f>IF($A126="",0,'02_Buyers'!$BB123)</f>
        <v/>
      </c>
      <c r="E126" s="44">
        <f>IF($A126="",0,'02_Buyers'!$BC123)</f>
        <v/>
      </c>
      <c r="F126" s="65" t="n">
        <v>0</v>
      </c>
      <c r="G126" s="61">
        <f>IF($A126="",0,'02_Buyers'!$BD123)</f>
        <v/>
      </c>
      <c r="H126" s="66">
        <f>IF($A126="",0,'02_Buyers'!$BE123)</f>
        <v/>
      </c>
      <c r="I126" s="44">
        <f>IF($A126="",0,'02_Buyers'!$AB123)</f>
        <v/>
      </c>
      <c r="J126" s="44">
        <f>IF($A126="","",F126-I126)</f>
        <v/>
      </c>
      <c r="K126" s="67">
        <f>IF(OR($A126="",I126&lt;=0),"",J126/I126)</f>
        <v/>
      </c>
      <c r="L126" s="7">
        <f>IF($A126="","",IF(M126="대상 아님","대상 아님(L/C·선수금)",IF(AND(I126&gt;0,K126&lt;=-0.3),"감액 30%↑ — 사람 승인 필요",IF(J126&gt;0,"증액 — 전결권자 승인","유지·소폭 감액"))))</f>
        <v/>
      </c>
      <c r="M126" s="7">
        <f>IF($A126="","",'02_Buyers'!$BA123)</f>
        <v/>
      </c>
      <c r="N126" s="7">
        <f>IF(OR($A126="",M126="대상 아님"),"",IF(F126&lt;=50000,"채권관리팀장",IF(F126&lt;=200000,"영업본부장","대표이사")))</f>
        <v/>
      </c>
      <c r="O126" s="7">
        <f>IF($A126="","",'02_Buyers'!$AG123)</f>
        <v/>
      </c>
      <c r="P126" s="48" t="n"/>
      <c r="Q126" s="44">
        <f>IF(OR($A126="",P126=""),"",F126-P126)</f>
        <v/>
      </c>
      <c r="R126" s="45">
        <f>IF(OR($A126="",D126&lt;=0),"",COUNTIFS($G$5:$G$154,G126,$D$5:$D$154,"&gt;0"))</f>
        <v/>
      </c>
    </row>
    <row r="127">
      <c r="A127" s="7">
        <f>IF('02_Buyers'!$A124="","",'02_Buyers'!$A124)</f>
        <v/>
      </c>
      <c r="B127" s="7">
        <f>IF($A127="","",'02_Buyers'!$S124)</f>
        <v/>
      </c>
      <c r="C127" s="7">
        <f>IF($A127="","",'02_Buyers'!$AK124)</f>
        <v/>
      </c>
      <c r="D127" s="44">
        <f>IF($A127="",0,'02_Buyers'!$BB124)</f>
        <v/>
      </c>
      <c r="E127" s="44">
        <f>IF($A127="",0,'02_Buyers'!$BC124)</f>
        <v/>
      </c>
      <c r="F127" s="65" t="n">
        <v>0</v>
      </c>
      <c r="G127" s="61">
        <f>IF($A127="",0,'02_Buyers'!$BD124)</f>
        <v/>
      </c>
      <c r="H127" s="66">
        <f>IF($A127="",0,'02_Buyers'!$BE124)</f>
        <v/>
      </c>
      <c r="I127" s="44">
        <f>IF($A127="",0,'02_Buyers'!$AB124)</f>
        <v/>
      </c>
      <c r="J127" s="44">
        <f>IF($A127="","",F127-I127)</f>
        <v/>
      </c>
      <c r="K127" s="67">
        <f>IF(OR($A127="",I127&lt;=0),"",J127/I127)</f>
        <v/>
      </c>
      <c r="L127" s="7">
        <f>IF($A127="","",IF(M127="대상 아님","대상 아님(L/C·선수금)",IF(AND(I127&gt;0,K127&lt;=-0.3),"감액 30%↑ — 사람 승인 필요",IF(J127&gt;0,"증액 — 전결권자 승인","유지·소폭 감액"))))</f>
        <v/>
      </c>
      <c r="M127" s="7">
        <f>IF($A127="","",'02_Buyers'!$BA124)</f>
        <v/>
      </c>
      <c r="N127" s="7">
        <f>IF(OR($A127="",M127="대상 아님"),"",IF(F127&lt;=50000,"채권관리팀장",IF(F127&lt;=200000,"영업본부장","대표이사")))</f>
        <v/>
      </c>
      <c r="O127" s="7">
        <f>IF($A127="","",'02_Buyers'!$AG124)</f>
        <v/>
      </c>
      <c r="P127" s="48" t="n"/>
      <c r="Q127" s="44">
        <f>IF(OR($A127="",P127=""),"",F127-P127)</f>
        <v/>
      </c>
      <c r="R127" s="45">
        <f>IF(OR($A127="",D127&lt;=0),"",COUNTIFS($G$5:$G$154,G127,$D$5:$D$154,"&gt;0"))</f>
        <v/>
      </c>
    </row>
    <row r="128">
      <c r="A128" s="7">
        <f>IF('02_Buyers'!$A125="","",'02_Buyers'!$A125)</f>
        <v/>
      </c>
      <c r="B128" s="7">
        <f>IF($A128="","",'02_Buyers'!$S125)</f>
        <v/>
      </c>
      <c r="C128" s="7">
        <f>IF($A128="","",'02_Buyers'!$AK125)</f>
        <v/>
      </c>
      <c r="D128" s="44">
        <f>IF($A128="",0,'02_Buyers'!$BB125)</f>
        <v/>
      </c>
      <c r="E128" s="44">
        <f>IF($A128="",0,'02_Buyers'!$BC125)</f>
        <v/>
      </c>
      <c r="F128" s="65" t="n">
        <v>0</v>
      </c>
      <c r="G128" s="61">
        <f>IF($A128="",0,'02_Buyers'!$BD125)</f>
        <v/>
      </c>
      <c r="H128" s="66">
        <f>IF($A128="",0,'02_Buyers'!$BE125)</f>
        <v/>
      </c>
      <c r="I128" s="44">
        <f>IF($A128="",0,'02_Buyers'!$AB125)</f>
        <v/>
      </c>
      <c r="J128" s="44">
        <f>IF($A128="","",F128-I128)</f>
        <v/>
      </c>
      <c r="K128" s="67">
        <f>IF(OR($A128="",I128&lt;=0),"",J128/I128)</f>
        <v/>
      </c>
      <c r="L128" s="7">
        <f>IF($A128="","",IF(M128="대상 아님","대상 아님(L/C·선수금)",IF(AND(I128&gt;0,K128&lt;=-0.3),"감액 30%↑ — 사람 승인 필요",IF(J128&gt;0,"증액 — 전결권자 승인","유지·소폭 감액"))))</f>
        <v/>
      </c>
      <c r="M128" s="7">
        <f>IF($A128="","",'02_Buyers'!$BA125)</f>
        <v/>
      </c>
      <c r="N128" s="7">
        <f>IF(OR($A128="",M128="대상 아님"),"",IF(F128&lt;=50000,"채권관리팀장",IF(F128&lt;=200000,"영업본부장","대표이사")))</f>
        <v/>
      </c>
      <c r="O128" s="7">
        <f>IF($A128="","",'02_Buyers'!$AG125)</f>
        <v/>
      </c>
      <c r="P128" s="48" t="n"/>
      <c r="Q128" s="44">
        <f>IF(OR($A128="",P128=""),"",F128-P128)</f>
        <v/>
      </c>
      <c r="R128" s="45">
        <f>IF(OR($A128="",D128&lt;=0),"",COUNTIFS($G$5:$G$154,G128,$D$5:$D$154,"&gt;0"))</f>
        <v/>
      </c>
    </row>
    <row r="129">
      <c r="A129" s="7">
        <f>IF('02_Buyers'!$A126="","",'02_Buyers'!$A126)</f>
        <v/>
      </c>
      <c r="B129" s="7">
        <f>IF($A129="","",'02_Buyers'!$S126)</f>
        <v/>
      </c>
      <c r="C129" s="7">
        <f>IF($A129="","",'02_Buyers'!$AK126)</f>
        <v/>
      </c>
      <c r="D129" s="44">
        <f>IF($A129="",0,'02_Buyers'!$BB126)</f>
        <v/>
      </c>
      <c r="E129" s="44">
        <f>IF($A129="",0,'02_Buyers'!$BC126)</f>
        <v/>
      </c>
      <c r="F129" s="65" t="n">
        <v>0</v>
      </c>
      <c r="G129" s="61">
        <f>IF($A129="",0,'02_Buyers'!$BD126)</f>
        <v/>
      </c>
      <c r="H129" s="66">
        <f>IF($A129="",0,'02_Buyers'!$BE126)</f>
        <v/>
      </c>
      <c r="I129" s="44">
        <f>IF($A129="",0,'02_Buyers'!$AB126)</f>
        <v/>
      </c>
      <c r="J129" s="44">
        <f>IF($A129="","",F129-I129)</f>
        <v/>
      </c>
      <c r="K129" s="67">
        <f>IF(OR($A129="",I129&lt;=0),"",J129/I129)</f>
        <v/>
      </c>
      <c r="L129" s="7">
        <f>IF($A129="","",IF(M129="대상 아님","대상 아님(L/C·선수금)",IF(AND(I129&gt;0,K129&lt;=-0.3),"감액 30%↑ — 사람 승인 필요",IF(J129&gt;0,"증액 — 전결권자 승인","유지·소폭 감액"))))</f>
        <v/>
      </c>
      <c r="M129" s="7">
        <f>IF($A129="","",'02_Buyers'!$BA126)</f>
        <v/>
      </c>
      <c r="N129" s="7">
        <f>IF(OR($A129="",M129="대상 아님"),"",IF(F129&lt;=50000,"채권관리팀장",IF(F129&lt;=200000,"영업본부장","대표이사")))</f>
        <v/>
      </c>
      <c r="O129" s="7">
        <f>IF($A129="","",'02_Buyers'!$AG126)</f>
        <v/>
      </c>
      <c r="P129" s="48" t="n"/>
      <c r="Q129" s="44">
        <f>IF(OR($A129="",P129=""),"",F129-P129)</f>
        <v/>
      </c>
      <c r="R129" s="45">
        <f>IF(OR($A129="",D129&lt;=0),"",COUNTIFS($G$5:$G$154,G129,$D$5:$D$154,"&gt;0"))</f>
        <v/>
      </c>
    </row>
    <row r="130">
      <c r="A130" s="7">
        <f>IF('02_Buyers'!$A127="","",'02_Buyers'!$A127)</f>
        <v/>
      </c>
      <c r="B130" s="7">
        <f>IF($A130="","",'02_Buyers'!$S127)</f>
        <v/>
      </c>
      <c r="C130" s="7">
        <f>IF($A130="","",'02_Buyers'!$AK127)</f>
        <v/>
      </c>
      <c r="D130" s="44">
        <f>IF($A130="",0,'02_Buyers'!$BB127)</f>
        <v/>
      </c>
      <c r="E130" s="44">
        <f>IF($A130="",0,'02_Buyers'!$BC127)</f>
        <v/>
      </c>
      <c r="F130" s="65" t="n">
        <v>0</v>
      </c>
      <c r="G130" s="61">
        <f>IF($A130="",0,'02_Buyers'!$BD127)</f>
        <v/>
      </c>
      <c r="H130" s="66">
        <f>IF($A130="",0,'02_Buyers'!$BE127)</f>
        <v/>
      </c>
      <c r="I130" s="44">
        <f>IF($A130="",0,'02_Buyers'!$AB127)</f>
        <v/>
      </c>
      <c r="J130" s="44">
        <f>IF($A130="","",F130-I130)</f>
        <v/>
      </c>
      <c r="K130" s="67">
        <f>IF(OR($A130="",I130&lt;=0),"",J130/I130)</f>
        <v/>
      </c>
      <c r="L130" s="7">
        <f>IF($A130="","",IF(M130="대상 아님","대상 아님(L/C·선수금)",IF(AND(I130&gt;0,K130&lt;=-0.3),"감액 30%↑ — 사람 승인 필요",IF(J130&gt;0,"증액 — 전결권자 승인","유지·소폭 감액"))))</f>
        <v/>
      </c>
      <c r="M130" s="7">
        <f>IF($A130="","",'02_Buyers'!$BA127)</f>
        <v/>
      </c>
      <c r="N130" s="7">
        <f>IF(OR($A130="",M130="대상 아님"),"",IF(F130&lt;=50000,"채권관리팀장",IF(F130&lt;=200000,"영업본부장","대표이사")))</f>
        <v/>
      </c>
      <c r="O130" s="7">
        <f>IF($A130="","",'02_Buyers'!$AG127)</f>
        <v/>
      </c>
      <c r="P130" s="48" t="n"/>
      <c r="Q130" s="44">
        <f>IF(OR($A130="",P130=""),"",F130-P130)</f>
        <v/>
      </c>
      <c r="R130" s="45">
        <f>IF(OR($A130="",D130&lt;=0),"",COUNTIFS($G$5:$G$154,G130,$D$5:$D$154,"&gt;0"))</f>
        <v/>
      </c>
    </row>
    <row r="131">
      <c r="A131" s="7">
        <f>IF('02_Buyers'!$A128="","",'02_Buyers'!$A128)</f>
        <v/>
      </c>
      <c r="B131" s="7">
        <f>IF($A131="","",'02_Buyers'!$S128)</f>
        <v/>
      </c>
      <c r="C131" s="7">
        <f>IF($A131="","",'02_Buyers'!$AK128)</f>
        <v/>
      </c>
      <c r="D131" s="44">
        <f>IF($A131="",0,'02_Buyers'!$BB128)</f>
        <v/>
      </c>
      <c r="E131" s="44">
        <f>IF($A131="",0,'02_Buyers'!$BC128)</f>
        <v/>
      </c>
      <c r="F131" s="65" t="n">
        <v>0</v>
      </c>
      <c r="G131" s="61">
        <f>IF($A131="",0,'02_Buyers'!$BD128)</f>
        <v/>
      </c>
      <c r="H131" s="66">
        <f>IF($A131="",0,'02_Buyers'!$BE128)</f>
        <v/>
      </c>
      <c r="I131" s="44">
        <f>IF($A131="",0,'02_Buyers'!$AB128)</f>
        <v/>
      </c>
      <c r="J131" s="44">
        <f>IF($A131="","",F131-I131)</f>
        <v/>
      </c>
      <c r="K131" s="67">
        <f>IF(OR($A131="",I131&lt;=0),"",J131/I131)</f>
        <v/>
      </c>
      <c r="L131" s="7">
        <f>IF($A131="","",IF(M131="대상 아님","대상 아님(L/C·선수금)",IF(AND(I131&gt;0,K131&lt;=-0.3),"감액 30%↑ — 사람 승인 필요",IF(J131&gt;0,"증액 — 전결권자 승인","유지·소폭 감액"))))</f>
        <v/>
      </c>
      <c r="M131" s="7">
        <f>IF($A131="","",'02_Buyers'!$BA128)</f>
        <v/>
      </c>
      <c r="N131" s="7">
        <f>IF(OR($A131="",M131="대상 아님"),"",IF(F131&lt;=50000,"채권관리팀장",IF(F131&lt;=200000,"영업본부장","대표이사")))</f>
        <v/>
      </c>
      <c r="O131" s="7">
        <f>IF($A131="","",'02_Buyers'!$AG128)</f>
        <v/>
      </c>
      <c r="P131" s="48" t="n"/>
      <c r="Q131" s="44">
        <f>IF(OR($A131="",P131=""),"",F131-P131)</f>
        <v/>
      </c>
      <c r="R131" s="45">
        <f>IF(OR($A131="",D131&lt;=0),"",COUNTIFS($G$5:$G$154,G131,$D$5:$D$154,"&gt;0"))</f>
        <v/>
      </c>
    </row>
    <row r="132">
      <c r="A132" s="7">
        <f>IF('02_Buyers'!$A129="","",'02_Buyers'!$A129)</f>
        <v/>
      </c>
      <c r="B132" s="7">
        <f>IF($A132="","",'02_Buyers'!$S129)</f>
        <v/>
      </c>
      <c r="C132" s="7">
        <f>IF($A132="","",'02_Buyers'!$AK129)</f>
        <v/>
      </c>
      <c r="D132" s="44">
        <f>IF($A132="",0,'02_Buyers'!$BB129)</f>
        <v/>
      </c>
      <c r="E132" s="44">
        <f>IF($A132="",0,'02_Buyers'!$BC129)</f>
        <v/>
      </c>
      <c r="F132" s="65" t="n">
        <v>0</v>
      </c>
      <c r="G132" s="61">
        <f>IF($A132="",0,'02_Buyers'!$BD129)</f>
        <v/>
      </c>
      <c r="H132" s="66">
        <f>IF($A132="",0,'02_Buyers'!$BE129)</f>
        <v/>
      </c>
      <c r="I132" s="44">
        <f>IF($A132="",0,'02_Buyers'!$AB129)</f>
        <v/>
      </c>
      <c r="J132" s="44">
        <f>IF($A132="","",F132-I132)</f>
        <v/>
      </c>
      <c r="K132" s="67">
        <f>IF(OR($A132="",I132&lt;=0),"",J132/I132)</f>
        <v/>
      </c>
      <c r="L132" s="7">
        <f>IF($A132="","",IF(M132="대상 아님","대상 아님(L/C·선수금)",IF(AND(I132&gt;0,K132&lt;=-0.3),"감액 30%↑ — 사람 승인 필요",IF(J132&gt;0,"증액 — 전결권자 승인","유지·소폭 감액"))))</f>
        <v/>
      </c>
      <c r="M132" s="7">
        <f>IF($A132="","",'02_Buyers'!$BA129)</f>
        <v/>
      </c>
      <c r="N132" s="7">
        <f>IF(OR($A132="",M132="대상 아님"),"",IF(F132&lt;=50000,"채권관리팀장",IF(F132&lt;=200000,"영업본부장","대표이사")))</f>
        <v/>
      </c>
      <c r="O132" s="7">
        <f>IF($A132="","",'02_Buyers'!$AG129)</f>
        <v/>
      </c>
      <c r="P132" s="48" t="n"/>
      <c r="Q132" s="44">
        <f>IF(OR($A132="",P132=""),"",F132-P132)</f>
        <v/>
      </c>
      <c r="R132" s="45">
        <f>IF(OR($A132="",D132&lt;=0),"",COUNTIFS($G$5:$G$154,G132,$D$5:$D$154,"&gt;0"))</f>
        <v/>
      </c>
    </row>
    <row r="133">
      <c r="A133" s="7">
        <f>IF('02_Buyers'!$A130="","",'02_Buyers'!$A130)</f>
        <v/>
      </c>
      <c r="B133" s="7">
        <f>IF($A133="","",'02_Buyers'!$S130)</f>
        <v/>
      </c>
      <c r="C133" s="7">
        <f>IF($A133="","",'02_Buyers'!$AK130)</f>
        <v/>
      </c>
      <c r="D133" s="44">
        <f>IF($A133="",0,'02_Buyers'!$BB130)</f>
        <v/>
      </c>
      <c r="E133" s="44">
        <f>IF($A133="",0,'02_Buyers'!$BC130)</f>
        <v/>
      </c>
      <c r="F133" s="65" t="n">
        <v>0</v>
      </c>
      <c r="G133" s="61">
        <f>IF($A133="",0,'02_Buyers'!$BD130)</f>
        <v/>
      </c>
      <c r="H133" s="66">
        <f>IF($A133="",0,'02_Buyers'!$BE130)</f>
        <v/>
      </c>
      <c r="I133" s="44">
        <f>IF($A133="",0,'02_Buyers'!$AB130)</f>
        <v/>
      </c>
      <c r="J133" s="44">
        <f>IF($A133="","",F133-I133)</f>
        <v/>
      </c>
      <c r="K133" s="67">
        <f>IF(OR($A133="",I133&lt;=0),"",J133/I133)</f>
        <v/>
      </c>
      <c r="L133" s="7">
        <f>IF($A133="","",IF(M133="대상 아님","대상 아님(L/C·선수금)",IF(AND(I133&gt;0,K133&lt;=-0.3),"감액 30%↑ — 사람 승인 필요",IF(J133&gt;0,"증액 — 전결권자 승인","유지·소폭 감액"))))</f>
        <v/>
      </c>
      <c r="M133" s="7">
        <f>IF($A133="","",'02_Buyers'!$BA130)</f>
        <v/>
      </c>
      <c r="N133" s="7">
        <f>IF(OR($A133="",M133="대상 아님"),"",IF(F133&lt;=50000,"채권관리팀장",IF(F133&lt;=200000,"영업본부장","대표이사")))</f>
        <v/>
      </c>
      <c r="O133" s="7">
        <f>IF($A133="","",'02_Buyers'!$AG130)</f>
        <v/>
      </c>
      <c r="P133" s="48" t="n"/>
      <c r="Q133" s="44">
        <f>IF(OR($A133="",P133=""),"",F133-P133)</f>
        <v/>
      </c>
      <c r="R133" s="45">
        <f>IF(OR($A133="",D133&lt;=0),"",COUNTIFS($G$5:$G$154,G133,$D$5:$D$154,"&gt;0"))</f>
        <v/>
      </c>
    </row>
    <row r="134">
      <c r="A134" s="7">
        <f>IF('02_Buyers'!$A131="","",'02_Buyers'!$A131)</f>
        <v/>
      </c>
      <c r="B134" s="7">
        <f>IF($A134="","",'02_Buyers'!$S131)</f>
        <v/>
      </c>
      <c r="C134" s="7">
        <f>IF($A134="","",'02_Buyers'!$AK131)</f>
        <v/>
      </c>
      <c r="D134" s="44">
        <f>IF($A134="",0,'02_Buyers'!$BB131)</f>
        <v/>
      </c>
      <c r="E134" s="44">
        <f>IF($A134="",0,'02_Buyers'!$BC131)</f>
        <v/>
      </c>
      <c r="F134" s="65" t="n">
        <v>0</v>
      </c>
      <c r="G134" s="61">
        <f>IF($A134="",0,'02_Buyers'!$BD131)</f>
        <v/>
      </c>
      <c r="H134" s="66">
        <f>IF($A134="",0,'02_Buyers'!$BE131)</f>
        <v/>
      </c>
      <c r="I134" s="44">
        <f>IF($A134="",0,'02_Buyers'!$AB131)</f>
        <v/>
      </c>
      <c r="J134" s="44">
        <f>IF($A134="","",F134-I134)</f>
        <v/>
      </c>
      <c r="K134" s="67">
        <f>IF(OR($A134="",I134&lt;=0),"",J134/I134)</f>
        <v/>
      </c>
      <c r="L134" s="7">
        <f>IF($A134="","",IF(M134="대상 아님","대상 아님(L/C·선수금)",IF(AND(I134&gt;0,K134&lt;=-0.3),"감액 30%↑ — 사람 승인 필요",IF(J134&gt;0,"증액 — 전결권자 승인","유지·소폭 감액"))))</f>
        <v/>
      </c>
      <c r="M134" s="7">
        <f>IF($A134="","",'02_Buyers'!$BA131)</f>
        <v/>
      </c>
      <c r="N134" s="7">
        <f>IF(OR($A134="",M134="대상 아님"),"",IF(F134&lt;=50000,"채권관리팀장",IF(F134&lt;=200000,"영업본부장","대표이사")))</f>
        <v/>
      </c>
      <c r="O134" s="7">
        <f>IF($A134="","",'02_Buyers'!$AG131)</f>
        <v/>
      </c>
      <c r="P134" s="48" t="n"/>
      <c r="Q134" s="44">
        <f>IF(OR($A134="",P134=""),"",F134-P134)</f>
        <v/>
      </c>
      <c r="R134" s="45">
        <f>IF(OR($A134="",D134&lt;=0),"",COUNTIFS($G$5:$G$154,G134,$D$5:$D$154,"&gt;0"))</f>
        <v/>
      </c>
    </row>
    <row r="135">
      <c r="A135" s="7">
        <f>IF('02_Buyers'!$A132="","",'02_Buyers'!$A132)</f>
        <v/>
      </c>
      <c r="B135" s="7">
        <f>IF($A135="","",'02_Buyers'!$S132)</f>
        <v/>
      </c>
      <c r="C135" s="7">
        <f>IF($A135="","",'02_Buyers'!$AK132)</f>
        <v/>
      </c>
      <c r="D135" s="44">
        <f>IF($A135="",0,'02_Buyers'!$BB132)</f>
        <v/>
      </c>
      <c r="E135" s="44">
        <f>IF($A135="",0,'02_Buyers'!$BC132)</f>
        <v/>
      </c>
      <c r="F135" s="65" t="n">
        <v>0</v>
      </c>
      <c r="G135" s="61">
        <f>IF($A135="",0,'02_Buyers'!$BD132)</f>
        <v/>
      </c>
      <c r="H135" s="66">
        <f>IF($A135="",0,'02_Buyers'!$BE132)</f>
        <v/>
      </c>
      <c r="I135" s="44">
        <f>IF($A135="",0,'02_Buyers'!$AB132)</f>
        <v/>
      </c>
      <c r="J135" s="44">
        <f>IF($A135="","",F135-I135)</f>
        <v/>
      </c>
      <c r="K135" s="67">
        <f>IF(OR($A135="",I135&lt;=0),"",J135/I135)</f>
        <v/>
      </c>
      <c r="L135" s="7">
        <f>IF($A135="","",IF(M135="대상 아님","대상 아님(L/C·선수금)",IF(AND(I135&gt;0,K135&lt;=-0.3),"감액 30%↑ — 사람 승인 필요",IF(J135&gt;0,"증액 — 전결권자 승인","유지·소폭 감액"))))</f>
        <v/>
      </c>
      <c r="M135" s="7">
        <f>IF($A135="","",'02_Buyers'!$BA132)</f>
        <v/>
      </c>
      <c r="N135" s="7">
        <f>IF(OR($A135="",M135="대상 아님"),"",IF(F135&lt;=50000,"채권관리팀장",IF(F135&lt;=200000,"영업본부장","대표이사")))</f>
        <v/>
      </c>
      <c r="O135" s="7">
        <f>IF($A135="","",'02_Buyers'!$AG132)</f>
        <v/>
      </c>
      <c r="P135" s="48" t="n"/>
      <c r="Q135" s="44">
        <f>IF(OR($A135="",P135=""),"",F135-P135)</f>
        <v/>
      </c>
      <c r="R135" s="45">
        <f>IF(OR($A135="",D135&lt;=0),"",COUNTIFS($G$5:$G$154,G135,$D$5:$D$154,"&gt;0"))</f>
        <v/>
      </c>
    </row>
    <row r="136">
      <c r="A136" s="7">
        <f>IF('02_Buyers'!$A133="","",'02_Buyers'!$A133)</f>
        <v/>
      </c>
      <c r="B136" s="7">
        <f>IF($A136="","",'02_Buyers'!$S133)</f>
        <v/>
      </c>
      <c r="C136" s="7">
        <f>IF($A136="","",'02_Buyers'!$AK133)</f>
        <v/>
      </c>
      <c r="D136" s="44">
        <f>IF($A136="",0,'02_Buyers'!$BB133)</f>
        <v/>
      </c>
      <c r="E136" s="44">
        <f>IF($A136="",0,'02_Buyers'!$BC133)</f>
        <v/>
      </c>
      <c r="F136" s="65" t="n">
        <v>0</v>
      </c>
      <c r="G136" s="61">
        <f>IF($A136="",0,'02_Buyers'!$BD133)</f>
        <v/>
      </c>
      <c r="H136" s="66">
        <f>IF($A136="",0,'02_Buyers'!$BE133)</f>
        <v/>
      </c>
      <c r="I136" s="44">
        <f>IF($A136="",0,'02_Buyers'!$AB133)</f>
        <v/>
      </c>
      <c r="J136" s="44">
        <f>IF($A136="","",F136-I136)</f>
        <v/>
      </c>
      <c r="K136" s="67">
        <f>IF(OR($A136="",I136&lt;=0),"",J136/I136)</f>
        <v/>
      </c>
      <c r="L136" s="7">
        <f>IF($A136="","",IF(M136="대상 아님","대상 아님(L/C·선수금)",IF(AND(I136&gt;0,K136&lt;=-0.3),"감액 30%↑ — 사람 승인 필요",IF(J136&gt;0,"증액 — 전결권자 승인","유지·소폭 감액"))))</f>
        <v/>
      </c>
      <c r="M136" s="7">
        <f>IF($A136="","",'02_Buyers'!$BA133)</f>
        <v/>
      </c>
      <c r="N136" s="7">
        <f>IF(OR($A136="",M136="대상 아님"),"",IF(F136&lt;=50000,"채권관리팀장",IF(F136&lt;=200000,"영업본부장","대표이사")))</f>
        <v/>
      </c>
      <c r="O136" s="7">
        <f>IF($A136="","",'02_Buyers'!$AG133)</f>
        <v/>
      </c>
      <c r="P136" s="48" t="n"/>
      <c r="Q136" s="44">
        <f>IF(OR($A136="",P136=""),"",F136-P136)</f>
        <v/>
      </c>
      <c r="R136" s="45">
        <f>IF(OR($A136="",D136&lt;=0),"",COUNTIFS($G$5:$G$154,G136,$D$5:$D$154,"&gt;0"))</f>
        <v/>
      </c>
    </row>
    <row r="137">
      <c r="A137" s="7">
        <f>IF('02_Buyers'!$A134="","",'02_Buyers'!$A134)</f>
        <v/>
      </c>
      <c r="B137" s="7">
        <f>IF($A137="","",'02_Buyers'!$S134)</f>
        <v/>
      </c>
      <c r="C137" s="7">
        <f>IF($A137="","",'02_Buyers'!$AK134)</f>
        <v/>
      </c>
      <c r="D137" s="44">
        <f>IF($A137="",0,'02_Buyers'!$BB134)</f>
        <v/>
      </c>
      <c r="E137" s="44">
        <f>IF($A137="",0,'02_Buyers'!$BC134)</f>
        <v/>
      </c>
      <c r="F137" s="65" t="n">
        <v>0</v>
      </c>
      <c r="G137" s="61">
        <f>IF($A137="",0,'02_Buyers'!$BD134)</f>
        <v/>
      </c>
      <c r="H137" s="66">
        <f>IF($A137="",0,'02_Buyers'!$BE134)</f>
        <v/>
      </c>
      <c r="I137" s="44">
        <f>IF($A137="",0,'02_Buyers'!$AB134)</f>
        <v/>
      </c>
      <c r="J137" s="44">
        <f>IF($A137="","",F137-I137)</f>
        <v/>
      </c>
      <c r="K137" s="67">
        <f>IF(OR($A137="",I137&lt;=0),"",J137/I137)</f>
        <v/>
      </c>
      <c r="L137" s="7">
        <f>IF($A137="","",IF(M137="대상 아님","대상 아님(L/C·선수금)",IF(AND(I137&gt;0,K137&lt;=-0.3),"감액 30%↑ — 사람 승인 필요",IF(J137&gt;0,"증액 — 전결권자 승인","유지·소폭 감액"))))</f>
        <v/>
      </c>
      <c r="M137" s="7">
        <f>IF($A137="","",'02_Buyers'!$BA134)</f>
        <v/>
      </c>
      <c r="N137" s="7">
        <f>IF(OR($A137="",M137="대상 아님"),"",IF(F137&lt;=50000,"채권관리팀장",IF(F137&lt;=200000,"영업본부장","대표이사")))</f>
        <v/>
      </c>
      <c r="O137" s="7">
        <f>IF($A137="","",'02_Buyers'!$AG134)</f>
        <v/>
      </c>
      <c r="P137" s="48" t="n"/>
      <c r="Q137" s="44">
        <f>IF(OR($A137="",P137=""),"",F137-P137)</f>
        <v/>
      </c>
      <c r="R137" s="45">
        <f>IF(OR($A137="",D137&lt;=0),"",COUNTIFS($G$5:$G$154,G137,$D$5:$D$154,"&gt;0"))</f>
        <v/>
      </c>
    </row>
    <row r="138">
      <c r="A138" s="7">
        <f>IF('02_Buyers'!$A135="","",'02_Buyers'!$A135)</f>
        <v/>
      </c>
      <c r="B138" s="7">
        <f>IF($A138="","",'02_Buyers'!$S135)</f>
        <v/>
      </c>
      <c r="C138" s="7">
        <f>IF($A138="","",'02_Buyers'!$AK135)</f>
        <v/>
      </c>
      <c r="D138" s="44">
        <f>IF($A138="",0,'02_Buyers'!$BB135)</f>
        <v/>
      </c>
      <c r="E138" s="44">
        <f>IF($A138="",0,'02_Buyers'!$BC135)</f>
        <v/>
      </c>
      <c r="F138" s="65" t="n">
        <v>0</v>
      </c>
      <c r="G138" s="61">
        <f>IF($A138="",0,'02_Buyers'!$BD135)</f>
        <v/>
      </c>
      <c r="H138" s="66">
        <f>IF($A138="",0,'02_Buyers'!$BE135)</f>
        <v/>
      </c>
      <c r="I138" s="44">
        <f>IF($A138="",0,'02_Buyers'!$AB135)</f>
        <v/>
      </c>
      <c r="J138" s="44">
        <f>IF($A138="","",F138-I138)</f>
        <v/>
      </c>
      <c r="K138" s="67">
        <f>IF(OR($A138="",I138&lt;=0),"",J138/I138)</f>
        <v/>
      </c>
      <c r="L138" s="7">
        <f>IF($A138="","",IF(M138="대상 아님","대상 아님(L/C·선수금)",IF(AND(I138&gt;0,K138&lt;=-0.3),"감액 30%↑ — 사람 승인 필요",IF(J138&gt;0,"증액 — 전결권자 승인","유지·소폭 감액"))))</f>
        <v/>
      </c>
      <c r="M138" s="7">
        <f>IF($A138="","",'02_Buyers'!$BA135)</f>
        <v/>
      </c>
      <c r="N138" s="7">
        <f>IF(OR($A138="",M138="대상 아님"),"",IF(F138&lt;=50000,"채권관리팀장",IF(F138&lt;=200000,"영업본부장","대표이사")))</f>
        <v/>
      </c>
      <c r="O138" s="7">
        <f>IF($A138="","",'02_Buyers'!$AG135)</f>
        <v/>
      </c>
      <c r="P138" s="48" t="n"/>
      <c r="Q138" s="44">
        <f>IF(OR($A138="",P138=""),"",F138-P138)</f>
        <v/>
      </c>
      <c r="R138" s="45">
        <f>IF(OR($A138="",D138&lt;=0),"",COUNTIFS($G$5:$G$154,G138,$D$5:$D$154,"&gt;0"))</f>
        <v/>
      </c>
    </row>
    <row r="139">
      <c r="A139" s="7">
        <f>IF('02_Buyers'!$A136="","",'02_Buyers'!$A136)</f>
        <v/>
      </c>
      <c r="B139" s="7">
        <f>IF($A139="","",'02_Buyers'!$S136)</f>
        <v/>
      </c>
      <c r="C139" s="7">
        <f>IF($A139="","",'02_Buyers'!$AK136)</f>
        <v/>
      </c>
      <c r="D139" s="44">
        <f>IF($A139="",0,'02_Buyers'!$BB136)</f>
        <v/>
      </c>
      <c r="E139" s="44">
        <f>IF($A139="",0,'02_Buyers'!$BC136)</f>
        <v/>
      </c>
      <c r="F139" s="65" t="n">
        <v>0</v>
      </c>
      <c r="G139" s="61">
        <f>IF($A139="",0,'02_Buyers'!$BD136)</f>
        <v/>
      </c>
      <c r="H139" s="66">
        <f>IF($A139="",0,'02_Buyers'!$BE136)</f>
        <v/>
      </c>
      <c r="I139" s="44">
        <f>IF($A139="",0,'02_Buyers'!$AB136)</f>
        <v/>
      </c>
      <c r="J139" s="44">
        <f>IF($A139="","",F139-I139)</f>
        <v/>
      </c>
      <c r="K139" s="67">
        <f>IF(OR($A139="",I139&lt;=0),"",J139/I139)</f>
        <v/>
      </c>
      <c r="L139" s="7">
        <f>IF($A139="","",IF(M139="대상 아님","대상 아님(L/C·선수금)",IF(AND(I139&gt;0,K139&lt;=-0.3),"감액 30%↑ — 사람 승인 필요",IF(J139&gt;0,"증액 — 전결권자 승인","유지·소폭 감액"))))</f>
        <v/>
      </c>
      <c r="M139" s="7">
        <f>IF($A139="","",'02_Buyers'!$BA136)</f>
        <v/>
      </c>
      <c r="N139" s="7">
        <f>IF(OR($A139="",M139="대상 아님"),"",IF(F139&lt;=50000,"채권관리팀장",IF(F139&lt;=200000,"영업본부장","대표이사")))</f>
        <v/>
      </c>
      <c r="O139" s="7">
        <f>IF($A139="","",'02_Buyers'!$AG136)</f>
        <v/>
      </c>
      <c r="P139" s="48" t="n"/>
      <c r="Q139" s="44">
        <f>IF(OR($A139="",P139=""),"",F139-P139)</f>
        <v/>
      </c>
      <c r="R139" s="45">
        <f>IF(OR($A139="",D139&lt;=0),"",COUNTIFS($G$5:$G$154,G139,$D$5:$D$154,"&gt;0"))</f>
        <v/>
      </c>
    </row>
    <row r="140">
      <c r="A140" s="7">
        <f>IF('02_Buyers'!$A137="","",'02_Buyers'!$A137)</f>
        <v/>
      </c>
      <c r="B140" s="7">
        <f>IF($A140="","",'02_Buyers'!$S137)</f>
        <v/>
      </c>
      <c r="C140" s="7">
        <f>IF($A140="","",'02_Buyers'!$AK137)</f>
        <v/>
      </c>
      <c r="D140" s="44">
        <f>IF($A140="",0,'02_Buyers'!$BB137)</f>
        <v/>
      </c>
      <c r="E140" s="44">
        <f>IF($A140="",0,'02_Buyers'!$BC137)</f>
        <v/>
      </c>
      <c r="F140" s="65" t="n">
        <v>0</v>
      </c>
      <c r="G140" s="61">
        <f>IF($A140="",0,'02_Buyers'!$BD137)</f>
        <v/>
      </c>
      <c r="H140" s="66">
        <f>IF($A140="",0,'02_Buyers'!$BE137)</f>
        <v/>
      </c>
      <c r="I140" s="44">
        <f>IF($A140="",0,'02_Buyers'!$AB137)</f>
        <v/>
      </c>
      <c r="J140" s="44">
        <f>IF($A140="","",F140-I140)</f>
        <v/>
      </c>
      <c r="K140" s="67">
        <f>IF(OR($A140="",I140&lt;=0),"",J140/I140)</f>
        <v/>
      </c>
      <c r="L140" s="7">
        <f>IF($A140="","",IF(M140="대상 아님","대상 아님(L/C·선수금)",IF(AND(I140&gt;0,K140&lt;=-0.3),"감액 30%↑ — 사람 승인 필요",IF(J140&gt;0,"증액 — 전결권자 승인","유지·소폭 감액"))))</f>
        <v/>
      </c>
      <c r="M140" s="7">
        <f>IF($A140="","",'02_Buyers'!$BA137)</f>
        <v/>
      </c>
      <c r="N140" s="7">
        <f>IF(OR($A140="",M140="대상 아님"),"",IF(F140&lt;=50000,"채권관리팀장",IF(F140&lt;=200000,"영업본부장","대표이사")))</f>
        <v/>
      </c>
      <c r="O140" s="7">
        <f>IF($A140="","",'02_Buyers'!$AG137)</f>
        <v/>
      </c>
      <c r="P140" s="48" t="n"/>
      <c r="Q140" s="44">
        <f>IF(OR($A140="",P140=""),"",F140-P140)</f>
        <v/>
      </c>
      <c r="R140" s="45">
        <f>IF(OR($A140="",D140&lt;=0),"",COUNTIFS($G$5:$G$154,G140,$D$5:$D$154,"&gt;0"))</f>
        <v/>
      </c>
    </row>
    <row r="141">
      <c r="A141" s="7">
        <f>IF('02_Buyers'!$A138="","",'02_Buyers'!$A138)</f>
        <v/>
      </c>
      <c r="B141" s="7">
        <f>IF($A141="","",'02_Buyers'!$S138)</f>
        <v/>
      </c>
      <c r="C141" s="7">
        <f>IF($A141="","",'02_Buyers'!$AK138)</f>
        <v/>
      </c>
      <c r="D141" s="44">
        <f>IF($A141="",0,'02_Buyers'!$BB138)</f>
        <v/>
      </c>
      <c r="E141" s="44">
        <f>IF($A141="",0,'02_Buyers'!$BC138)</f>
        <v/>
      </c>
      <c r="F141" s="65" t="n">
        <v>0</v>
      </c>
      <c r="G141" s="61">
        <f>IF($A141="",0,'02_Buyers'!$BD138)</f>
        <v/>
      </c>
      <c r="H141" s="66">
        <f>IF($A141="",0,'02_Buyers'!$BE138)</f>
        <v/>
      </c>
      <c r="I141" s="44">
        <f>IF($A141="",0,'02_Buyers'!$AB138)</f>
        <v/>
      </c>
      <c r="J141" s="44">
        <f>IF($A141="","",F141-I141)</f>
        <v/>
      </c>
      <c r="K141" s="67">
        <f>IF(OR($A141="",I141&lt;=0),"",J141/I141)</f>
        <v/>
      </c>
      <c r="L141" s="7">
        <f>IF($A141="","",IF(M141="대상 아님","대상 아님(L/C·선수금)",IF(AND(I141&gt;0,K141&lt;=-0.3),"감액 30%↑ — 사람 승인 필요",IF(J141&gt;0,"증액 — 전결권자 승인","유지·소폭 감액"))))</f>
        <v/>
      </c>
      <c r="M141" s="7">
        <f>IF($A141="","",'02_Buyers'!$BA138)</f>
        <v/>
      </c>
      <c r="N141" s="7">
        <f>IF(OR($A141="",M141="대상 아님"),"",IF(F141&lt;=50000,"채권관리팀장",IF(F141&lt;=200000,"영업본부장","대표이사")))</f>
        <v/>
      </c>
      <c r="O141" s="7">
        <f>IF($A141="","",'02_Buyers'!$AG138)</f>
        <v/>
      </c>
      <c r="P141" s="48" t="n"/>
      <c r="Q141" s="44">
        <f>IF(OR($A141="",P141=""),"",F141-P141)</f>
        <v/>
      </c>
      <c r="R141" s="45">
        <f>IF(OR($A141="",D141&lt;=0),"",COUNTIFS($G$5:$G$154,G141,$D$5:$D$154,"&gt;0"))</f>
        <v/>
      </c>
    </row>
    <row r="142">
      <c r="A142" s="7">
        <f>IF('02_Buyers'!$A139="","",'02_Buyers'!$A139)</f>
        <v/>
      </c>
      <c r="B142" s="7">
        <f>IF($A142="","",'02_Buyers'!$S139)</f>
        <v/>
      </c>
      <c r="C142" s="7">
        <f>IF($A142="","",'02_Buyers'!$AK139)</f>
        <v/>
      </c>
      <c r="D142" s="44">
        <f>IF($A142="",0,'02_Buyers'!$BB139)</f>
        <v/>
      </c>
      <c r="E142" s="44">
        <f>IF($A142="",0,'02_Buyers'!$BC139)</f>
        <v/>
      </c>
      <c r="F142" s="65" t="n">
        <v>0</v>
      </c>
      <c r="G142" s="61">
        <f>IF($A142="",0,'02_Buyers'!$BD139)</f>
        <v/>
      </c>
      <c r="H142" s="66">
        <f>IF($A142="",0,'02_Buyers'!$BE139)</f>
        <v/>
      </c>
      <c r="I142" s="44">
        <f>IF($A142="",0,'02_Buyers'!$AB139)</f>
        <v/>
      </c>
      <c r="J142" s="44">
        <f>IF($A142="","",F142-I142)</f>
        <v/>
      </c>
      <c r="K142" s="67">
        <f>IF(OR($A142="",I142&lt;=0),"",J142/I142)</f>
        <v/>
      </c>
      <c r="L142" s="7">
        <f>IF($A142="","",IF(M142="대상 아님","대상 아님(L/C·선수금)",IF(AND(I142&gt;0,K142&lt;=-0.3),"감액 30%↑ — 사람 승인 필요",IF(J142&gt;0,"증액 — 전결권자 승인","유지·소폭 감액"))))</f>
        <v/>
      </c>
      <c r="M142" s="7">
        <f>IF($A142="","",'02_Buyers'!$BA139)</f>
        <v/>
      </c>
      <c r="N142" s="7">
        <f>IF(OR($A142="",M142="대상 아님"),"",IF(F142&lt;=50000,"채권관리팀장",IF(F142&lt;=200000,"영업본부장","대표이사")))</f>
        <v/>
      </c>
      <c r="O142" s="7">
        <f>IF($A142="","",'02_Buyers'!$AG139)</f>
        <v/>
      </c>
      <c r="P142" s="48" t="n"/>
      <c r="Q142" s="44">
        <f>IF(OR($A142="",P142=""),"",F142-P142)</f>
        <v/>
      </c>
      <c r="R142" s="45">
        <f>IF(OR($A142="",D142&lt;=0),"",COUNTIFS($G$5:$G$154,G142,$D$5:$D$154,"&gt;0"))</f>
        <v/>
      </c>
    </row>
    <row r="143">
      <c r="A143" s="7">
        <f>IF('02_Buyers'!$A140="","",'02_Buyers'!$A140)</f>
        <v/>
      </c>
      <c r="B143" s="7">
        <f>IF($A143="","",'02_Buyers'!$S140)</f>
        <v/>
      </c>
      <c r="C143" s="7">
        <f>IF($A143="","",'02_Buyers'!$AK140)</f>
        <v/>
      </c>
      <c r="D143" s="44">
        <f>IF($A143="",0,'02_Buyers'!$BB140)</f>
        <v/>
      </c>
      <c r="E143" s="44">
        <f>IF($A143="",0,'02_Buyers'!$BC140)</f>
        <v/>
      </c>
      <c r="F143" s="65" t="n">
        <v>0</v>
      </c>
      <c r="G143" s="61">
        <f>IF($A143="",0,'02_Buyers'!$BD140)</f>
        <v/>
      </c>
      <c r="H143" s="66">
        <f>IF($A143="",0,'02_Buyers'!$BE140)</f>
        <v/>
      </c>
      <c r="I143" s="44">
        <f>IF($A143="",0,'02_Buyers'!$AB140)</f>
        <v/>
      </c>
      <c r="J143" s="44">
        <f>IF($A143="","",F143-I143)</f>
        <v/>
      </c>
      <c r="K143" s="67">
        <f>IF(OR($A143="",I143&lt;=0),"",J143/I143)</f>
        <v/>
      </c>
      <c r="L143" s="7">
        <f>IF($A143="","",IF(M143="대상 아님","대상 아님(L/C·선수금)",IF(AND(I143&gt;0,K143&lt;=-0.3),"감액 30%↑ — 사람 승인 필요",IF(J143&gt;0,"증액 — 전결권자 승인","유지·소폭 감액"))))</f>
        <v/>
      </c>
      <c r="M143" s="7">
        <f>IF($A143="","",'02_Buyers'!$BA140)</f>
        <v/>
      </c>
      <c r="N143" s="7">
        <f>IF(OR($A143="",M143="대상 아님"),"",IF(F143&lt;=50000,"채권관리팀장",IF(F143&lt;=200000,"영업본부장","대표이사")))</f>
        <v/>
      </c>
      <c r="O143" s="7">
        <f>IF($A143="","",'02_Buyers'!$AG140)</f>
        <v/>
      </c>
      <c r="P143" s="48" t="n"/>
      <c r="Q143" s="44">
        <f>IF(OR($A143="",P143=""),"",F143-P143)</f>
        <v/>
      </c>
      <c r="R143" s="45">
        <f>IF(OR($A143="",D143&lt;=0),"",COUNTIFS($G$5:$G$154,G143,$D$5:$D$154,"&gt;0"))</f>
        <v/>
      </c>
    </row>
    <row r="144">
      <c r="A144" s="7">
        <f>IF('02_Buyers'!$A141="","",'02_Buyers'!$A141)</f>
        <v/>
      </c>
      <c r="B144" s="7">
        <f>IF($A144="","",'02_Buyers'!$S141)</f>
        <v/>
      </c>
      <c r="C144" s="7">
        <f>IF($A144="","",'02_Buyers'!$AK141)</f>
        <v/>
      </c>
      <c r="D144" s="44">
        <f>IF($A144="",0,'02_Buyers'!$BB141)</f>
        <v/>
      </c>
      <c r="E144" s="44">
        <f>IF($A144="",0,'02_Buyers'!$BC141)</f>
        <v/>
      </c>
      <c r="F144" s="65" t="n">
        <v>0</v>
      </c>
      <c r="G144" s="61">
        <f>IF($A144="",0,'02_Buyers'!$BD141)</f>
        <v/>
      </c>
      <c r="H144" s="66">
        <f>IF($A144="",0,'02_Buyers'!$BE141)</f>
        <v/>
      </c>
      <c r="I144" s="44">
        <f>IF($A144="",0,'02_Buyers'!$AB141)</f>
        <v/>
      </c>
      <c r="J144" s="44">
        <f>IF($A144="","",F144-I144)</f>
        <v/>
      </c>
      <c r="K144" s="67">
        <f>IF(OR($A144="",I144&lt;=0),"",J144/I144)</f>
        <v/>
      </c>
      <c r="L144" s="7">
        <f>IF($A144="","",IF(M144="대상 아님","대상 아님(L/C·선수금)",IF(AND(I144&gt;0,K144&lt;=-0.3),"감액 30%↑ — 사람 승인 필요",IF(J144&gt;0,"증액 — 전결권자 승인","유지·소폭 감액"))))</f>
        <v/>
      </c>
      <c r="M144" s="7">
        <f>IF($A144="","",'02_Buyers'!$BA141)</f>
        <v/>
      </c>
      <c r="N144" s="7">
        <f>IF(OR($A144="",M144="대상 아님"),"",IF(F144&lt;=50000,"채권관리팀장",IF(F144&lt;=200000,"영업본부장","대표이사")))</f>
        <v/>
      </c>
      <c r="O144" s="7">
        <f>IF($A144="","",'02_Buyers'!$AG141)</f>
        <v/>
      </c>
      <c r="P144" s="48" t="n"/>
      <c r="Q144" s="44">
        <f>IF(OR($A144="",P144=""),"",F144-P144)</f>
        <v/>
      </c>
      <c r="R144" s="45">
        <f>IF(OR($A144="",D144&lt;=0),"",COUNTIFS($G$5:$G$154,G144,$D$5:$D$154,"&gt;0"))</f>
        <v/>
      </c>
    </row>
    <row r="145">
      <c r="A145" s="7">
        <f>IF('02_Buyers'!$A142="","",'02_Buyers'!$A142)</f>
        <v/>
      </c>
      <c r="B145" s="7">
        <f>IF($A145="","",'02_Buyers'!$S142)</f>
        <v/>
      </c>
      <c r="C145" s="7">
        <f>IF($A145="","",'02_Buyers'!$AK142)</f>
        <v/>
      </c>
      <c r="D145" s="44">
        <f>IF($A145="",0,'02_Buyers'!$BB142)</f>
        <v/>
      </c>
      <c r="E145" s="44">
        <f>IF($A145="",0,'02_Buyers'!$BC142)</f>
        <v/>
      </c>
      <c r="F145" s="65" t="n">
        <v>0</v>
      </c>
      <c r="G145" s="61">
        <f>IF($A145="",0,'02_Buyers'!$BD142)</f>
        <v/>
      </c>
      <c r="H145" s="66">
        <f>IF($A145="",0,'02_Buyers'!$BE142)</f>
        <v/>
      </c>
      <c r="I145" s="44">
        <f>IF($A145="",0,'02_Buyers'!$AB142)</f>
        <v/>
      </c>
      <c r="J145" s="44">
        <f>IF($A145="","",F145-I145)</f>
        <v/>
      </c>
      <c r="K145" s="67">
        <f>IF(OR($A145="",I145&lt;=0),"",J145/I145)</f>
        <v/>
      </c>
      <c r="L145" s="7">
        <f>IF($A145="","",IF(M145="대상 아님","대상 아님(L/C·선수금)",IF(AND(I145&gt;0,K145&lt;=-0.3),"감액 30%↑ — 사람 승인 필요",IF(J145&gt;0,"증액 — 전결권자 승인","유지·소폭 감액"))))</f>
        <v/>
      </c>
      <c r="M145" s="7">
        <f>IF($A145="","",'02_Buyers'!$BA142)</f>
        <v/>
      </c>
      <c r="N145" s="7">
        <f>IF(OR($A145="",M145="대상 아님"),"",IF(F145&lt;=50000,"채권관리팀장",IF(F145&lt;=200000,"영업본부장","대표이사")))</f>
        <v/>
      </c>
      <c r="O145" s="7">
        <f>IF($A145="","",'02_Buyers'!$AG142)</f>
        <v/>
      </c>
      <c r="P145" s="48" t="n"/>
      <c r="Q145" s="44">
        <f>IF(OR($A145="",P145=""),"",F145-P145)</f>
        <v/>
      </c>
      <c r="R145" s="45">
        <f>IF(OR($A145="",D145&lt;=0),"",COUNTIFS($G$5:$G$154,G145,$D$5:$D$154,"&gt;0"))</f>
        <v/>
      </c>
    </row>
    <row r="146">
      <c r="A146" s="7">
        <f>IF('02_Buyers'!$A143="","",'02_Buyers'!$A143)</f>
        <v/>
      </c>
      <c r="B146" s="7">
        <f>IF($A146="","",'02_Buyers'!$S143)</f>
        <v/>
      </c>
      <c r="C146" s="7">
        <f>IF($A146="","",'02_Buyers'!$AK143)</f>
        <v/>
      </c>
      <c r="D146" s="44">
        <f>IF($A146="",0,'02_Buyers'!$BB143)</f>
        <v/>
      </c>
      <c r="E146" s="44">
        <f>IF($A146="",0,'02_Buyers'!$BC143)</f>
        <v/>
      </c>
      <c r="F146" s="65" t="n">
        <v>0</v>
      </c>
      <c r="G146" s="61">
        <f>IF($A146="",0,'02_Buyers'!$BD143)</f>
        <v/>
      </c>
      <c r="H146" s="66">
        <f>IF($A146="",0,'02_Buyers'!$BE143)</f>
        <v/>
      </c>
      <c r="I146" s="44">
        <f>IF($A146="",0,'02_Buyers'!$AB143)</f>
        <v/>
      </c>
      <c r="J146" s="44">
        <f>IF($A146="","",F146-I146)</f>
        <v/>
      </c>
      <c r="K146" s="67">
        <f>IF(OR($A146="",I146&lt;=0),"",J146/I146)</f>
        <v/>
      </c>
      <c r="L146" s="7">
        <f>IF($A146="","",IF(M146="대상 아님","대상 아님(L/C·선수금)",IF(AND(I146&gt;0,K146&lt;=-0.3),"감액 30%↑ — 사람 승인 필요",IF(J146&gt;0,"증액 — 전결권자 승인","유지·소폭 감액"))))</f>
        <v/>
      </c>
      <c r="M146" s="7">
        <f>IF($A146="","",'02_Buyers'!$BA143)</f>
        <v/>
      </c>
      <c r="N146" s="7">
        <f>IF(OR($A146="",M146="대상 아님"),"",IF(F146&lt;=50000,"채권관리팀장",IF(F146&lt;=200000,"영업본부장","대표이사")))</f>
        <v/>
      </c>
      <c r="O146" s="7">
        <f>IF($A146="","",'02_Buyers'!$AG143)</f>
        <v/>
      </c>
      <c r="P146" s="48" t="n"/>
      <c r="Q146" s="44">
        <f>IF(OR($A146="",P146=""),"",F146-P146)</f>
        <v/>
      </c>
      <c r="R146" s="45">
        <f>IF(OR($A146="",D146&lt;=0),"",COUNTIFS($G$5:$G$154,G146,$D$5:$D$154,"&gt;0"))</f>
        <v/>
      </c>
    </row>
    <row r="147">
      <c r="A147" s="7">
        <f>IF('02_Buyers'!$A144="","",'02_Buyers'!$A144)</f>
        <v/>
      </c>
      <c r="B147" s="7">
        <f>IF($A147="","",'02_Buyers'!$S144)</f>
        <v/>
      </c>
      <c r="C147" s="7">
        <f>IF($A147="","",'02_Buyers'!$AK144)</f>
        <v/>
      </c>
      <c r="D147" s="44">
        <f>IF($A147="",0,'02_Buyers'!$BB144)</f>
        <v/>
      </c>
      <c r="E147" s="44">
        <f>IF($A147="",0,'02_Buyers'!$BC144)</f>
        <v/>
      </c>
      <c r="F147" s="65" t="n">
        <v>0</v>
      </c>
      <c r="G147" s="61">
        <f>IF($A147="",0,'02_Buyers'!$BD144)</f>
        <v/>
      </c>
      <c r="H147" s="66">
        <f>IF($A147="",0,'02_Buyers'!$BE144)</f>
        <v/>
      </c>
      <c r="I147" s="44">
        <f>IF($A147="",0,'02_Buyers'!$AB144)</f>
        <v/>
      </c>
      <c r="J147" s="44">
        <f>IF($A147="","",F147-I147)</f>
        <v/>
      </c>
      <c r="K147" s="67">
        <f>IF(OR($A147="",I147&lt;=0),"",J147/I147)</f>
        <v/>
      </c>
      <c r="L147" s="7">
        <f>IF($A147="","",IF(M147="대상 아님","대상 아님(L/C·선수금)",IF(AND(I147&gt;0,K147&lt;=-0.3),"감액 30%↑ — 사람 승인 필요",IF(J147&gt;0,"증액 — 전결권자 승인","유지·소폭 감액"))))</f>
        <v/>
      </c>
      <c r="M147" s="7">
        <f>IF($A147="","",'02_Buyers'!$BA144)</f>
        <v/>
      </c>
      <c r="N147" s="7">
        <f>IF(OR($A147="",M147="대상 아님"),"",IF(F147&lt;=50000,"채권관리팀장",IF(F147&lt;=200000,"영업본부장","대표이사")))</f>
        <v/>
      </c>
      <c r="O147" s="7">
        <f>IF($A147="","",'02_Buyers'!$AG144)</f>
        <v/>
      </c>
      <c r="P147" s="48" t="n"/>
      <c r="Q147" s="44">
        <f>IF(OR($A147="",P147=""),"",F147-P147)</f>
        <v/>
      </c>
      <c r="R147" s="45">
        <f>IF(OR($A147="",D147&lt;=0),"",COUNTIFS($G$5:$G$154,G147,$D$5:$D$154,"&gt;0"))</f>
        <v/>
      </c>
    </row>
    <row r="148">
      <c r="A148" s="7">
        <f>IF('02_Buyers'!$A145="","",'02_Buyers'!$A145)</f>
        <v/>
      </c>
      <c r="B148" s="7">
        <f>IF($A148="","",'02_Buyers'!$S145)</f>
        <v/>
      </c>
      <c r="C148" s="7">
        <f>IF($A148="","",'02_Buyers'!$AK145)</f>
        <v/>
      </c>
      <c r="D148" s="44">
        <f>IF($A148="",0,'02_Buyers'!$BB145)</f>
        <v/>
      </c>
      <c r="E148" s="44">
        <f>IF($A148="",0,'02_Buyers'!$BC145)</f>
        <v/>
      </c>
      <c r="F148" s="65" t="n">
        <v>0</v>
      </c>
      <c r="G148" s="61">
        <f>IF($A148="",0,'02_Buyers'!$BD145)</f>
        <v/>
      </c>
      <c r="H148" s="66">
        <f>IF($A148="",0,'02_Buyers'!$BE145)</f>
        <v/>
      </c>
      <c r="I148" s="44">
        <f>IF($A148="",0,'02_Buyers'!$AB145)</f>
        <v/>
      </c>
      <c r="J148" s="44">
        <f>IF($A148="","",F148-I148)</f>
        <v/>
      </c>
      <c r="K148" s="67">
        <f>IF(OR($A148="",I148&lt;=0),"",J148/I148)</f>
        <v/>
      </c>
      <c r="L148" s="7">
        <f>IF($A148="","",IF(M148="대상 아님","대상 아님(L/C·선수금)",IF(AND(I148&gt;0,K148&lt;=-0.3),"감액 30%↑ — 사람 승인 필요",IF(J148&gt;0,"증액 — 전결권자 승인","유지·소폭 감액"))))</f>
        <v/>
      </c>
      <c r="M148" s="7">
        <f>IF($A148="","",'02_Buyers'!$BA145)</f>
        <v/>
      </c>
      <c r="N148" s="7">
        <f>IF(OR($A148="",M148="대상 아님"),"",IF(F148&lt;=50000,"채권관리팀장",IF(F148&lt;=200000,"영업본부장","대표이사")))</f>
        <v/>
      </c>
      <c r="O148" s="7">
        <f>IF($A148="","",'02_Buyers'!$AG145)</f>
        <v/>
      </c>
      <c r="P148" s="48" t="n"/>
      <c r="Q148" s="44">
        <f>IF(OR($A148="",P148=""),"",F148-P148)</f>
        <v/>
      </c>
      <c r="R148" s="45">
        <f>IF(OR($A148="",D148&lt;=0),"",COUNTIFS($G$5:$G$154,G148,$D$5:$D$154,"&gt;0"))</f>
        <v/>
      </c>
    </row>
    <row r="149">
      <c r="A149" s="7">
        <f>IF('02_Buyers'!$A146="","",'02_Buyers'!$A146)</f>
        <v/>
      </c>
      <c r="B149" s="7">
        <f>IF($A149="","",'02_Buyers'!$S146)</f>
        <v/>
      </c>
      <c r="C149" s="7">
        <f>IF($A149="","",'02_Buyers'!$AK146)</f>
        <v/>
      </c>
      <c r="D149" s="44">
        <f>IF($A149="",0,'02_Buyers'!$BB146)</f>
        <v/>
      </c>
      <c r="E149" s="44">
        <f>IF($A149="",0,'02_Buyers'!$BC146)</f>
        <v/>
      </c>
      <c r="F149" s="65" t="n">
        <v>0</v>
      </c>
      <c r="G149" s="61">
        <f>IF($A149="",0,'02_Buyers'!$BD146)</f>
        <v/>
      </c>
      <c r="H149" s="66">
        <f>IF($A149="",0,'02_Buyers'!$BE146)</f>
        <v/>
      </c>
      <c r="I149" s="44">
        <f>IF($A149="",0,'02_Buyers'!$AB146)</f>
        <v/>
      </c>
      <c r="J149" s="44">
        <f>IF($A149="","",F149-I149)</f>
        <v/>
      </c>
      <c r="K149" s="67">
        <f>IF(OR($A149="",I149&lt;=0),"",J149/I149)</f>
        <v/>
      </c>
      <c r="L149" s="7">
        <f>IF($A149="","",IF(M149="대상 아님","대상 아님(L/C·선수금)",IF(AND(I149&gt;0,K149&lt;=-0.3),"감액 30%↑ — 사람 승인 필요",IF(J149&gt;0,"증액 — 전결권자 승인","유지·소폭 감액"))))</f>
        <v/>
      </c>
      <c r="M149" s="7">
        <f>IF($A149="","",'02_Buyers'!$BA146)</f>
        <v/>
      </c>
      <c r="N149" s="7">
        <f>IF(OR($A149="",M149="대상 아님"),"",IF(F149&lt;=50000,"채권관리팀장",IF(F149&lt;=200000,"영업본부장","대표이사")))</f>
        <v/>
      </c>
      <c r="O149" s="7">
        <f>IF($A149="","",'02_Buyers'!$AG146)</f>
        <v/>
      </c>
      <c r="P149" s="48" t="n"/>
      <c r="Q149" s="44">
        <f>IF(OR($A149="",P149=""),"",F149-P149)</f>
        <v/>
      </c>
      <c r="R149" s="45">
        <f>IF(OR($A149="",D149&lt;=0),"",COUNTIFS($G$5:$G$154,G149,$D$5:$D$154,"&gt;0"))</f>
        <v/>
      </c>
    </row>
    <row r="150">
      <c r="A150" s="7">
        <f>IF('02_Buyers'!$A147="","",'02_Buyers'!$A147)</f>
        <v/>
      </c>
      <c r="B150" s="7">
        <f>IF($A150="","",'02_Buyers'!$S147)</f>
        <v/>
      </c>
      <c r="C150" s="7">
        <f>IF($A150="","",'02_Buyers'!$AK147)</f>
        <v/>
      </c>
      <c r="D150" s="44">
        <f>IF($A150="",0,'02_Buyers'!$BB147)</f>
        <v/>
      </c>
      <c r="E150" s="44">
        <f>IF($A150="",0,'02_Buyers'!$BC147)</f>
        <v/>
      </c>
      <c r="F150" s="65" t="n">
        <v>0</v>
      </c>
      <c r="G150" s="61">
        <f>IF($A150="",0,'02_Buyers'!$BD147)</f>
        <v/>
      </c>
      <c r="H150" s="66">
        <f>IF($A150="",0,'02_Buyers'!$BE147)</f>
        <v/>
      </c>
      <c r="I150" s="44">
        <f>IF($A150="",0,'02_Buyers'!$AB147)</f>
        <v/>
      </c>
      <c r="J150" s="44">
        <f>IF($A150="","",F150-I150)</f>
        <v/>
      </c>
      <c r="K150" s="67">
        <f>IF(OR($A150="",I150&lt;=0),"",J150/I150)</f>
        <v/>
      </c>
      <c r="L150" s="7">
        <f>IF($A150="","",IF(M150="대상 아님","대상 아님(L/C·선수금)",IF(AND(I150&gt;0,K150&lt;=-0.3),"감액 30%↑ — 사람 승인 필요",IF(J150&gt;0,"증액 — 전결권자 승인","유지·소폭 감액"))))</f>
        <v/>
      </c>
      <c r="M150" s="7">
        <f>IF($A150="","",'02_Buyers'!$BA147)</f>
        <v/>
      </c>
      <c r="N150" s="7">
        <f>IF(OR($A150="",M150="대상 아님"),"",IF(F150&lt;=50000,"채권관리팀장",IF(F150&lt;=200000,"영업본부장","대표이사")))</f>
        <v/>
      </c>
      <c r="O150" s="7">
        <f>IF($A150="","",'02_Buyers'!$AG147)</f>
        <v/>
      </c>
      <c r="P150" s="48" t="n"/>
      <c r="Q150" s="44">
        <f>IF(OR($A150="",P150=""),"",F150-P150)</f>
        <v/>
      </c>
      <c r="R150" s="45">
        <f>IF(OR($A150="",D150&lt;=0),"",COUNTIFS($G$5:$G$154,G150,$D$5:$D$154,"&gt;0"))</f>
        <v/>
      </c>
    </row>
    <row r="151">
      <c r="A151" s="7">
        <f>IF('02_Buyers'!$A148="","",'02_Buyers'!$A148)</f>
        <v/>
      </c>
      <c r="B151" s="7">
        <f>IF($A151="","",'02_Buyers'!$S148)</f>
        <v/>
      </c>
      <c r="C151" s="7">
        <f>IF($A151="","",'02_Buyers'!$AK148)</f>
        <v/>
      </c>
      <c r="D151" s="44">
        <f>IF($A151="",0,'02_Buyers'!$BB148)</f>
        <v/>
      </c>
      <c r="E151" s="44">
        <f>IF($A151="",0,'02_Buyers'!$BC148)</f>
        <v/>
      </c>
      <c r="F151" s="65" t="n">
        <v>0</v>
      </c>
      <c r="G151" s="61">
        <f>IF($A151="",0,'02_Buyers'!$BD148)</f>
        <v/>
      </c>
      <c r="H151" s="66">
        <f>IF($A151="",0,'02_Buyers'!$BE148)</f>
        <v/>
      </c>
      <c r="I151" s="44">
        <f>IF($A151="",0,'02_Buyers'!$AB148)</f>
        <v/>
      </c>
      <c r="J151" s="44">
        <f>IF($A151="","",F151-I151)</f>
        <v/>
      </c>
      <c r="K151" s="67">
        <f>IF(OR($A151="",I151&lt;=0),"",J151/I151)</f>
        <v/>
      </c>
      <c r="L151" s="7">
        <f>IF($A151="","",IF(M151="대상 아님","대상 아님(L/C·선수금)",IF(AND(I151&gt;0,K151&lt;=-0.3),"감액 30%↑ — 사람 승인 필요",IF(J151&gt;0,"증액 — 전결권자 승인","유지·소폭 감액"))))</f>
        <v/>
      </c>
      <c r="M151" s="7">
        <f>IF($A151="","",'02_Buyers'!$BA148)</f>
        <v/>
      </c>
      <c r="N151" s="7">
        <f>IF(OR($A151="",M151="대상 아님"),"",IF(F151&lt;=50000,"채권관리팀장",IF(F151&lt;=200000,"영업본부장","대표이사")))</f>
        <v/>
      </c>
      <c r="O151" s="7">
        <f>IF($A151="","",'02_Buyers'!$AG148)</f>
        <v/>
      </c>
      <c r="P151" s="48" t="n"/>
      <c r="Q151" s="44">
        <f>IF(OR($A151="",P151=""),"",F151-P151)</f>
        <v/>
      </c>
      <c r="R151" s="45">
        <f>IF(OR($A151="",D151&lt;=0),"",COUNTIFS($G$5:$G$154,G151,$D$5:$D$154,"&gt;0"))</f>
        <v/>
      </c>
    </row>
    <row r="152">
      <c r="A152" s="7">
        <f>IF('02_Buyers'!$A149="","",'02_Buyers'!$A149)</f>
        <v/>
      </c>
      <c r="B152" s="7">
        <f>IF($A152="","",'02_Buyers'!$S149)</f>
        <v/>
      </c>
      <c r="C152" s="7">
        <f>IF($A152="","",'02_Buyers'!$AK149)</f>
        <v/>
      </c>
      <c r="D152" s="44">
        <f>IF($A152="",0,'02_Buyers'!$BB149)</f>
        <v/>
      </c>
      <c r="E152" s="44">
        <f>IF($A152="",0,'02_Buyers'!$BC149)</f>
        <v/>
      </c>
      <c r="F152" s="65" t="n">
        <v>0</v>
      </c>
      <c r="G152" s="61">
        <f>IF($A152="",0,'02_Buyers'!$BD149)</f>
        <v/>
      </c>
      <c r="H152" s="66">
        <f>IF($A152="",0,'02_Buyers'!$BE149)</f>
        <v/>
      </c>
      <c r="I152" s="44">
        <f>IF($A152="",0,'02_Buyers'!$AB149)</f>
        <v/>
      </c>
      <c r="J152" s="44">
        <f>IF($A152="","",F152-I152)</f>
        <v/>
      </c>
      <c r="K152" s="67">
        <f>IF(OR($A152="",I152&lt;=0),"",J152/I152)</f>
        <v/>
      </c>
      <c r="L152" s="7">
        <f>IF($A152="","",IF(M152="대상 아님","대상 아님(L/C·선수금)",IF(AND(I152&gt;0,K152&lt;=-0.3),"감액 30%↑ — 사람 승인 필요",IF(J152&gt;0,"증액 — 전결권자 승인","유지·소폭 감액"))))</f>
        <v/>
      </c>
      <c r="M152" s="7">
        <f>IF($A152="","",'02_Buyers'!$BA149)</f>
        <v/>
      </c>
      <c r="N152" s="7">
        <f>IF(OR($A152="",M152="대상 아님"),"",IF(F152&lt;=50000,"채권관리팀장",IF(F152&lt;=200000,"영업본부장","대표이사")))</f>
        <v/>
      </c>
      <c r="O152" s="7">
        <f>IF($A152="","",'02_Buyers'!$AG149)</f>
        <v/>
      </c>
      <c r="P152" s="48" t="n"/>
      <c r="Q152" s="44">
        <f>IF(OR($A152="",P152=""),"",F152-P152)</f>
        <v/>
      </c>
      <c r="R152" s="45">
        <f>IF(OR($A152="",D152&lt;=0),"",COUNTIFS($G$5:$G$154,G152,$D$5:$D$154,"&gt;0"))</f>
        <v/>
      </c>
    </row>
    <row r="153">
      <c r="A153" s="7">
        <f>IF('02_Buyers'!$A150="","",'02_Buyers'!$A150)</f>
        <v/>
      </c>
      <c r="B153" s="7">
        <f>IF($A153="","",'02_Buyers'!$S150)</f>
        <v/>
      </c>
      <c r="C153" s="7">
        <f>IF($A153="","",'02_Buyers'!$AK150)</f>
        <v/>
      </c>
      <c r="D153" s="44">
        <f>IF($A153="",0,'02_Buyers'!$BB150)</f>
        <v/>
      </c>
      <c r="E153" s="44">
        <f>IF($A153="",0,'02_Buyers'!$BC150)</f>
        <v/>
      </c>
      <c r="F153" s="65" t="n">
        <v>0</v>
      </c>
      <c r="G153" s="61">
        <f>IF($A153="",0,'02_Buyers'!$BD150)</f>
        <v/>
      </c>
      <c r="H153" s="66">
        <f>IF($A153="",0,'02_Buyers'!$BE150)</f>
        <v/>
      </c>
      <c r="I153" s="44">
        <f>IF($A153="",0,'02_Buyers'!$AB150)</f>
        <v/>
      </c>
      <c r="J153" s="44">
        <f>IF($A153="","",F153-I153)</f>
        <v/>
      </c>
      <c r="K153" s="67">
        <f>IF(OR($A153="",I153&lt;=0),"",J153/I153)</f>
        <v/>
      </c>
      <c r="L153" s="7">
        <f>IF($A153="","",IF(M153="대상 아님","대상 아님(L/C·선수금)",IF(AND(I153&gt;0,K153&lt;=-0.3),"감액 30%↑ — 사람 승인 필요",IF(J153&gt;0,"증액 — 전결권자 승인","유지·소폭 감액"))))</f>
        <v/>
      </c>
      <c r="M153" s="7">
        <f>IF($A153="","",'02_Buyers'!$BA150)</f>
        <v/>
      </c>
      <c r="N153" s="7">
        <f>IF(OR($A153="",M153="대상 아님"),"",IF(F153&lt;=50000,"채권관리팀장",IF(F153&lt;=200000,"영업본부장","대표이사")))</f>
        <v/>
      </c>
      <c r="O153" s="7">
        <f>IF($A153="","",'02_Buyers'!$AG150)</f>
        <v/>
      </c>
      <c r="P153" s="48" t="n"/>
      <c r="Q153" s="44">
        <f>IF(OR($A153="",P153=""),"",F153-P153)</f>
        <v/>
      </c>
      <c r="R153" s="45">
        <f>IF(OR($A153="",D153&lt;=0),"",COUNTIFS($G$5:$G$154,G153,$D$5:$D$154,"&gt;0"))</f>
        <v/>
      </c>
    </row>
    <row r="154">
      <c r="A154" s="7">
        <f>IF('02_Buyers'!$A151="","",'02_Buyers'!$A151)</f>
        <v/>
      </c>
      <c r="B154" s="7">
        <f>IF($A154="","",'02_Buyers'!$S151)</f>
        <v/>
      </c>
      <c r="C154" s="7">
        <f>IF($A154="","",'02_Buyers'!$AK151)</f>
        <v/>
      </c>
      <c r="D154" s="44">
        <f>IF($A154="",0,'02_Buyers'!$BB151)</f>
        <v/>
      </c>
      <c r="E154" s="44">
        <f>IF($A154="",0,'02_Buyers'!$BC151)</f>
        <v/>
      </c>
      <c r="F154" s="65" t="n">
        <v>0</v>
      </c>
      <c r="G154" s="61">
        <f>IF($A154="",0,'02_Buyers'!$BD151)</f>
        <v/>
      </c>
      <c r="H154" s="66">
        <f>IF($A154="",0,'02_Buyers'!$BE151)</f>
        <v/>
      </c>
      <c r="I154" s="44">
        <f>IF($A154="",0,'02_Buyers'!$AB151)</f>
        <v/>
      </c>
      <c r="J154" s="44">
        <f>IF($A154="","",F154-I154)</f>
        <v/>
      </c>
      <c r="K154" s="67">
        <f>IF(OR($A154="",I154&lt;=0),"",J154/I154)</f>
        <v/>
      </c>
      <c r="L154" s="7">
        <f>IF($A154="","",IF(M154="대상 아님","대상 아님(L/C·선수금)",IF(AND(I154&gt;0,K154&lt;=-0.3),"감액 30%↑ — 사람 승인 필요",IF(J154&gt;0,"증액 — 전결권자 승인","유지·소폭 감액"))))</f>
        <v/>
      </c>
      <c r="M154" s="7">
        <f>IF($A154="","",'02_Buyers'!$BA151)</f>
        <v/>
      </c>
      <c r="N154" s="7">
        <f>IF(OR($A154="",M154="대상 아님"),"",IF(F154&lt;=50000,"채권관리팀장",IF(F154&lt;=200000,"영업본부장","대표이사")))</f>
        <v/>
      </c>
      <c r="O154" s="7">
        <f>IF($A154="","",'02_Buyers'!$AG151)</f>
        <v/>
      </c>
      <c r="P154" s="48" t="n"/>
      <c r="Q154" s="44">
        <f>IF(OR($A154="",P154=""),"",F154-P154)</f>
        <v/>
      </c>
      <c r="R154" s="45">
        <f>IF(OR($A154="",D154&lt;=0),"",COUNTIFS($G$5:$G$154,G154,$D$5:$D$154,"&gt;0"))</f>
        <v/>
      </c>
    </row>
  </sheetData>
  <conditionalFormatting sqref="L5:L154">
    <cfRule type="expression" priority="1" dxfId="0">
      <formula>LEFT(L5,2)="감액"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AJ100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16" max="16"/>
    <col width="30" customWidth="1" min="17" max="17"/>
    <col width="8" customWidth="1" min="33" max="33"/>
    <col width="16" customWidth="1" min="34" max="34"/>
  </cols>
  <sheetData>
    <row r="1">
      <c r="A1" s="1" t="inlineStr">
        <is>
          <t>11_Scenario — 거시 충격 4단계(S1~S4) + 기준 S0 + 사용자 U1 · 실제 충격 재현 · 몬테카를로</t>
        </is>
      </c>
      <c r="AJ1" s="6" t="n"/>
    </row>
    <row r="2">
      <c r="A2" s="10" t="inlineStr">
        <is>
          <t>EL_s = Σ 잔액 × MIN(1, PD_eff × PD 배수) × LGD_s × (1 − 보상비율) · 원화 환산 = Σ 잔액 × 원/달러 · 금융비용 = Σ 잔액 × (TSOFR3M + bp + 가산) × 결제기간 ÷ 360</t>
        </is>
      </c>
    </row>
    <row r="3">
      <c r="A3" s="10" t="inlineStr">
        <is>
          <t>PD 배수·LGD 상향·송금 지연은 [교육용 가정](R09 충격 크기는 BIS·FRED 실측). 시나리오는 예측이 아니라 가정이다</t>
        </is>
      </c>
      <c r="AG3" s="49" t="inlineStr">
        <is>
          <t>데이터 표가 깨졌으면: AG6:AH1006 선택 → 데이터 → 가상 분석 → 데이터 표 → '열 입력 셀' = $AJ$1</t>
        </is>
      </c>
    </row>
    <row r="5">
      <c r="A5" s="11" t="inlineStr">
        <is>
          <t>scenario_id</t>
        </is>
      </c>
      <c r="B5" s="11" t="inlineStr">
        <is>
          <t>name_ko</t>
        </is>
      </c>
      <c r="C5" s="11" t="inlineStr">
        <is>
          <t>row_type</t>
        </is>
      </c>
      <c r="D5" s="11" t="inlineStr">
        <is>
          <t>local_fx_chg</t>
        </is>
      </c>
      <c r="E5" s="11" t="inlineStr">
        <is>
          <t>usd_krw_base</t>
        </is>
      </c>
      <c r="F5" s="11" t="inlineStr">
        <is>
          <t>usd_krw_level</t>
        </is>
      </c>
      <c r="G5" s="11" t="inlineStr">
        <is>
          <t>krw_chg</t>
        </is>
      </c>
      <c r="H5" s="11" t="inlineStr">
        <is>
          <t>rate_shock_bp</t>
        </is>
      </c>
      <c r="I5" s="11" t="inlineStr">
        <is>
          <t>oil_chg</t>
        </is>
      </c>
      <c r="J5" s="11" t="inlineStr">
        <is>
          <t>pd_multiplier</t>
        </is>
      </c>
      <c r="K5" s="11" t="inlineStr">
        <is>
          <t>lgd_adj</t>
        </is>
      </c>
      <c r="L5" s="11" t="inlineStr">
        <is>
          <t>lgd_scenario</t>
        </is>
      </c>
      <c r="M5" s="11" t="inlineStr">
        <is>
          <t>transfer_restriction</t>
        </is>
      </c>
      <c r="N5" s="11" t="inlineStr">
        <is>
          <t>transfer_delay_days</t>
        </is>
      </c>
      <c r="O5" s="11" t="inlineStr">
        <is>
          <t>fx_scope_crc_min</t>
        </is>
      </c>
      <c r="P5" s="11" t="inlineStr">
        <is>
          <t>basis</t>
        </is>
      </c>
      <c r="Q5" s="11" t="inlineStr">
        <is>
          <t>source</t>
        </is>
      </c>
      <c r="AG5" s="12" t="inlineStr">
        <is>
          <t>회차</t>
        </is>
      </c>
      <c r="AH5" s="12" t="inlineStr">
        <is>
          <t>1회 손실(데이터 표)</t>
        </is>
      </c>
    </row>
    <row r="6">
      <c r="A6" s="5" t="inlineStr">
        <is>
          <t>S0</t>
        </is>
      </c>
      <c r="B6" s="5" t="inlineStr">
        <is>
          <t>기준</t>
        </is>
      </c>
      <c r="C6" s="5" t="inlineStr">
        <is>
          <t>scenario</t>
        </is>
      </c>
      <c r="D6" s="47" t="n">
        <v>0</v>
      </c>
      <c r="E6" s="71" t="n">
        <v>1360</v>
      </c>
      <c r="F6" s="71" t="n">
        <v>1360</v>
      </c>
      <c r="G6" s="47" t="n">
        <v>0</v>
      </c>
      <c r="H6" s="5" t="n">
        <v>0</v>
      </c>
      <c r="I6" s="47" t="n">
        <v>0</v>
      </c>
      <c r="J6" s="6" t="n">
        <v>1</v>
      </c>
      <c r="K6" s="63" t="n">
        <v>0</v>
      </c>
      <c r="L6" s="47" t="n">
        <v>0.6</v>
      </c>
      <c r="M6" s="6" t="inlineStr">
        <is>
          <t>N</t>
        </is>
      </c>
      <c r="N6" s="6" t="n">
        <v>0</v>
      </c>
      <c r="O6" s="6" t="n"/>
      <c r="P6" s="5" t="inlineStr">
        <is>
          <t>G03 P6 원/달러 매매기준율(2026-09-23) · Term SOFR 3M 4.047%</t>
        </is>
      </c>
      <c r="Q6" s="5" t="inlineStr">
        <is>
          <t>R09 §2.8(BIS·FRED·Allianz) · 03 Part2 §4.7 · PD 배수·LGD 상향·송금 지연·적용 국가 = 교육용 가정</t>
        </is>
      </c>
      <c r="AG6" s="7" t="inlineStr">
        <is>
          <t>(수식 행)</t>
        </is>
      </c>
      <c r="AH6" s="44">
        <f>TotalLoss</f>
        <v/>
      </c>
    </row>
    <row r="7">
      <c r="A7" s="5" t="inlineStr">
        <is>
          <t>S1</t>
        </is>
      </c>
      <c r="B7" s="5" t="inlineStr">
        <is>
          <t>경미</t>
        </is>
      </c>
      <c r="C7" s="5" t="inlineStr">
        <is>
          <t>scenario</t>
        </is>
      </c>
      <c r="D7" s="47" t="n">
        <v>-0.1</v>
      </c>
      <c r="E7" s="71" t="n">
        <v>1360</v>
      </c>
      <c r="F7" s="71" t="n">
        <v>1292</v>
      </c>
      <c r="G7" s="47" t="n">
        <v>-0.05</v>
      </c>
      <c r="H7" s="5" t="n">
        <v>100</v>
      </c>
      <c r="I7" s="47" t="n">
        <v>0.2</v>
      </c>
      <c r="J7" s="6" t="n">
        <v>1.2</v>
      </c>
      <c r="K7" s="63" t="n">
        <v>0</v>
      </c>
      <c r="L7" s="47" t="n">
        <v>0.6</v>
      </c>
      <c r="M7" s="6" t="inlineStr">
        <is>
          <t>N</t>
        </is>
      </c>
      <c r="N7" s="6" t="n">
        <v>0</v>
      </c>
      <c r="O7" s="6" t="n">
        <v>3</v>
      </c>
      <c r="P7" s="5" t="inlineStr">
        <is>
          <t>IDR 2025-26(−11%) · 2026 글로벌 부도 +6%(Allianz) · 원/달러 ±5% 중 수출자에게 불리한 원화 강세 방향 [교육용 가정]</t>
        </is>
      </c>
      <c r="Q7" s="5" t="inlineStr">
        <is>
          <t>R09 §2.8(BIS·FRED·Allianz) · 03 Part2 §4.7 · PD 배수·LGD 상향·송금 지연·적용 국가 = 교육용 가정</t>
        </is>
      </c>
      <c r="AG7" t="n">
        <v>1</v>
      </c>
      <c r="AH7" s="35">
        <f t="dataTable" ref="AH7:AH1006" r1="AJ1"/>
        <v/>
      </c>
    </row>
    <row r="8">
      <c r="A8" s="5" t="inlineStr">
        <is>
          <t>S2</t>
        </is>
      </c>
      <c r="B8" s="5" t="inlineStr">
        <is>
          <t>중간</t>
        </is>
      </c>
      <c r="C8" s="5" t="inlineStr">
        <is>
          <t>scenario</t>
        </is>
      </c>
      <c r="D8" s="47" t="n">
        <v>-0.25</v>
      </c>
      <c r="E8" s="71" t="n">
        <v>1360</v>
      </c>
      <c r="F8" s="71" t="n">
        <v>1550</v>
      </c>
      <c r="G8" s="47" t="n">
        <v>0.1397</v>
      </c>
      <c r="H8" s="5" t="n">
        <v>250</v>
      </c>
      <c r="I8" s="47" t="n">
        <v>0.5</v>
      </c>
      <c r="J8" s="6" t="n">
        <v>1.5</v>
      </c>
      <c r="K8" s="63" t="n">
        <v>0</v>
      </c>
      <c r="L8" s="47" t="n">
        <v>0.6</v>
      </c>
      <c r="M8" s="6" t="inlineStr">
        <is>
          <t>N</t>
        </is>
      </c>
      <c r="N8" s="6" t="n">
        <v>0</v>
      </c>
      <c r="O8" s="6" t="n">
        <v>3</v>
      </c>
      <c r="P8" s="5" t="inlineStr">
        <is>
          <t>KRW 2021-22(−25%) · 한은 2021-22 +225bp · 원/달러 1,550(2026-06 수준)</t>
        </is>
      </c>
      <c r="Q8" s="5" t="inlineStr">
        <is>
          <t>R09 §2.8(BIS·FRED·Allianz) · 03 Part2 §4.7 · PD 배수·LGD 상향·송금 지연·적용 국가 = 교육용 가정</t>
        </is>
      </c>
      <c r="AG8" t="n">
        <v>2</v>
      </c>
      <c r="AH8" s="35" t="n">
        <v>0</v>
      </c>
    </row>
    <row r="9">
      <c r="A9" s="5" t="inlineStr">
        <is>
          <t>S3</t>
        </is>
      </c>
      <c r="B9" s="5" t="inlineStr">
        <is>
          <t>심각</t>
        </is>
      </c>
      <c r="C9" s="5" t="inlineStr">
        <is>
          <t>scenario</t>
        </is>
      </c>
      <c r="D9" s="47" t="n">
        <v>-0.45</v>
      </c>
      <c r="E9" s="71" t="n">
        <v>1360</v>
      </c>
      <c r="F9" s="71" t="n">
        <v>1570</v>
      </c>
      <c r="G9" s="47" t="n">
        <v>0.1544</v>
      </c>
      <c r="H9" s="5" t="n">
        <v>450</v>
      </c>
      <c r="I9" s="47" t="n">
        <v>0.9399999999999999</v>
      </c>
      <c r="J9" s="6" t="n">
        <v>2.5</v>
      </c>
      <c r="K9" s="63" t="n">
        <v>0</v>
      </c>
      <c r="L9" s="47" t="n">
        <v>0.6</v>
      </c>
      <c r="M9" s="6" t="inlineStr">
        <is>
          <t>N</t>
        </is>
      </c>
      <c r="N9" s="6" t="n">
        <v>0</v>
      </c>
      <c r="O9" s="6" t="n">
        <v>5</v>
      </c>
      <c r="P9" s="5" t="inlineStr">
        <is>
          <t>TRY 2018(−46%)·LKR 2022(−45%)·PKR 2022-23(−42%) · 연준 2022-23 +450bp · 브렌트 2026-04-07 $138.21(+94%) · 원/달러 1,570(2009-03)</t>
        </is>
      </c>
      <c r="Q9" s="5" t="inlineStr">
        <is>
          <t>R09 §2.8(BIS·FRED·Allianz) · 03 Part2 §4.7 · PD 배수·LGD 상향·송금 지연·적용 국가 = 교육용 가정</t>
        </is>
      </c>
      <c r="AG9" t="n">
        <v>3</v>
      </c>
      <c r="AH9" s="35" t="n">
        <v>0</v>
      </c>
    </row>
    <row r="10">
      <c r="A10" s="5" t="inlineStr">
        <is>
          <t>S4</t>
        </is>
      </c>
      <c r="B10" s="5" t="inlineStr">
        <is>
          <t>극단</t>
        </is>
      </c>
      <c r="C10" s="5" t="inlineStr">
        <is>
          <t>scenario</t>
        </is>
      </c>
      <c r="D10" s="47" t="n">
        <v>-0.7</v>
      </c>
      <c r="E10" s="71" t="n">
        <v>1360</v>
      </c>
      <c r="F10" s="71" t="n">
        <v>1960</v>
      </c>
      <c r="G10" s="47" t="n">
        <v>0.4412</v>
      </c>
      <c r="H10" s="5" t="n">
        <v>450</v>
      </c>
      <c r="I10" s="47" t="n">
        <v>1</v>
      </c>
      <c r="J10" s="6" t="n">
        <v>4</v>
      </c>
      <c r="K10" s="63" t="n">
        <v>0.2</v>
      </c>
      <c r="L10" s="47" t="n">
        <v>0.8</v>
      </c>
      <c r="M10" s="6" t="inlineStr">
        <is>
          <t>Y</t>
        </is>
      </c>
      <c r="N10" s="6" t="n">
        <v>60</v>
      </c>
      <c r="O10" s="6" t="n">
        <v>6</v>
      </c>
      <c r="P10" s="5" t="inlineStr">
        <is>
          <t>EGP 2022-24(−67%)·NGN 2023-24(−72%)·ARS 2023(하루 −54%) · 원/달러 1,960(1997-12) · 금리는 USD +450bp [교육용 가정](신흥국 정책금리 +40%p는 참고) · 송금 지연 60일(KOTRA 모잠비크 '최대 2개월') · LGD 80%('LGD 상향' [교육용 가정])</t>
        </is>
      </c>
      <c r="Q10" s="5" t="inlineStr">
        <is>
          <t>R09 §2.8(BIS·FRED·Allianz) · 03 Part2 §4.7 · PD 배수·LGD 상향·송금 지연·적용 국가 = 교육용 가정</t>
        </is>
      </c>
      <c r="AG10" t="n">
        <v>4</v>
      </c>
      <c r="AH10" s="35" t="n">
        <v>0</v>
      </c>
    </row>
    <row r="11">
      <c r="A11" s="5" t="inlineStr">
        <is>
          <t>R2026</t>
        </is>
      </c>
      <c r="B11" s="5" t="inlineStr">
        <is>
          <t>2026 실제 원/달러 경로(참고)</t>
        </is>
      </c>
      <c r="C11" s="5" t="inlineStr">
        <is>
          <t>reference</t>
        </is>
      </c>
      <c r="D11" s="47" t="n"/>
      <c r="E11" s="56" t="n">
        <v>1529.94</v>
      </c>
      <c r="F11" s="56" t="n">
        <v>1345.63</v>
      </c>
      <c r="G11" s="47" t="n">
        <v>-0.120469</v>
      </c>
      <c r="H11" s="5" t="n">
        <v>25</v>
      </c>
      <c r="I11" s="47" t="n">
        <v>0.61</v>
      </c>
      <c r="J11" s="6" t="n">
        <v>1</v>
      </c>
      <c r="K11" s="63" t="n">
        <v>0</v>
      </c>
      <c r="L11" s="47" t="n">
        <v>0.6</v>
      </c>
      <c r="M11" s="6" t="inlineStr">
        <is>
          <t>N</t>
        </is>
      </c>
      <c r="N11" s="6" t="n">
        <v>0</v>
      </c>
      <c r="O11" s="6" t="n"/>
      <c r="P11" s="5" t="inlineStr">
        <is>
          <t>FRED H.10 원/달러(과정 환율 정본, D11) 2026-06-09 1,529.94 → 2026-09-10 1,345.63(−12.0%, 원화 강세) — USD 채권 원화 환산 손실 재현. 참고: 같은 날 한국은행 ECOS 매매기준율은 1,546.5 → 1,337.9(−13.5%) — 출처마다 값이 다르다. 같은 해 연준 +25bp(09-16)·한은 +50bp(07-16·08-27)·브렌트 $71.32 → $114.89(09-22, 최고 $138.21)</t>
        </is>
      </c>
      <c r="Q11" s="5" t="inlineStr">
        <is>
          <t>R09 §2.8(BIS·FRED·Allianz) · 03 Part2 §4.7 · PD 배수·LGD 상향·송금 지연·적용 국가 = 교육용 가정</t>
        </is>
      </c>
      <c r="AG11" t="n">
        <v>5</v>
      </c>
      <c r="AH11" s="35" t="n">
        <v>0</v>
      </c>
    </row>
    <row r="12">
      <c r="A12" s="6" t="inlineStr">
        <is>
          <t>U1</t>
        </is>
      </c>
      <c r="B12" s="6" t="inlineStr">
        <is>
          <t>사용자(카드) — 값을 바꿔 쓴다</t>
        </is>
      </c>
      <c r="C12" s="6" t="inlineStr">
        <is>
          <t>scenario</t>
        </is>
      </c>
      <c r="D12" s="63" t="n">
        <v>0</v>
      </c>
      <c r="E12" s="72" t="n">
        <v>1360</v>
      </c>
      <c r="F12" s="72" t="n">
        <v>1360</v>
      </c>
      <c r="G12" s="63" t="n">
        <v>0</v>
      </c>
      <c r="H12" s="6" t="n">
        <v>0</v>
      </c>
      <c r="I12" s="63" t="n">
        <v>0</v>
      </c>
      <c r="J12" s="6" t="n">
        <v>1</v>
      </c>
      <c r="K12" s="63" t="n">
        <v>0</v>
      </c>
      <c r="L12" s="63" t="n">
        <v>0.6</v>
      </c>
      <c r="M12" s="6" t="inlineStr">
        <is>
          <t>N</t>
        </is>
      </c>
      <c r="N12" s="6" t="n">
        <v>0</v>
      </c>
      <c r="O12" s="6" t="n"/>
      <c r="P12" s="6" t="inlineStr">
        <is>
          <t>Day6 위기 카드 등 사용자 입력(기본 = S0)</t>
        </is>
      </c>
      <c r="Q12" s="6" t="inlineStr">
        <is>
          <t>사용자</t>
        </is>
      </c>
      <c r="AG12" t="n">
        <v>6</v>
      </c>
      <c r="AH12" s="35" t="n">
        <v>0</v>
      </c>
    </row>
    <row r="13">
      <c r="AG13" t="n">
        <v>7</v>
      </c>
      <c r="AH13" s="35" t="n">
        <v>0</v>
      </c>
    </row>
    <row r="14">
      <c r="A14" s="4" t="inlineStr">
        <is>
          <t>시나리오 결과(현재 미결 잔액 기준, 연간)</t>
        </is>
      </c>
      <c r="AG14" t="n">
        <v>8</v>
      </c>
      <c r="AH14" s="35" t="n">
        <v>0</v>
      </c>
    </row>
    <row r="15">
      <c r="A15" s="11" t="inlineStr">
        <is>
          <t>항목</t>
        </is>
      </c>
      <c r="B15" s="11" t="inlineStr">
        <is>
          <t>S0</t>
        </is>
      </c>
      <c r="C15" s="11" t="inlineStr">
        <is>
          <t>S1</t>
        </is>
      </c>
      <c r="D15" s="11" t="inlineStr">
        <is>
          <t>S2</t>
        </is>
      </c>
      <c r="E15" s="11" t="inlineStr">
        <is>
          <t>S3</t>
        </is>
      </c>
      <c r="F15" s="11" t="inlineStr">
        <is>
          <t>S4</t>
        </is>
      </c>
      <c r="G15" s="11" t="inlineStr">
        <is>
          <t>U1</t>
        </is>
      </c>
      <c r="AG15" t="n">
        <v>9</v>
      </c>
      <c r="AH15" s="35" t="n">
        <v>0</v>
      </c>
    </row>
    <row r="16">
      <c r="A16" s="12" t="inlineStr">
        <is>
          <t>PD 배수</t>
        </is>
      </c>
      <c r="B16" s="58">
        <f>$J$6</f>
        <v/>
      </c>
      <c r="C16" s="58">
        <f>$J$7</f>
        <v/>
      </c>
      <c r="D16" s="58">
        <f>$J$8</f>
        <v/>
      </c>
      <c r="E16" s="58">
        <f>$J$9</f>
        <v/>
      </c>
      <c r="F16" s="58">
        <f>$J$10</f>
        <v/>
      </c>
      <c r="G16" s="58">
        <f>$J$12</f>
        <v/>
      </c>
      <c r="AG16" t="n">
        <v>10</v>
      </c>
      <c r="AH16" s="35" t="n">
        <v>0</v>
      </c>
    </row>
    <row r="17">
      <c r="A17" s="12" t="inlineStr">
        <is>
          <t>LGD(무보험)</t>
        </is>
      </c>
      <c r="B17" s="50">
        <f>MIN(1,LGD+$K$6)</f>
        <v/>
      </c>
      <c r="C17" s="50">
        <f>MIN(1,LGD+$K$7)</f>
        <v/>
      </c>
      <c r="D17" s="50">
        <f>MIN(1,LGD+$K$8)</f>
        <v/>
      </c>
      <c r="E17" s="50">
        <f>MIN(1,LGD+$K$9)</f>
        <v/>
      </c>
      <c r="F17" s="50">
        <f>MIN(1,LGD+$K$10)</f>
        <v/>
      </c>
      <c r="G17" s="50">
        <f>MIN(1,LGD+$K$12)</f>
        <v/>
      </c>
      <c r="AG17" t="n">
        <v>11</v>
      </c>
      <c r="AH17" s="35" t="n">
        <v>0</v>
      </c>
    </row>
    <row r="18">
      <c r="A18" s="12" t="inlineStr">
        <is>
          <t>원/달러</t>
        </is>
      </c>
      <c r="B18" s="73">
        <f>$F$6</f>
        <v/>
      </c>
      <c r="C18" s="73">
        <f>$F$7</f>
        <v/>
      </c>
      <c r="D18" s="73">
        <f>$F$8</f>
        <v/>
      </c>
      <c r="E18" s="73">
        <f>$F$9</f>
        <v/>
      </c>
      <c r="F18" s="73">
        <f>$F$10</f>
        <v/>
      </c>
      <c r="G18" s="73">
        <f>$F$12</f>
        <v/>
      </c>
      <c r="AG18" t="n">
        <v>12</v>
      </c>
      <c r="AH18" s="35" t="n">
        <v>0</v>
      </c>
    </row>
    <row r="19">
      <c r="A19" s="12" t="inlineStr">
        <is>
          <t>금리 충격(bp)</t>
        </is>
      </c>
      <c r="B19" s="45">
        <f>$H$6</f>
        <v/>
      </c>
      <c r="C19" s="45">
        <f>$H$7</f>
        <v/>
      </c>
      <c r="D19" s="45">
        <f>$H$8</f>
        <v/>
      </c>
      <c r="E19" s="45">
        <f>$H$9</f>
        <v/>
      </c>
      <c r="F19" s="45">
        <f>$H$10</f>
        <v/>
      </c>
      <c r="G19" s="45">
        <f>$H$12</f>
        <v/>
      </c>
      <c r="AG19" t="n">
        <v>13</v>
      </c>
      <c r="AH19" s="35" t="n">
        <v>0</v>
      </c>
    </row>
    <row r="20">
      <c r="A20" s="12" t="inlineStr">
        <is>
          <t>예상손실 EL(USD)</t>
        </is>
      </c>
      <c r="B20" s="44">
        <f>SUM(K65:K214)</f>
        <v/>
      </c>
      <c r="C20" s="44">
        <f>SUM(L65:L214)</f>
        <v/>
      </c>
      <c r="D20" s="44">
        <f>SUM(M65:M214)</f>
        <v/>
      </c>
      <c r="E20" s="44">
        <f>SUM(N65:N214)</f>
        <v/>
      </c>
      <c r="F20" s="44">
        <f>SUM(O65:O214)</f>
        <v/>
      </c>
      <c r="G20" s="44">
        <f>SUM(P65:P214)</f>
        <v/>
      </c>
      <c r="AG20" t="n">
        <v>14</v>
      </c>
      <c r="AH20" s="35" t="n">
        <v>0</v>
      </c>
    </row>
    <row r="21">
      <c r="A21" s="12" t="inlineStr">
        <is>
          <t>S0 대비</t>
        </is>
      </c>
      <c r="B21" s="74">
        <f>IFERROR(B20/$B$20-1,0)</f>
        <v/>
      </c>
      <c r="C21" s="74">
        <f>IFERROR(C20/$B$20-1,0)</f>
        <v/>
      </c>
      <c r="D21" s="74">
        <f>IFERROR(D20/$B$20-1,0)</f>
        <v/>
      </c>
      <c r="E21" s="74">
        <f>IFERROR(E20/$B$20-1,0)</f>
        <v/>
      </c>
      <c r="F21" s="74">
        <f>IFERROR(F20/$B$20-1,0)</f>
        <v/>
      </c>
      <c r="G21" s="74">
        <f>IFERROR(G20/$B$20-1,0)</f>
        <v/>
      </c>
      <c r="AG21" t="n">
        <v>15</v>
      </c>
      <c r="AH21" s="35" t="n">
        <v>0</v>
      </c>
    </row>
    <row r="22">
      <c r="A22" s="12" t="inlineStr">
        <is>
          <t>잔액 원화 환산(원)</t>
        </is>
      </c>
      <c r="B22" s="44">
        <f>SUM($B$65:$B$214)*$F$6</f>
        <v/>
      </c>
      <c r="C22" s="44">
        <f>SUM($B$65:$B$214)*$F$7</f>
        <v/>
      </c>
      <c r="D22" s="44">
        <f>SUM($B$65:$B$214)*$F$8</f>
        <v/>
      </c>
      <c r="E22" s="44">
        <f>SUM($B$65:$B$214)*$F$9</f>
        <v/>
      </c>
      <c r="F22" s="44">
        <f>SUM($B$65:$B$214)*$F$10</f>
        <v/>
      </c>
      <c r="G22" s="44">
        <f>SUM($B$65:$B$214)*$F$12</f>
        <v/>
      </c>
      <c r="AG22" t="n">
        <v>16</v>
      </c>
      <c r="AH22" s="35" t="n">
        <v>0</v>
      </c>
    </row>
    <row r="23">
      <c r="A23" s="12" t="inlineStr">
        <is>
          <t>금융비용(USD)</t>
        </is>
      </c>
      <c r="B23" s="44">
        <f>SUM(Q65:Q214)</f>
        <v/>
      </c>
      <c r="C23" s="44">
        <f>SUM(R65:R214)</f>
        <v/>
      </c>
      <c r="D23" s="44">
        <f>SUM(S65:S214)</f>
        <v/>
      </c>
      <c r="E23" s="44">
        <f>SUM(T65:T214)</f>
        <v/>
      </c>
      <c r="F23" s="44">
        <f>SUM(U65:U214)</f>
        <v/>
      </c>
      <c r="G23" s="44">
        <f>SUM(V65:V214)</f>
        <v/>
      </c>
      <c r="AG23" t="n">
        <v>17</v>
      </c>
      <c r="AH23" s="35" t="n">
        <v>0</v>
      </c>
    </row>
    <row r="24">
      <c r="A24" s="12" t="inlineStr">
        <is>
          <t>송금 지연 비용(USD)</t>
        </is>
      </c>
      <c r="B24" s="44">
        <f>SUM(W65:W214)</f>
        <v/>
      </c>
      <c r="C24" s="44">
        <f>SUM(X65:X214)</f>
        <v/>
      </c>
      <c r="D24" s="44">
        <f>SUM(Y65:Y214)</f>
        <v/>
      </c>
      <c r="E24" s="44">
        <f>SUM(Z65:Z214)</f>
        <v/>
      </c>
      <c r="F24" s="44">
        <f>SUM(AA65:AA214)</f>
        <v/>
      </c>
      <c r="G24" s="44">
        <f>SUM(AB65:AB214)</f>
        <v/>
      </c>
      <c r="AG24" t="n">
        <v>18</v>
      </c>
      <c r="AH24" s="35" t="n">
        <v>0</v>
      </c>
    </row>
    <row r="25">
      <c r="A25" s="12" t="inlineStr">
        <is>
          <t>EL 원화(원)</t>
        </is>
      </c>
      <c r="B25" s="44">
        <f>B20*$F$6</f>
        <v/>
      </c>
      <c r="C25" s="44">
        <f>C20*$F$7</f>
        <v/>
      </c>
      <c r="D25" s="44">
        <f>D20*$F$8</f>
        <v/>
      </c>
      <c r="E25" s="44">
        <f>E20*$F$9</f>
        <v/>
      </c>
      <c r="F25" s="44">
        <f>F20*$F$10</f>
        <v/>
      </c>
      <c r="G25" s="44">
        <f>G20*$F$12</f>
        <v/>
      </c>
      <c r="AG25" t="n">
        <v>19</v>
      </c>
      <c r="AH25" s="35" t="n">
        <v>0</v>
      </c>
    </row>
    <row r="26">
      <c r="A26" s="12" t="inlineStr">
        <is>
          <t>바이어국 통화 변화(참고)</t>
        </is>
      </c>
      <c r="B26" s="67">
        <f>$D$6</f>
        <v/>
      </c>
      <c r="C26" s="67">
        <f>$D$7</f>
        <v/>
      </c>
      <c r="D26" s="67">
        <f>$D$8</f>
        <v/>
      </c>
      <c r="E26" s="67">
        <f>$D$9</f>
        <v/>
      </c>
      <c r="F26" s="67">
        <f>$D$10</f>
        <v/>
      </c>
      <c r="G26" s="67">
        <f>$D$12</f>
        <v/>
      </c>
      <c r="AG26" t="n">
        <v>20</v>
      </c>
      <c r="AH26" s="35" t="n">
        <v>0</v>
      </c>
    </row>
    <row r="27">
      <c r="A27" s="12" t="inlineStr">
        <is>
          <t>유가 변화(참고)</t>
        </is>
      </c>
      <c r="B27" s="67">
        <f>$I$6</f>
        <v/>
      </c>
      <c r="C27" s="67">
        <f>$I$7</f>
        <v/>
      </c>
      <c r="D27" s="67">
        <f>$I$8</f>
        <v/>
      </c>
      <c r="E27" s="67">
        <f>$I$9</f>
        <v/>
      </c>
      <c r="F27" s="67">
        <f>$I$10</f>
        <v/>
      </c>
      <c r="G27" s="67">
        <f>$I$12</f>
        <v/>
      </c>
      <c r="AG27" t="n">
        <v>21</v>
      </c>
      <c r="AH27" s="35" t="n">
        <v>0</v>
      </c>
    </row>
    <row r="28">
      <c r="AG28" t="n">
        <v>22</v>
      </c>
      <c r="AH28" s="35" t="n">
        <v>0</v>
      </c>
    </row>
    <row r="29">
      <c r="A29" s="4" t="inlineStr">
        <is>
          <t>실제 충격 재현(R2026): 원/달러 FRED H.10 2026-06-09 1,529.94 → 09-10 1,345.63(−12.0%) · 참고 ECOS 매매기준율 1,546.5 → 1,337.9(−13.5%)</t>
        </is>
      </c>
      <c r="AG29" t="n">
        <v>23</v>
      </c>
      <c r="AH29" s="35" t="n">
        <v>0</v>
      </c>
    </row>
    <row r="30">
      <c r="A30" s="12" t="inlineStr">
        <is>
          <t>출발 원/달러</t>
        </is>
      </c>
      <c r="B30" s="55">
        <f>$E$11</f>
        <v/>
      </c>
      <c r="AG30" t="n">
        <v>24</v>
      </c>
      <c r="AH30" s="35" t="n">
        <v>0</v>
      </c>
    </row>
    <row r="31">
      <c r="A31" s="12" t="inlineStr">
        <is>
          <t>도착 원/달러</t>
        </is>
      </c>
      <c r="B31" s="55">
        <f>$F$11</f>
        <v/>
      </c>
      <c r="AG31" t="n">
        <v>25</v>
      </c>
      <c r="AH31" s="35" t="n">
        <v>0</v>
      </c>
    </row>
    <row r="32">
      <c r="A32" s="12" t="inlineStr">
        <is>
          <t>변화율</t>
        </is>
      </c>
      <c r="B32" s="74">
        <f>$G$11</f>
        <v/>
      </c>
      <c r="AG32" t="n">
        <v>26</v>
      </c>
      <c r="AH32" s="35" t="n">
        <v>0</v>
      </c>
    </row>
    <row r="33">
      <c r="A33" s="12" t="inlineStr">
        <is>
          <t>USD 표시 채권(USD)</t>
        </is>
      </c>
      <c r="B33" s="44">
        <f>SUMIFS($B$65:$B$214,$J$65:$J$214,"USD")</f>
        <v/>
      </c>
      <c r="AG33" t="n">
        <v>27</v>
      </c>
      <c r="AH33" s="35" t="n">
        <v>0</v>
      </c>
    </row>
    <row r="34">
      <c r="A34" s="12" t="inlineStr">
        <is>
          <t>USD 채권 원화 가치 변화(원)</t>
        </is>
      </c>
      <c r="B34" s="44">
        <f>B33*(B31-B30)</f>
        <v/>
      </c>
      <c r="AG34" t="n">
        <v>28</v>
      </c>
      <c r="AH34" s="35" t="n">
        <v>0</v>
      </c>
    </row>
    <row r="35">
      <c r="A35" s="12" t="inlineStr">
        <is>
          <t>전체 잔액(USD 환산) 기준(원)</t>
        </is>
      </c>
      <c r="B35" s="44">
        <f>SUM($B$65:$B$214)*(B31-B30)</f>
        <v/>
      </c>
      <c r="AG35" t="n">
        <v>29</v>
      </c>
      <c r="AH35" s="35" t="n">
        <v>0</v>
      </c>
    </row>
    <row r="36">
      <c r="AG36" t="n">
        <v>30</v>
      </c>
      <c r="AH36" s="35" t="n">
        <v>0</v>
      </c>
    </row>
    <row r="37">
      <c r="A37" s="4" t="inlineStr">
        <is>
          <t>몬테카를로(현재 잔액, 1년) — 시나리오를 고르고 F9</t>
        </is>
      </c>
      <c r="AG37" t="n">
        <v>31</v>
      </c>
      <c r="AH37" s="35" t="n">
        <v>0</v>
      </c>
    </row>
    <row r="38">
      <c r="A38" s="12" t="inlineStr">
        <is>
          <t>선택 시나리오</t>
        </is>
      </c>
      <c r="C38" s="6" t="inlineStr">
        <is>
          <t>S0</t>
        </is>
      </c>
      <c r="D38" s="49" t="inlineStr">
        <is>
          <t>← 드롭다운(S0~S4·U1)</t>
        </is>
      </c>
      <c r="AG38" t="n">
        <v>32</v>
      </c>
      <c r="AH38" s="35" t="n">
        <v>0</v>
      </c>
    </row>
    <row r="39">
      <c r="A39" s="12" t="inlineStr">
        <is>
          <t>PD 배수</t>
        </is>
      </c>
      <c r="C39" s="58">
        <f>INDEX($J$6:$J$12,MATCH($C$38,$A$6:$A$12,0))</f>
        <v/>
      </c>
      <c r="AG39" t="n">
        <v>33</v>
      </c>
      <c r="AH39" s="35" t="n">
        <v>0</v>
      </c>
    </row>
    <row r="40">
      <c r="A40" s="12" t="inlineStr">
        <is>
          <t>LGD 가산</t>
        </is>
      </c>
      <c r="C40" s="50">
        <f>INDEX($K$6:$K$12,MATCH($C$38,$A$6:$A$12,0))</f>
        <v/>
      </c>
      <c r="AG40" t="n">
        <v>34</v>
      </c>
      <c r="AH40" s="35" t="n">
        <v>0</v>
      </c>
    </row>
    <row r="41">
      <c r="A41" s="12" t="inlineStr">
        <is>
          <t>공통요인 Z(1회)</t>
        </is>
      </c>
      <c r="C41" s="75">
        <f>_xlfn.NORM.S.INV(RAND())</f>
        <v/>
      </c>
      <c r="AG41" t="n">
        <v>35</v>
      </c>
      <c r="AH41" s="35" t="n">
        <v>0</v>
      </c>
    </row>
    <row r="42">
      <c r="A42" s="12" t="inlineStr">
        <is>
          <t>1회 손실 TotalLoss(USD)</t>
        </is>
      </c>
      <c r="C42" s="76">
        <f>SUM($AE$65:$AE$214)</f>
        <v/>
      </c>
      <c r="AG42" t="n">
        <v>36</v>
      </c>
      <c r="AH42" s="35" t="n">
        <v>0</v>
      </c>
    </row>
    <row r="43">
      <c r="A43" s="12" t="inlineStr">
        <is>
          <t>해석적 EL(선택 시나리오)</t>
        </is>
      </c>
      <c r="C43" s="44">
        <f>SUMPRODUCT($AC$65:$AC$214,$AD$65:$AD$214)</f>
        <v/>
      </c>
      <c r="AG43" t="n">
        <v>37</v>
      </c>
      <c r="AH43" s="35" t="n">
        <v>0</v>
      </c>
    </row>
    <row r="44">
      <c r="A44" s="12" t="inlineStr">
        <is>
          <t>평균(1,000회)</t>
        </is>
      </c>
      <c r="C44" s="76">
        <f>AVERAGE($AH$7:$AH$1006)</f>
        <v/>
      </c>
      <c r="D44" s="49" t="inlineStr">
        <is>
          <t>← 데이터 표 AG6:AH1006(F9로 갱신)</t>
        </is>
      </c>
      <c r="AG44" t="n">
        <v>38</v>
      </c>
      <c r="AH44" s="35" t="n">
        <v>0</v>
      </c>
    </row>
    <row r="45">
      <c r="A45" s="12" t="inlineStr">
        <is>
          <t>표준편차</t>
        </is>
      </c>
      <c r="C45" s="44">
        <f>_xlfn.STDEV.S($AH$7:$AH$1006)</f>
        <v/>
      </c>
      <c r="AG45" t="n">
        <v>39</v>
      </c>
      <c r="AH45" s="35" t="n">
        <v>0</v>
      </c>
    </row>
    <row r="46">
      <c r="A46" s="12" t="inlineStr">
        <is>
          <t>P95</t>
        </is>
      </c>
      <c r="C46" s="44">
        <f>_xlfn.PERCENTILE.INC($AH$7:$AH$1006,0.95)</f>
        <v/>
      </c>
      <c r="AG46" t="n">
        <v>40</v>
      </c>
      <c r="AH46" s="35" t="n">
        <v>0</v>
      </c>
    </row>
    <row r="47">
      <c r="A47" s="12" t="inlineStr">
        <is>
          <t>P99</t>
        </is>
      </c>
      <c r="C47" s="76">
        <f>_xlfn.PERCENTILE.INC($AH$7:$AH$1006,0.99)</f>
        <v/>
      </c>
      <c r="AG47" t="n">
        <v>41</v>
      </c>
      <c r="AH47" s="35" t="n">
        <v>0</v>
      </c>
    </row>
    <row r="48">
      <c r="A48" s="12" t="inlineStr">
        <is>
          <t>최대</t>
        </is>
      </c>
      <c r="C48" s="44">
        <f>MAX($AH$7:$AH$1006)</f>
        <v/>
      </c>
      <c r="AG48" t="n">
        <v>42</v>
      </c>
      <c r="AH48" s="35" t="n">
        <v>0</v>
      </c>
    </row>
    <row r="49">
      <c r="A49" s="12" t="inlineStr">
        <is>
          <t>손실 &gt; 0 비율</t>
        </is>
      </c>
      <c r="C49" s="74">
        <f>IFERROR(COUNTIF($AH$7:$AH$1006,"&gt;0")/COUNT($AH$7:$AH$1006),0)</f>
        <v/>
      </c>
      <c r="AG49" t="n">
        <v>43</v>
      </c>
      <c r="AH49" s="35" t="n">
        <v>0</v>
      </c>
    </row>
    <row r="50">
      <c r="A50" s="12" t="inlineStr">
        <is>
          <t>평균 ÷ 해석적 EL − 1</t>
        </is>
      </c>
      <c r="C50" s="74">
        <f>IFERROR(C44/C43-1,0)</f>
        <v/>
      </c>
      <c r="AG50" t="n">
        <v>44</v>
      </c>
      <c r="AH50" s="35" t="n">
        <v>0</v>
      </c>
    </row>
    <row r="51">
      <c r="AG51" t="n">
        <v>45</v>
      </c>
      <c r="AH51" s="35" t="n">
        <v>0</v>
      </c>
    </row>
    <row r="52">
      <c r="A52" s="11" t="inlineStr">
        <is>
          <t>구간 하한</t>
        </is>
      </c>
      <c r="B52" s="11" t="inlineStr">
        <is>
          <t>구간 상한</t>
        </is>
      </c>
      <c r="C52" s="11" t="inlineStr">
        <is>
          <t>횟수</t>
        </is>
      </c>
      <c r="E52" s="12" t="inlineStr">
        <is>
          <t>구간 폭</t>
        </is>
      </c>
      <c r="F52" s="44">
        <f>MAX(1000,ROUNDUP(MAX($AH$7:$AH$1006)/10,-3))</f>
        <v/>
      </c>
      <c r="AG52" t="n">
        <v>46</v>
      </c>
      <c r="AH52" s="35" t="n">
        <v>0</v>
      </c>
    </row>
    <row r="53">
      <c r="A53" s="44" t="n">
        <v>0</v>
      </c>
      <c r="B53" s="44" t="n">
        <v>0</v>
      </c>
      <c r="C53" s="45">
        <f>COUNTIF($AH$7:$AH$1006,0)</f>
        <v/>
      </c>
      <c r="AG53" t="n">
        <v>47</v>
      </c>
      <c r="AH53" s="35" t="n">
        <v>0</v>
      </c>
    </row>
    <row r="54">
      <c r="A54" s="44">
        <f>(ROW()-54)*$F$52</f>
        <v/>
      </c>
      <c r="B54" s="44">
        <f>A54+$F$52</f>
        <v/>
      </c>
      <c r="C54" s="45">
        <f>COUNTIFS($AH$7:$AH$1006,"&gt;0",$AH$7:$AH$1006,"&lt;="&amp;B54)</f>
        <v/>
      </c>
      <c r="AG54" t="n">
        <v>48</v>
      </c>
      <c r="AH54" s="35" t="n">
        <v>0</v>
      </c>
    </row>
    <row r="55">
      <c r="A55" s="44">
        <f>(ROW()-54)*$F$52</f>
        <v/>
      </c>
      <c r="B55" s="44">
        <f>A55+$F$52</f>
        <v/>
      </c>
      <c r="C55" s="45">
        <f>COUNTIFS($AH$7:$AH$1006,"&gt;"&amp;A55,$AH$7:$AH$1006,"&lt;="&amp;B55)</f>
        <v/>
      </c>
      <c r="AG55" t="n">
        <v>49</v>
      </c>
      <c r="AH55" s="35" t="n">
        <v>0</v>
      </c>
    </row>
    <row r="56">
      <c r="A56" s="44">
        <f>(ROW()-54)*$F$52</f>
        <v/>
      </c>
      <c r="B56" s="44">
        <f>A56+$F$52</f>
        <v/>
      </c>
      <c r="C56" s="45">
        <f>COUNTIFS($AH$7:$AH$1006,"&gt;"&amp;A56,$AH$7:$AH$1006,"&lt;="&amp;B56)</f>
        <v/>
      </c>
      <c r="AG56" t="n">
        <v>50</v>
      </c>
      <c r="AH56" s="35" t="n">
        <v>0</v>
      </c>
    </row>
    <row r="57">
      <c r="A57" s="44">
        <f>(ROW()-54)*$F$52</f>
        <v/>
      </c>
      <c r="B57" s="44">
        <f>A57+$F$52</f>
        <v/>
      </c>
      <c r="C57" s="45">
        <f>COUNTIFS($AH$7:$AH$1006,"&gt;"&amp;A57,$AH$7:$AH$1006,"&lt;="&amp;B57)</f>
        <v/>
      </c>
      <c r="AG57" t="n">
        <v>51</v>
      </c>
      <c r="AH57" s="35" t="n">
        <v>0</v>
      </c>
    </row>
    <row r="58">
      <c r="A58" s="44">
        <f>(ROW()-54)*$F$52</f>
        <v/>
      </c>
      <c r="B58" s="44">
        <f>A58+$F$52</f>
        <v/>
      </c>
      <c r="C58" s="45">
        <f>COUNTIFS($AH$7:$AH$1006,"&gt;"&amp;A58,$AH$7:$AH$1006,"&lt;="&amp;B58)</f>
        <v/>
      </c>
      <c r="AG58" t="n">
        <v>52</v>
      </c>
      <c r="AH58" s="35" t="n">
        <v>0</v>
      </c>
    </row>
    <row r="59">
      <c r="A59" s="44">
        <f>(ROW()-54)*$F$52</f>
        <v/>
      </c>
      <c r="B59" s="44">
        <f>A59+$F$52</f>
        <v/>
      </c>
      <c r="C59" s="45">
        <f>COUNTIFS($AH$7:$AH$1006,"&gt;"&amp;A59,$AH$7:$AH$1006,"&lt;="&amp;B59)</f>
        <v/>
      </c>
      <c r="AG59" t="n">
        <v>53</v>
      </c>
      <c r="AH59" s="35" t="n">
        <v>0</v>
      </c>
    </row>
    <row r="60">
      <c r="A60" s="44">
        <f>(ROW()-54)*$F$52</f>
        <v/>
      </c>
      <c r="B60" s="44">
        <f>A60+$F$52</f>
        <v/>
      </c>
      <c r="C60" s="45">
        <f>COUNTIFS($AH$7:$AH$1006,"&gt;"&amp;A60,$AH$7:$AH$1006,"&lt;="&amp;B60)</f>
        <v/>
      </c>
      <c r="AG60" t="n">
        <v>54</v>
      </c>
      <c r="AH60" s="35" t="n">
        <v>0</v>
      </c>
    </row>
    <row r="61">
      <c r="A61" s="44">
        <f>(ROW()-54)*$F$52</f>
        <v/>
      </c>
      <c r="B61" s="44">
        <f>A61+$F$52</f>
        <v/>
      </c>
      <c r="C61" s="45">
        <f>COUNTIFS($AH$7:$AH$1006,"&gt;"&amp;A61,$AH$7:$AH$1006,"&lt;="&amp;B61)</f>
        <v/>
      </c>
      <c r="AG61" t="n">
        <v>55</v>
      </c>
      <c r="AH61" s="35" t="n">
        <v>0</v>
      </c>
    </row>
    <row r="62">
      <c r="A62" s="44">
        <f>(ROW()-54)*$F$52</f>
        <v/>
      </c>
      <c r="B62" s="44">
        <f>A62+$F$52</f>
        <v/>
      </c>
      <c r="C62" s="45">
        <f>COUNTIFS($AH$7:$AH$1006,"&gt;"&amp;A62,$AH$7:$AH$1006,"&lt;="&amp;B62)</f>
        <v/>
      </c>
      <c r="AG62" t="n">
        <v>56</v>
      </c>
      <c r="AH62" s="35" t="n">
        <v>0</v>
      </c>
    </row>
    <row r="63">
      <c r="A63" s="44">
        <f>(ROW()-54)*$F$52</f>
        <v/>
      </c>
      <c r="B63" s="44">
        <f>A63+$F$52</f>
        <v/>
      </c>
      <c r="C63" s="45">
        <f>COUNTIF($AH$7:$AH$1006,"&gt;"&amp;A63)</f>
        <v/>
      </c>
      <c r="AG63" t="n">
        <v>57</v>
      </c>
      <c r="AH63" s="35" t="n">
        <v>0</v>
      </c>
    </row>
    <row r="64">
      <c r="A64" s="11" t="inlineStr">
        <is>
          <t>buyer_id</t>
        </is>
      </c>
      <c r="B64" s="11" t="inlineStr">
        <is>
          <t>잔액 USD</t>
        </is>
      </c>
      <c r="C64" s="11" t="inlineStr">
        <is>
          <t>PD_eff</t>
        </is>
      </c>
      <c r="D64" s="11" t="inlineStr">
        <is>
          <t>LGD</t>
        </is>
      </c>
      <c r="E64" s="11" t="inlineStr">
        <is>
          <t>보상비율</t>
        </is>
      </c>
      <c r="F64" s="11" t="inlineStr">
        <is>
          <t>가산</t>
        </is>
      </c>
      <c r="G64" s="11" t="inlineStr">
        <is>
          <t>결제기간</t>
        </is>
      </c>
      <c r="H64" s="11" t="inlineStr">
        <is>
          <t>CRC(미분류 0)</t>
        </is>
      </c>
      <c r="I64" s="11" t="inlineStr">
        <is>
          <t>L/C</t>
        </is>
      </c>
      <c r="J64" s="11" t="inlineStr">
        <is>
          <t>통화</t>
        </is>
      </c>
      <c r="K64" s="11" t="inlineStr">
        <is>
          <t>EL S0</t>
        </is>
      </c>
      <c r="L64" s="11" t="inlineStr">
        <is>
          <t>EL S1</t>
        </is>
      </c>
      <c r="M64" s="11" t="inlineStr">
        <is>
          <t>EL S2</t>
        </is>
      </c>
      <c r="N64" s="11" t="inlineStr">
        <is>
          <t>EL S3</t>
        </is>
      </c>
      <c r="O64" s="11" t="inlineStr">
        <is>
          <t>EL S4</t>
        </is>
      </c>
      <c r="P64" s="11" t="inlineStr">
        <is>
          <t>EL U1</t>
        </is>
      </c>
      <c r="Q64" s="11" t="inlineStr">
        <is>
          <t>금융비용 S0</t>
        </is>
      </c>
      <c r="R64" s="11" t="inlineStr">
        <is>
          <t>금융비용 S1</t>
        </is>
      </c>
      <c r="S64" s="11" t="inlineStr">
        <is>
          <t>금융비용 S2</t>
        </is>
      </c>
      <c r="T64" s="11" t="inlineStr">
        <is>
          <t>금융비용 S3</t>
        </is>
      </c>
      <c r="U64" s="11" t="inlineStr">
        <is>
          <t>금융비용 S4</t>
        </is>
      </c>
      <c r="V64" s="11" t="inlineStr">
        <is>
          <t>금융비용 U1</t>
        </is>
      </c>
      <c r="W64" s="11" t="inlineStr">
        <is>
          <t>송금지연 S0</t>
        </is>
      </c>
      <c r="X64" s="11" t="inlineStr">
        <is>
          <t>송금지연 S1</t>
        </is>
      </c>
      <c r="Y64" s="11" t="inlineStr">
        <is>
          <t>송금지연 S2</t>
        </is>
      </c>
      <c r="Z64" s="11" t="inlineStr">
        <is>
          <t>송금지연 S3</t>
        </is>
      </c>
      <c r="AA64" s="11" t="inlineStr">
        <is>
          <t>송금지연 S4</t>
        </is>
      </c>
      <c r="AB64" s="11" t="inlineStr">
        <is>
          <t>송금지연 U1</t>
        </is>
      </c>
      <c r="AC64" s="11" t="inlineStr">
        <is>
          <t>MC PD</t>
        </is>
      </c>
      <c r="AD64" s="11" t="inlineStr">
        <is>
          <t>MC 손실</t>
        </is>
      </c>
      <c r="AE64" s="11" t="inlineStr">
        <is>
          <t>MC 1회</t>
        </is>
      </c>
      <c r="AG64" t="n">
        <v>58</v>
      </c>
      <c r="AH64" s="35" t="n">
        <v>0</v>
      </c>
    </row>
    <row r="65">
      <c r="A65" s="7">
        <f>IF('02_Buyers'!$A2="","",'02_Buyers'!$A2)</f>
        <v/>
      </c>
      <c r="B65" s="44">
        <f>IF($A65="",0,'02_Buyers'!$Z2)</f>
        <v/>
      </c>
      <c r="C65" s="50">
        <f>IF($A65="",0,'02_Buyers'!$AM2)</f>
        <v/>
      </c>
      <c r="D65" s="50">
        <f>IF($A65="",0,'02_Buyers'!$AN2)</f>
        <v/>
      </c>
      <c r="E65" s="50">
        <f>IF($A65="",0,'02_Buyers'!$AO2)</f>
        <v/>
      </c>
      <c r="F65" s="50">
        <f>IF($A65="",0,'02_Buyers'!$AP2)</f>
        <v/>
      </c>
      <c r="G65" s="45">
        <f>IF($A65="",0,'02_Buyers'!$V2)</f>
        <v/>
      </c>
      <c r="H65" s="45">
        <f>IF(OR($A65="",'02_Buyers'!$AC2=""),0,'02_Buyers'!$AC2)</f>
        <v/>
      </c>
      <c r="I65" s="45">
        <f>IF($A65="",0,IF(OR('02_Buyers'!$U2="LC_SIGHT",'02_Buyers'!$U2="LC_USANCE"),1,0))</f>
        <v/>
      </c>
      <c r="J65" s="7">
        <f>IF($A65="","",'02_Buyers'!$T2)</f>
        <v/>
      </c>
      <c r="K65" s="44">
        <f>IF($A65="",0,$B65*MIN(1,$C65*$J$6)*IF($I65=1,LGD_LC,MIN(1,LGD+$K$6))*(1-$E65))</f>
        <v/>
      </c>
      <c r="L65" s="44">
        <f>IF($A65="",0,$B65*MIN(1,$C65*$J$7)*IF($I65=1,LGD_LC,MIN(1,LGD+$K$7))*(1-$E65))</f>
        <v/>
      </c>
      <c r="M65" s="44">
        <f>IF($A65="",0,$B65*MIN(1,$C65*$J$8)*IF($I65=1,LGD_LC,MIN(1,LGD+$K$8))*(1-$E65))</f>
        <v/>
      </c>
      <c r="N65" s="44">
        <f>IF($A65="",0,$B65*MIN(1,$C65*$J$9)*IF($I65=1,LGD_LC,MIN(1,LGD+$K$9))*(1-$E65))</f>
        <v/>
      </c>
      <c r="O65" s="44">
        <f>IF($A65="",0,$B65*MIN(1,$C65*$J$10)*IF($I65=1,LGD_LC,MIN(1,LGD+$K$10))*(1-$E65))</f>
        <v/>
      </c>
      <c r="P65" s="44">
        <f>IF($A65="",0,$B65*MIN(1,$C65*$J$12)*IF($I65=1,LGD_LC,MIN(1,LGD+$K$12))*(1-$E65))</f>
        <v/>
      </c>
      <c r="Q65" s="44">
        <f>IF($A65="",0,$B65*(TSOFR3M+$H$6/10000+$F65)*$G65/DayBasis)</f>
        <v/>
      </c>
      <c r="R65" s="44">
        <f>IF($A65="",0,$B65*(TSOFR3M+$H$7/10000+$F65)*$G65/DayBasis)</f>
        <v/>
      </c>
      <c r="S65" s="44">
        <f>IF($A65="",0,$B65*(TSOFR3M+$H$8/10000+$F65)*$G65/DayBasis)</f>
        <v/>
      </c>
      <c r="T65" s="44">
        <f>IF($A65="",0,$B65*(TSOFR3M+$H$9/10000+$F65)*$G65/DayBasis)</f>
        <v/>
      </c>
      <c r="U65" s="44">
        <f>IF($A65="",0,$B65*(TSOFR3M+$H$10/10000+$F65)*$G65/DayBasis)</f>
        <v/>
      </c>
      <c r="V65" s="44">
        <f>IF($A65="",0,$B65*(TSOFR3M+$H$12/10000+$F65)*$G65/DayBasis)</f>
        <v/>
      </c>
      <c r="W65" s="44">
        <f>IF(OR($A65="",$M$6&lt;&gt;"Y",$O$6=""),0,IF($H65&gt;=$O$6,$B65*(TSOFR3M+$H$6/10000+$F65)*$N$6/DayBasis,0))</f>
        <v/>
      </c>
      <c r="X65" s="44">
        <f>IF(OR($A65="",$M$7&lt;&gt;"Y",$O$7=""),0,IF($H65&gt;=$O$7,$B65*(TSOFR3M+$H$7/10000+$F65)*$N$7/DayBasis,0))</f>
        <v/>
      </c>
      <c r="Y65" s="44">
        <f>IF(OR($A65="",$M$8&lt;&gt;"Y",$O$8=""),0,IF($H65&gt;=$O$8,$B65*(TSOFR3M+$H$8/10000+$F65)*$N$8/DayBasis,0))</f>
        <v/>
      </c>
      <c r="Z65" s="44">
        <f>IF(OR($A65="",$M$9&lt;&gt;"Y",$O$9=""),0,IF($H65&gt;=$O$9,$B65*(TSOFR3M+$H$9/10000+$F65)*$N$9/DayBasis,0))</f>
        <v/>
      </c>
      <c r="AA65" s="44">
        <f>IF(OR($A65="",$M$10&lt;&gt;"Y",$O$10=""),0,IF($H65&gt;=$O$10,$B65*(TSOFR3M+$H$10/10000+$F65)*$N$10/DayBasis,0))</f>
        <v/>
      </c>
      <c r="AB65" s="44">
        <f>IF(OR($A65="",$M$12&lt;&gt;"Y",$O$12=""),0,IF($H65&gt;=$O$12,$B65*(TSOFR3M+$H$12/10000+$F65)*$N$12/DayBasis,0))</f>
        <v/>
      </c>
      <c r="AC65" s="50">
        <f>IF($A65="",0,MIN(1,$C65*$C$39))</f>
        <v/>
      </c>
      <c r="AD65" s="44">
        <f>IF($A65="",0,$B65*IF($I65=1,LGD_LC,MIN(1,LGD+$C$40))*(1-$E65))</f>
        <v/>
      </c>
      <c r="AE65" s="44">
        <f>IF(OR($A65="",$B65&lt;=0,$AC65&lt;=0),0,IF($AC65&gt;=1,$AD65,IF(_xlfn.NORM.S.INV(RAND())*SQRT(1-Rho)+$C$41*SQRT(Rho)&lt;_xlfn.NORM.S.INV($AC65),$AD65,0)))</f>
        <v/>
      </c>
      <c r="AG65" t="n">
        <v>59</v>
      </c>
      <c r="AH65" s="35" t="n">
        <v>0</v>
      </c>
    </row>
    <row r="66">
      <c r="A66" s="7">
        <f>IF('02_Buyers'!$A3="","",'02_Buyers'!$A3)</f>
        <v/>
      </c>
      <c r="B66" s="44">
        <f>IF($A66="",0,'02_Buyers'!$Z3)</f>
        <v/>
      </c>
      <c r="C66" s="50">
        <f>IF($A66="",0,'02_Buyers'!$AM3)</f>
        <v/>
      </c>
      <c r="D66" s="50">
        <f>IF($A66="",0,'02_Buyers'!$AN3)</f>
        <v/>
      </c>
      <c r="E66" s="50">
        <f>IF($A66="",0,'02_Buyers'!$AO3)</f>
        <v/>
      </c>
      <c r="F66" s="50">
        <f>IF($A66="",0,'02_Buyers'!$AP3)</f>
        <v/>
      </c>
      <c r="G66" s="45">
        <f>IF($A66="",0,'02_Buyers'!$V3)</f>
        <v/>
      </c>
      <c r="H66" s="45">
        <f>IF(OR($A66="",'02_Buyers'!$AC3=""),0,'02_Buyers'!$AC3)</f>
        <v/>
      </c>
      <c r="I66" s="45">
        <f>IF($A66="",0,IF(OR('02_Buyers'!$U3="LC_SIGHT",'02_Buyers'!$U3="LC_USANCE"),1,0))</f>
        <v/>
      </c>
      <c r="J66" s="7">
        <f>IF($A66="","",'02_Buyers'!$T3)</f>
        <v/>
      </c>
      <c r="K66" s="44">
        <f>IF($A66="",0,$B66*MIN(1,$C66*$J$6)*IF($I66=1,LGD_LC,MIN(1,LGD+$K$6))*(1-$E66))</f>
        <v/>
      </c>
      <c r="L66" s="44">
        <f>IF($A66="",0,$B66*MIN(1,$C66*$J$7)*IF($I66=1,LGD_LC,MIN(1,LGD+$K$7))*(1-$E66))</f>
        <v/>
      </c>
      <c r="M66" s="44">
        <f>IF($A66="",0,$B66*MIN(1,$C66*$J$8)*IF($I66=1,LGD_LC,MIN(1,LGD+$K$8))*(1-$E66))</f>
        <v/>
      </c>
      <c r="N66" s="44">
        <f>IF($A66="",0,$B66*MIN(1,$C66*$J$9)*IF($I66=1,LGD_LC,MIN(1,LGD+$K$9))*(1-$E66))</f>
        <v/>
      </c>
      <c r="O66" s="44">
        <f>IF($A66="",0,$B66*MIN(1,$C66*$J$10)*IF($I66=1,LGD_LC,MIN(1,LGD+$K$10))*(1-$E66))</f>
        <v/>
      </c>
      <c r="P66" s="44">
        <f>IF($A66="",0,$B66*MIN(1,$C66*$J$12)*IF($I66=1,LGD_LC,MIN(1,LGD+$K$12))*(1-$E66))</f>
        <v/>
      </c>
      <c r="Q66" s="44">
        <f>IF($A66="",0,$B66*(TSOFR3M+$H$6/10000+$F66)*$G66/DayBasis)</f>
        <v/>
      </c>
      <c r="R66" s="44">
        <f>IF($A66="",0,$B66*(TSOFR3M+$H$7/10000+$F66)*$G66/DayBasis)</f>
        <v/>
      </c>
      <c r="S66" s="44">
        <f>IF($A66="",0,$B66*(TSOFR3M+$H$8/10000+$F66)*$G66/DayBasis)</f>
        <v/>
      </c>
      <c r="T66" s="44">
        <f>IF($A66="",0,$B66*(TSOFR3M+$H$9/10000+$F66)*$G66/DayBasis)</f>
        <v/>
      </c>
      <c r="U66" s="44">
        <f>IF($A66="",0,$B66*(TSOFR3M+$H$10/10000+$F66)*$G66/DayBasis)</f>
        <v/>
      </c>
      <c r="V66" s="44">
        <f>IF($A66="",0,$B66*(TSOFR3M+$H$12/10000+$F66)*$G66/DayBasis)</f>
        <v/>
      </c>
      <c r="W66" s="44">
        <f>IF(OR($A66="",$M$6&lt;&gt;"Y",$O$6=""),0,IF($H66&gt;=$O$6,$B66*(TSOFR3M+$H$6/10000+$F66)*$N$6/DayBasis,0))</f>
        <v/>
      </c>
      <c r="X66" s="44">
        <f>IF(OR($A66="",$M$7&lt;&gt;"Y",$O$7=""),0,IF($H66&gt;=$O$7,$B66*(TSOFR3M+$H$7/10000+$F66)*$N$7/DayBasis,0))</f>
        <v/>
      </c>
      <c r="Y66" s="44">
        <f>IF(OR($A66="",$M$8&lt;&gt;"Y",$O$8=""),0,IF($H66&gt;=$O$8,$B66*(TSOFR3M+$H$8/10000+$F66)*$N$8/DayBasis,0))</f>
        <v/>
      </c>
      <c r="Z66" s="44">
        <f>IF(OR($A66="",$M$9&lt;&gt;"Y",$O$9=""),0,IF($H66&gt;=$O$9,$B66*(TSOFR3M+$H$9/10000+$F66)*$N$9/DayBasis,0))</f>
        <v/>
      </c>
      <c r="AA66" s="44">
        <f>IF(OR($A66="",$M$10&lt;&gt;"Y",$O$10=""),0,IF($H66&gt;=$O$10,$B66*(TSOFR3M+$H$10/10000+$F66)*$N$10/DayBasis,0))</f>
        <v/>
      </c>
      <c r="AB66" s="44">
        <f>IF(OR($A66="",$M$12&lt;&gt;"Y",$O$12=""),0,IF($H66&gt;=$O$12,$B66*(TSOFR3M+$H$12/10000+$F66)*$N$12/DayBasis,0))</f>
        <v/>
      </c>
      <c r="AC66" s="50">
        <f>IF($A66="",0,MIN(1,$C66*$C$39))</f>
        <v/>
      </c>
      <c r="AD66" s="44">
        <f>IF($A66="",0,$B66*IF($I66=1,LGD_LC,MIN(1,LGD+$C$40))*(1-$E66))</f>
        <v/>
      </c>
      <c r="AE66" s="44">
        <f>IF(OR($A66="",$B66&lt;=0,$AC66&lt;=0),0,IF($AC66&gt;=1,$AD66,IF(_xlfn.NORM.S.INV(RAND())*SQRT(1-Rho)+$C$41*SQRT(Rho)&lt;_xlfn.NORM.S.INV($AC66),$AD66,0)))</f>
        <v/>
      </c>
      <c r="AG66" t="n">
        <v>60</v>
      </c>
      <c r="AH66" s="35" t="n">
        <v>0</v>
      </c>
    </row>
    <row r="67">
      <c r="A67" s="7">
        <f>IF('02_Buyers'!$A4="","",'02_Buyers'!$A4)</f>
        <v/>
      </c>
      <c r="B67" s="44">
        <f>IF($A67="",0,'02_Buyers'!$Z4)</f>
        <v/>
      </c>
      <c r="C67" s="50">
        <f>IF($A67="",0,'02_Buyers'!$AM4)</f>
        <v/>
      </c>
      <c r="D67" s="50">
        <f>IF($A67="",0,'02_Buyers'!$AN4)</f>
        <v/>
      </c>
      <c r="E67" s="50">
        <f>IF($A67="",0,'02_Buyers'!$AO4)</f>
        <v/>
      </c>
      <c r="F67" s="50">
        <f>IF($A67="",0,'02_Buyers'!$AP4)</f>
        <v/>
      </c>
      <c r="G67" s="45">
        <f>IF($A67="",0,'02_Buyers'!$V4)</f>
        <v/>
      </c>
      <c r="H67" s="45">
        <f>IF(OR($A67="",'02_Buyers'!$AC4=""),0,'02_Buyers'!$AC4)</f>
        <v/>
      </c>
      <c r="I67" s="45">
        <f>IF($A67="",0,IF(OR('02_Buyers'!$U4="LC_SIGHT",'02_Buyers'!$U4="LC_USANCE"),1,0))</f>
        <v/>
      </c>
      <c r="J67" s="7">
        <f>IF($A67="","",'02_Buyers'!$T4)</f>
        <v/>
      </c>
      <c r="K67" s="44">
        <f>IF($A67="",0,$B67*MIN(1,$C67*$J$6)*IF($I67=1,LGD_LC,MIN(1,LGD+$K$6))*(1-$E67))</f>
        <v/>
      </c>
      <c r="L67" s="44">
        <f>IF($A67="",0,$B67*MIN(1,$C67*$J$7)*IF($I67=1,LGD_LC,MIN(1,LGD+$K$7))*(1-$E67))</f>
        <v/>
      </c>
      <c r="M67" s="44">
        <f>IF($A67="",0,$B67*MIN(1,$C67*$J$8)*IF($I67=1,LGD_LC,MIN(1,LGD+$K$8))*(1-$E67))</f>
        <v/>
      </c>
      <c r="N67" s="44">
        <f>IF($A67="",0,$B67*MIN(1,$C67*$J$9)*IF($I67=1,LGD_LC,MIN(1,LGD+$K$9))*(1-$E67))</f>
        <v/>
      </c>
      <c r="O67" s="44">
        <f>IF($A67="",0,$B67*MIN(1,$C67*$J$10)*IF($I67=1,LGD_LC,MIN(1,LGD+$K$10))*(1-$E67))</f>
        <v/>
      </c>
      <c r="P67" s="44">
        <f>IF($A67="",0,$B67*MIN(1,$C67*$J$12)*IF($I67=1,LGD_LC,MIN(1,LGD+$K$12))*(1-$E67))</f>
        <v/>
      </c>
      <c r="Q67" s="44">
        <f>IF($A67="",0,$B67*(TSOFR3M+$H$6/10000+$F67)*$G67/DayBasis)</f>
        <v/>
      </c>
      <c r="R67" s="44">
        <f>IF($A67="",0,$B67*(TSOFR3M+$H$7/10000+$F67)*$G67/DayBasis)</f>
        <v/>
      </c>
      <c r="S67" s="44">
        <f>IF($A67="",0,$B67*(TSOFR3M+$H$8/10000+$F67)*$G67/DayBasis)</f>
        <v/>
      </c>
      <c r="T67" s="44">
        <f>IF($A67="",0,$B67*(TSOFR3M+$H$9/10000+$F67)*$G67/DayBasis)</f>
        <v/>
      </c>
      <c r="U67" s="44">
        <f>IF($A67="",0,$B67*(TSOFR3M+$H$10/10000+$F67)*$G67/DayBasis)</f>
        <v/>
      </c>
      <c r="V67" s="44">
        <f>IF($A67="",0,$B67*(TSOFR3M+$H$12/10000+$F67)*$G67/DayBasis)</f>
        <v/>
      </c>
      <c r="W67" s="44">
        <f>IF(OR($A67="",$M$6&lt;&gt;"Y",$O$6=""),0,IF($H67&gt;=$O$6,$B67*(TSOFR3M+$H$6/10000+$F67)*$N$6/DayBasis,0))</f>
        <v/>
      </c>
      <c r="X67" s="44">
        <f>IF(OR($A67="",$M$7&lt;&gt;"Y",$O$7=""),0,IF($H67&gt;=$O$7,$B67*(TSOFR3M+$H$7/10000+$F67)*$N$7/DayBasis,0))</f>
        <v/>
      </c>
      <c r="Y67" s="44">
        <f>IF(OR($A67="",$M$8&lt;&gt;"Y",$O$8=""),0,IF($H67&gt;=$O$8,$B67*(TSOFR3M+$H$8/10000+$F67)*$N$8/DayBasis,0))</f>
        <v/>
      </c>
      <c r="Z67" s="44">
        <f>IF(OR($A67="",$M$9&lt;&gt;"Y",$O$9=""),0,IF($H67&gt;=$O$9,$B67*(TSOFR3M+$H$9/10000+$F67)*$N$9/DayBasis,0))</f>
        <v/>
      </c>
      <c r="AA67" s="44">
        <f>IF(OR($A67="",$M$10&lt;&gt;"Y",$O$10=""),0,IF($H67&gt;=$O$10,$B67*(TSOFR3M+$H$10/10000+$F67)*$N$10/DayBasis,0))</f>
        <v/>
      </c>
      <c r="AB67" s="44">
        <f>IF(OR($A67="",$M$12&lt;&gt;"Y",$O$12=""),0,IF($H67&gt;=$O$12,$B67*(TSOFR3M+$H$12/10000+$F67)*$N$12/DayBasis,0))</f>
        <v/>
      </c>
      <c r="AC67" s="50">
        <f>IF($A67="",0,MIN(1,$C67*$C$39))</f>
        <v/>
      </c>
      <c r="AD67" s="44">
        <f>IF($A67="",0,$B67*IF($I67=1,LGD_LC,MIN(1,LGD+$C$40))*(1-$E67))</f>
        <v/>
      </c>
      <c r="AE67" s="44">
        <f>IF(OR($A67="",$B67&lt;=0,$AC67&lt;=0),0,IF($AC67&gt;=1,$AD67,IF(_xlfn.NORM.S.INV(RAND())*SQRT(1-Rho)+$C$41*SQRT(Rho)&lt;_xlfn.NORM.S.INV($AC67),$AD67,0)))</f>
        <v/>
      </c>
      <c r="AG67" t="n">
        <v>61</v>
      </c>
      <c r="AH67" s="35" t="n">
        <v>0</v>
      </c>
    </row>
    <row r="68">
      <c r="A68" s="7">
        <f>IF('02_Buyers'!$A5="","",'02_Buyers'!$A5)</f>
        <v/>
      </c>
      <c r="B68" s="44">
        <f>IF($A68="",0,'02_Buyers'!$Z5)</f>
        <v/>
      </c>
      <c r="C68" s="50">
        <f>IF($A68="",0,'02_Buyers'!$AM5)</f>
        <v/>
      </c>
      <c r="D68" s="50">
        <f>IF($A68="",0,'02_Buyers'!$AN5)</f>
        <v/>
      </c>
      <c r="E68" s="50">
        <f>IF($A68="",0,'02_Buyers'!$AO5)</f>
        <v/>
      </c>
      <c r="F68" s="50">
        <f>IF($A68="",0,'02_Buyers'!$AP5)</f>
        <v/>
      </c>
      <c r="G68" s="45">
        <f>IF($A68="",0,'02_Buyers'!$V5)</f>
        <v/>
      </c>
      <c r="H68" s="45">
        <f>IF(OR($A68="",'02_Buyers'!$AC5=""),0,'02_Buyers'!$AC5)</f>
        <v/>
      </c>
      <c r="I68" s="45">
        <f>IF($A68="",0,IF(OR('02_Buyers'!$U5="LC_SIGHT",'02_Buyers'!$U5="LC_USANCE"),1,0))</f>
        <v/>
      </c>
      <c r="J68" s="7">
        <f>IF($A68="","",'02_Buyers'!$T5)</f>
        <v/>
      </c>
      <c r="K68" s="44">
        <f>IF($A68="",0,$B68*MIN(1,$C68*$J$6)*IF($I68=1,LGD_LC,MIN(1,LGD+$K$6))*(1-$E68))</f>
        <v/>
      </c>
      <c r="L68" s="44">
        <f>IF($A68="",0,$B68*MIN(1,$C68*$J$7)*IF($I68=1,LGD_LC,MIN(1,LGD+$K$7))*(1-$E68))</f>
        <v/>
      </c>
      <c r="M68" s="44">
        <f>IF($A68="",0,$B68*MIN(1,$C68*$J$8)*IF($I68=1,LGD_LC,MIN(1,LGD+$K$8))*(1-$E68))</f>
        <v/>
      </c>
      <c r="N68" s="44">
        <f>IF($A68="",0,$B68*MIN(1,$C68*$J$9)*IF($I68=1,LGD_LC,MIN(1,LGD+$K$9))*(1-$E68))</f>
        <v/>
      </c>
      <c r="O68" s="44">
        <f>IF($A68="",0,$B68*MIN(1,$C68*$J$10)*IF($I68=1,LGD_LC,MIN(1,LGD+$K$10))*(1-$E68))</f>
        <v/>
      </c>
      <c r="P68" s="44">
        <f>IF($A68="",0,$B68*MIN(1,$C68*$J$12)*IF($I68=1,LGD_LC,MIN(1,LGD+$K$12))*(1-$E68))</f>
        <v/>
      </c>
      <c r="Q68" s="44">
        <f>IF($A68="",0,$B68*(TSOFR3M+$H$6/10000+$F68)*$G68/DayBasis)</f>
        <v/>
      </c>
      <c r="R68" s="44">
        <f>IF($A68="",0,$B68*(TSOFR3M+$H$7/10000+$F68)*$G68/DayBasis)</f>
        <v/>
      </c>
      <c r="S68" s="44">
        <f>IF($A68="",0,$B68*(TSOFR3M+$H$8/10000+$F68)*$G68/DayBasis)</f>
        <v/>
      </c>
      <c r="T68" s="44">
        <f>IF($A68="",0,$B68*(TSOFR3M+$H$9/10000+$F68)*$G68/DayBasis)</f>
        <v/>
      </c>
      <c r="U68" s="44">
        <f>IF($A68="",0,$B68*(TSOFR3M+$H$10/10000+$F68)*$G68/DayBasis)</f>
        <v/>
      </c>
      <c r="V68" s="44">
        <f>IF($A68="",0,$B68*(TSOFR3M+$H$12/10000+$F68)*$G68/DayBasis)</f>
        <v/>
      </c>
      <c r="W68" s="44">
        <f>IF(OR($A68="",$M$6&lt;&gt;"Y",$O$6=""),0,IF($H68&gt;=$O$6,$B68*(TSOFR3M+$H$6/10000+$F68)*$N$6/DayBasis,0))</f>
        <v/>
      </c>
      <c r="X68" s="44">
        <f>IF(OR($A68="",$M$7&lt;&gt;"Y",$O$7=""),0,IF($H68&gt;=$O$7,$B68*(TSOFR3M+$H$7/10000+$F68)*$N$7/DayBasis,0))</f>
        <v/>
      </c>
      <c r="Y68" s="44">
        <f>IF(OR($A68="",$M$8&lt;&gt;"Y",$O$8=""),0,IF($H68&gt;=$O$8,$B68*(TSOFR3M+$H$8/10000+$F68)*$N$8/DayBasis,0))</f>
        <v/>
      </c>
      <c r="Z68" s="44">
        <f>IF(OR($A68="",$M$9&lt;&gt;"Y",$O$9=""),0,IF($H68&gt;=$O$9,$B68*(TSOFR3M+$H$9/10000+$F68)*$N$9/DayBasis,0))</f>
        <v/>
      </c>
      <c r="AA68" s="44">
        <f>IF(OR($A68="",$M$10&lt;&gt;"Y",$O$10=""),0,IF($H68&gt;=$O$10,$B68*(TSOFR3M+$H$10/10000+$F68)*$N$10/DayBasis,0))</f>
        <v/>
      </c>
      <c r="AB68" s="44">
        <f>IF(OR($A68="",$M$12&lt;&gt;"Y",$O$12=""),0,IF($H68&gt;=$O$12,$B68*(TSOFR3M+$H$12/10000+$F68)*$N$12/DayBasis,0))</f>
        <v/>
      </c>
      <c r="AC68" s="50">
        <f>IF($A68="",0,MIN(1,$C68*$C$39))</f>
        <v/>
      </c>
      <c r="AD68" s="44">
        <f>IF($A68="",0,$B68*IF($I68=1,LGD_LC,MIN(1,LGD+$C$40))*(1-$E68))</f>
        <v/>
      </c>
      <c r="AE68" s="44">
        <f>IF(OR($A68="",$B68&lt;=0,$AC68&lt;=0),0,IF($AC68&gt;=1,$AD68,IF(_xlfn.NORM.S.INV(RAND())*SQRT(1-Rho)+$C$41*SQRT(Rho)&lt;_xlfn.NORM.S.INV($AC68),$AD68,0)))</f>
        <v/>
      </c>
      <c r="AG68" t="n">
        <v>62</v>
      </c>
      <c r="AH68" s="35" t="n">
        <v>0</v>
      </c>
    </row>
    <row r="69">
      <c r="A69" s="7">
        <f>IF('02_Buyers'!$A6="","",'02_Buyers'!$A6)</f>
        <v/>
      </c>
      <c r="B69" s="44">
        <f>IF($A69="",0,'02_Buyers'!$Z6)</f>
        <v/>
      </c>
      <c r="C69" s="50">
        <f>IF($A69="",0,'02_Buyers'!$AM6)</f>
        <v/>
      </c>
      <c r="D69" s="50">
        <f>IF($A69="",0,'02_Buyers'!$AN6)</f>
        <v/>
      </c>
      <c r="E69" s="50">
        <f>IF($A69="",0,'02_Buyers'!$AO6)</f>
        <v/>
      </c>
      <c r="F69" s="50">
        <f>IF($A69="",0,'02_Buyers'!$AP6)</f>
        <v/>
      </c>
      <c r="G69" s="45">
        <f>IF($A69="",0,'02_Buyers'!$V6)</f>
        <v/>
      </c>
      <c r="H69" s="45">
        <f>IF(OR($A69="",'02_Buyers'!$AC6=""),0,'02_Buyers'!$AC6)</f>
        <v/>
      </c>
      <c r="I69" s="45">
        <f>IF($A69="",0,IF(OR('02_Buyers'!$U6="LC_SIGHT",'02_Buyers'!$U6="LC_USANCE"),1,0))</f>
        <v/>
      </c>
      <c r="J69" s="7">
        <f>IF($A69="","",'02_Buyers'!$T6)</f>
        <v/>
      </c>
      <c r="K69" s="44">
        <f>IF($A69="",0,$B69*MIN(1,$C69*$J$6)*IF($I69=1,LGD_LC,MIN(1,LGD+$K$6))*(1-$E69))</f>
        <v/>
      </c>
      <c r="L69" s="44">
        <f>IF($A69="",0,$B69*MIN(1,$C69*$J$7)*IF($I69=1,LGD_LC,MIN(1,LGD+$K$7))*(1-$E69))</f>
        <v/>
      </c>
      <c r="M69" s="44">
        <f>IF($A69="",0,$B69*MIN(1,$C69*$J$8)*IF($I69=1,LGD_LC,MIN(1,LGD+$K$8))*(1-$E69))</f>
        <v/>
      </c>
      <c r="N69" s="44">
        <f>IF($A69="",0,$B69*MIN(1,$C69*$J$9)*IF($I69=1,LGD_LC,MIN(1,LGD+$K$9))*(1-$E69))</f>
        <v/>
      </c>
      <c r="O69" s="44">
        <f>IF($A69="",0,$B69*MIN(1,$C69*$J$10)*IF($I69=1,LGD_LC,MIN(1,LGD+$K$10))*(1-$E69))</f>
        <v/>
      </c>
      <c r="P69" s="44">
        <f>IF($A69="",0,$B69*MIN(1,$C69*$J$12)*IF($I69=1,LGD_LC,MIN(1,LGD+$K$12))*(1-$E69))</f>
        <v/>
      </c>
      <c r="Q69" s="44">
        <f>IF($A69="",0,$B69*(TSOFR3M+$H$6/10000+$F69)*$G69/DayBasis)</f>
        <v/>
      </c>
      <c r="R69" s="44">
        <f>IF($A69="",0,$B69*(TSOFR3M+$H$7/10000+$F69)*$G69/DayBasis)</f>
        <v/>
      </c>
      <c r="S69" s="44">
        <f>IF($A69="",0,$B69*(TSOFR3M+$H$8/10000+$F69)*$G69/DayBasis)</f>
        <v/>
      </c>
      <c r="T69" s="44">
        <f>IF($A69="",0,$B69*(TSOFR3M+$H$9/10000+$F69)*$G69/DayBasis)</f>
        <v/>
      </c>
      <c r="U69" s="44">
        <f>IF($A69="",0,$B69*(TSOFR3M+$H$10/10000+$F69)*$G69/DayBasis)</f>
        <v/>
      </c>
      <c r="V69" s="44">
        <f>IF($A69="",0,$B69*(TSOFR3M+$H$12/10000+$F69)*$G69/DayBasis)</f>
        <v/>
      </c>
      <c r="W69" s="44">
        <f>IF(OR($A69="",$M$6&lt;&gt;"Y",$O$6=""),0,IF($H69&gt;=$O$6,$B69*(TSOFR3M+$H$6/10000+$F69)*$N$6/DayBasis,0))</f>
        <v/>
      </c>
      <c r="X69" s="44">
        <f>IF(OR($A69="",$M$7&lt;&gt;"Y",$O$7=""),0,IF($H69&gt;=$O$7,$B69*(TSOFR3M+$H$7/10000+$F69)*$N$7/DayBasis,0))</f>
        <v/>
      </c>
      <c r="Y69" s="44">
        <f>IF(OR($A69="",$M$8&lt;&gt;"Y",$O$8=""),0,IF($H69&gt;=$O$8,$B69*(TSOFR3M+$H$8/10000+$F69)*$N$8/DayBasis,0))</f>
        <v/>
      </c>
      <c r="Z69" s="44">
        <f>IF(OR($A69="",$M$9&lt;&gt;"Y",$O$9=""),0,IF($H69&gt;=$O$9,$B69*(TSOFR3M+$H$9/10000+$F69)*$N$9/DayBasis,0))</f>
        <v/>
      </c>
      <c r="AA69" s="44">
        <f>IF(OR($A69="",$M$10&lt;&gt;"Y",$O$10=""),0,IF($H69&gt;=$O$10,$B69*(TSOFR3M+$H$10/10000+$F69)*$N$10/DayBasis,0))</f>
        <v/>
      </c>
      <c r="AB69" s="44">
        <f>IF(OR($A69="",$M$12&lt;&gt;"Y",$O$12=""),0,IF($H69&gt;=$O$12,$B69*(TSOFR3M+$H$12/10000+$F69)*$N$12/DayBasis,0))</f>
        <v/>
      </c>
      <c r="AC69" s="50">
        <f>IF($A69="",0,MIN(1,$C69*$C$39))</f>
        <v/>
      </c>
      <c r="AD69" s="44">
        <f>IF($A69="",0,$B69*IF($I69=1,LGD_LC,MIN(1,LGD+$C$40))*(1-$E69))</f>
        <v/>
      </c>
      <c r="AE69" s="44">
        <f>IF(OR($A69="",$B69&lt;=0,$AC69&lt;=0),0,IF($AC69&gt;=1,$AD69,IF(_xlfn.NORM.S.INV(RAND())*SQRT(1-Rho)+$C$41*SQRT(Rho)&lt;_xlfn.NORM.S.INV($AC69),$AD69,0)))</f>
        <v/>
      </c>
      <c r="AG69" t="n">
        <v>63</v>
      </c>
      <c r="AH69" s="35" t="n">
        <v>0</v>
      </c>
    </row>
    <row r="70">
      <c r="A70" s="7">
        <f>IF('02_Buyers'!$A7="","",'02_Buyers'!$A7)</f>
        <v/>
      </c>
      <c r="B70" s="44">
        <f>IF($A70="",0,'02_Buyers'!$Z7)</f>
        <v/>
      </c>
      <c r="C70" s="50">
        <f>IF($A70="",0,'02_Buyers'!$AM7)</f>
        <v/>
      </c>
      <c r="D70" s="50">
        <f>IF($A70="",0,'02_Buyers'!$AN7)</f>
        <v/>
      </c>
      <c r="E70" s="50">
        <f>IF($A70="",0,'02_Buyers'!$AO7)</f>
        <v/>
      </c>
      <c r="F70" s="50">
        <f>IF($A70="",0,'02_Buyers'!$AP7)</f>
        <v/>
      </c>
      <c r="G70" s="45">
        <f>IF($A70="",0,'02_Buyers'!$V7)</f>
        <v/>
      </c>
      <c r="H70" s="45">
        <f>IF(OR($A70="",'02_Buyers'!$AC7=""),0,'02_Buyers'!$AC7)</f>
        <v/>
      </c>
      <c r="I70" s="45">
        <f>IF($A70="",0,IF(OR('02_Buyers'!$U7="LC_SIGHT",'02_Buyers'!$U7="LC_USANCE"),1,0))</f>
        <v/>
      </c>
      <c r="J70" s="7">
        <f>IF($A70="","",'02_Buyers'!$T7)</f>
        <v/>
      </c>
      <c r="K70" s="44">
        <f>IF($A70="",0,$B70*MIN(1,$C70*$J$6)*IF($I70=1,LGD_LC,MIN(1,LGD+$K$6))*(1-$E70))</f>
        <v/>
      </c>
      <c r="L70" s="44">
        <f>IF($A70="",0,$B70*MIN(1,$C70*$J$7)*IF($I70=1,LGD_LC,MIN(1,LGD+$K$7))*(1-$E70))</f>
        <v/>
      </c>
      <c r="M70" s="44">
        <f>IF($A70="",0,$B70*MIN(1,$C70*$J$8)*IF($I70=1,LGD_LC,MIN(1,LGD+$K$8))*(1-$E70))</f>
        <v/>
      </c>
      <c r="N70" s="44">
        <f>IF($A70="",0,$B70*MIN(1,$C70*$J$9)*IF($I70=1,LGD_LC,MIN(1,LGD+$K$9))*(1-$E70))</f>
        <v/>
      </c>
      <c r="O70" s="44">
        <f>IF($A70="",0,$B70*MIN(1,$C70*$J$10)*IF($I70=1,LGD_LC,MIN(1,LGD+$K$10))*(1-$E70))</f>
        <v/>
      </c>
      <c r="P70" s="44">
        <f>IF($A70="",0,$B70*MIN(1,$C70*$J$12)*IF($I70=1,LGD_LC,MIN(1,LGD+$K$12))*(1-$E70))</f>
        <v/>
      </c>
      <c r="Q70" s="44">
        <f>IF($A70="",0,$B70*(TSOFR3M+$H$6/10000+$F70)*$G70/DayBasis)</f>
        <v/>
      </c>
      <c r="R70" s="44">
        <f>IF($A70="",0,$B70*(TSOFR3M+$H$7/10000+$F70)*$G70/DayBasis)</f>
        <v/>
      </c>
      <c r="S70" s="44">
        <f>IF($A70="",0,$B70*(TSOFR3M+$H$8/10000+$F70)*$G70/DayBasis)</f>
        <v/>
      </c>
      <c r="T70" s="44">
        <f>IF($A70="",0,$B70*(TSOFR3M+$H$9/10000+$F70)*$G70/DayBasis)</f>
        <v/>
      </c>
      <c r="U70" s="44">
        <f>IF($A70="",0,$B70*(TSOFR3M+$H$10/10000+$F70)*$G70/DayBasis)</f>
        <v/>
      </c>
      <c r="V70" s="44">
        <f>IF($A70="",0,$B70*(TSOFR3M+$H$12/10000+$F70)*$G70/DayBasis)</f>
        <v/>
      </c>
      <c r="W70" s="44">
        <f>IF(OR($A70="",$M$6&lt;&gt;"Y",$O$6=""),0,IF($H70&gt;=$O$6,$B70*(TSOFR3M+$H$6/10000+$F70)*$N$6/DayBasis,0))</f>
        <v/>
      </c>
      <c r="X70" s="44">
        <f>IF(OR($A70="",$M$7&lt;&gt;"Y",$O$7=""),0,IF($H70&gt;=$O$7,$B70*(TSOFR3M+$H$7/10000+$F70)*$N$7/DayBasis,0))</f>
        <v/>
      </c>
      <c r="Y70" s="44">
        <f>IF(OR($A70="",$M$8&lt;&gt;"Y",$O$8=""),0,IF($H70&gt;=$O$8,$B70*(TSOFR3M+$H$8/10000+$F70)*$N$8/DayBasis,0))</f>
        <v/>
      </c>
      <c r="Z70" s="44">
        <f>IF(OR($A70="",$M$9&lt;&gt;"Y",$O$9=""),0,IF($H70&gt;=$O$9,$B70*(TSOFR3M+$H$9/10000+$F70)*$N$9/DayBasis,0))</f>
        <v/>
      </c>
      <c r="AA70" s="44">
        <f>IF(OR($A70="",$M$10&lt;&gt;"Y",$O$10=""),0,IF($H70&gt;=$O$10,$B70*(TSOFR3M+$H$10/10000+$F70)*$N$10/DayBasis,0))</f>
        <v/>
      </c>
      <c r="AB70" s="44">
        <f>IF(OR($A70="",$M$12&lt;&gt;"Y",$O$12=""),0,IF($H70&gt;=$O$12,$B70*(TSOFR3M+$H$12/10000+$F70)*$N$12/DayBasis,0))</f>
        <v/>
      </c>
      <c r="AC70" s="50">
        <f>IF($A70="",0,MIN(1,$C70*$C$39))</f>
        <v/>
      </c>
      <c r="AD70" s="44">
        <f>IF($A70="",0,$B70*IF($I70=1,LGD_LC,MIN(1,LGD+$C$40))*(1-$E70))</f>
        <v/>
      </c>
      <c r="AE70" s="44">
        <f>IF(OR($A70="",$B70&lt;=0,$AC70&lt;=0),0,IF($AC70&gt;=1,$AD70,IF(_xlfn.NORM.S.INV(RAND())*SQRT(1-Rho)+$C$41*SQRT(Rho)&lt;_xlfn.NORM.S.INV($AC70),$AD70,0)))</f>
        <v/>
      </c>
      <c r="AG70" t="n">
        <v>64</v>
      </c>
      <c r="AH70" s="35" t="n">
        <v>0</v>
      </c>
    </row>
    <row r="71">
      <c r="A71" s="7">
        <f>IF('02_Buyers'!$A8="","",'02_Buyers'!$A8)</f>
        <v/>
      </c>
      <c r="B71" s="44">
        <f>IF($A71="",0,'02_Buyers'!$Z8)</f>
        <v/>
      </c>
      <c r="C71" s="50">
        <f>IF($A71="",0,'02_Buyers'!$AM8)</f>
        <v/>
      </c>
      <c r="D71" s="50">
        <f>IF($A71="",0,'02_Buyers'!$AN8)</f>
        <v/>
      </c>
      <c r="E71" s="50">
        <f>IF($A71="",0,'02_Buyers'!$AO8)</f>
        <v/>
      </c>
      <c r="F71" s="50">
        <f>IF($A71="",0,'02_Buyers'!$AP8)</f>
        <v/>
      </c>
      <c r="G71" s="45">
        <f>IF($A71="",0,'02_Buyers'!$V8)</f>
        <v/>
      </c>
      <c r="H71" s="45">
        <f>IF(OR($A71="",'02_Buyers'!$AC8=""),0,'02_Buyers'!$AC8)</f>
        <v/>
      </c>
      <c r="I71" s="45">
        <f>IF($A71="",0,IF(OR('02_Buyers'!$U8="LC_SIGHT",'02_Buyers'!$U8="LC_USANCE"),1,0))</f>
        <v/>
      </c>
      <c r="J71" s="7">
        <f>IF($A71="","",'02_Buyers'!$T8)</f>
        <v/>
      </c>
      <c r="K71" s="44">
        <f>IF($A71="",0,$B71*MIN(1,$C71*$J$6)*IF($I71=1,LGD_LC,MIN(1,LGD+$K$6))*(1-$E71))</f>
        <v/>
      </c>
      <c r="L71" s="44">
        <f>IF($A71="",0,$B71*MIN(1,$C71*$J$7)*IF($I71=1,LGD_LC,MIN(1,LGD+$K$7))*(1-$E71))</f>
        <v/>
      </c>
      <c r="M71" s="44">
        <f>IF($A71="",0,$B71*MIN(1,$C71*$J$8)*IF($I71=1,LGD_LC,MIN(1,LGD+$K$8))*(1-$E71))</f>
        <v/>
      </c>
      <c r="N71" s="44">
        <f>IF($A71="",0,$B71*MIN(1,$C71*$J$9)*IF($I71=1,LGD_LC,MIN(1,LGD+$K$9))*(1-$E71))</f>
        <v/>
      </c>
      <c r="O71" s="44">
        <f>IF($A71="",0,$B71*MIN(1,$C71*$J$10)*IF($I71=1,LGD_LC,MIN(1,LGD+$K$10))*(1-$E71))</f>
        <v/>
      </c>
      <c r="P71" s="44">
        <f>IF($A71="",0,$B71*MIN(1,$C71*$J$12)*IF($I71=1,LGD_LC,MIN(1,LGD+$K$12))*(1-$E71))</f>
        <v/>
      </c>
      <c r="Q71" s="44">
        <f>IF($A71="",0,$B71*(TSOFR3M+$H$6/10000+$F71)*$G71/DayBasis)</f>
        <v/>
      </c>
      <c r="R71" s="44">
        <f>IF($A71="",0,$B71*(TSOFR3M+$H$7/10000+$F71)*$G71/DayBasis)</f>
        <v/>
      </c>
      <c r="S71" s="44">
        <f>IF($A71="",0,$B71*(TSOFR3M+$H$8/10000+$F71)*$G71/DayBasis)</f>
        <v/>
      </c>
      <c r="T71" s="44">
        <f>IF($A71="",0,$B71*(TSOFR3M+$H$9/10000+$F71)*$G71/DayBasis)</f>
        <v/>
      </c>
      <c r="U71" s="44">
        <f>IF($A71="",0,$B71*(TSOFR3M+$H$10/10000+$F71)*$G71/DayBasis)</f>
        <v/>
      </c>
      <c r="V71" s="44">
        <f>IF($A71="",0,$B71*(TSOFR3M+$H$12/10000+$F71)*$G71/DayBasis)</f>
        <v/>
      </c>
      <c r="W71" s="44">
        <f>IF(OR($A71="",$M$6&lt;&gt;"Y",$O$6=""),0,IF($H71&gt;=$O$6,$B71*(TSOFR3M+$H$6/10000+$F71)*$N$6/DayBasis,0))</f>
        <v/>
      </c>
      <c r="X71" s="44">
        <f>IF(OR($A71="",$M$7&lt;&gt;"Y",$O$7=""),0,IF($H71&gt;=$O$7,$B71*(TSOFR3M+$H$7/10000+$F71)*$N$7/DayBasis,0))</f>
        <v/>
      </c>
      <c r="Y71" s="44">
        <f>IF(OR($A71="",$M$8&lt;&gt;"Y",$O$8=""),0,IF($H71&gt;=$O$8,$B71*(TSOFR3M+$H$8/10000+$F71)*$N$8/DayBasis,0))</f>
        <v/>
      </c>
      <c r="Z71" s="44">
        <f>IF(OR($A71="",$M$9&lt;&gt;"Y",$O$9=""),0,IF($H71&gt;=$O$9,$B71*(TSOFR3M+$H$9/10000+$F71)*$N$9/DayBasis,0))</f>
        <v/>
      </c>
      <c r="AA71" s="44">
        <f>IF(OR($A71="",$M$10&lt;&gt;"Y",$O$10=""),0,IF($H71&gt;=$O$10,$B71*(TSOFR3M+$H$10/10000+$F71)*$N$10/DayBasis,0))</f>
        <v/>
      </c>
      <c r="AB71" s="44">
        <f>IF(OR($A71="",$M$12&lt;&gt;"Y",$O$12=""),0,IF($H71&gt;=$O$12,$B71*(TSOFR3M+$H$12/10000+$F71)*$N$12/DayBasis,0))</f>
        <v/>
      </c>
      <c r="AC71" s="50">
        <f>IF($A71="",0,MIN(1,$C71*$C$39))</f>
        <v/>
      </c>
      <c r="AD71" s="44">
        <f>IF($A71="",0,$B71*IF($I71=1,LGD_LC,MIN(1,LGD+$C$40))*(1-$E71))</f>
        <v/>
      </c>
      <c r="AE71" s="44">
        <f>IF(OR($A71="",$B71&lt;=0,$AC71&lt;=0),0,IF($AC71&gt;=1,$AD71,IF(_xlfn.NORM.S.INV(RAND())*SQRT(1-Rho)+$C$41*SQRT(Rho)&lt;_xlfn.NORM.S.INV($AC71),$AD71,0)))</f>
        <v/>
      </c>
      <c r="AG71" t="n">
        <v>65</v>
      </c>
      <c r="AH71" s="35" t="n">
        <v>0</v>
      </c>
    </row>
    <row r="72">
      <c r="A72" s="7">
        <f>IF('02_Buyers'!$A9="","",'02_Buyers'!$A9)</f>
        <v/>
      </c>
      <c r="B72" s="44">
        <f>IF($A72="",0,'02_Buyers'!$Z9)</f>
        <v/>
      </c>
      <c r="C72" s="50">
        <f>IF($A72="",0,'02_Buyers'!$AM9)</f>
        <v/>
      </c>
      <c r="D72" s="50">
        <f>IF($A72="",0,'02_Buyers'!$AN9)</f>
        <v/>
      </c>
      <c r="E72" s="50">
        <f>IF($A72="",0,'02_Buyers'!$AO9)</f>
        <v/>
      </c>
      <c r="F72" s="50">
        <f>IF($A72="",0,'02_Buyers'!$AP9)</f>
        <v/>
      </c>
      <c r="G72" s="45">
        <f>IF($A72="",0,'02_Buyers'!$V9)</f>
        <v/>
      </c>
      <c r="H72" s="45">
        <f>IF(OR($A72="",'02_Buyers'!$AC9=""),0,'02_Buyers'!$AC9)</f>
        <v/>
      </c>
      <c r="I72" s="45">
        <f>IF($A72="",0,IF(OR('02_Buyers'!$U9="LC_SIGHT",'02_Buyers'!$U9="LC_USANCE"),1,0))</f>
        <v/>
      </c>
      <c r="J72" s="7">
        <f>IF($A72="","",'02_Buyers'!$T9)</f>
        <v/>
      </c>
      <c r="K72" s="44">
        <f>IF($A72="",0,$B72*MIN(1,$C72*$J$6)*IF($I72=1,LGD_LC,MIN(1,LGD+$K$6))*(1-$E72))</f>
        <v/>
      </c>
      <c r="L72" s="44">
        <f>IF($A72="",0,$B72*MIN(1,$C72*$J$7)*IF($I72=1,LGD_LC,MIN(1,LGD+$K$7))*(1-$E72))</f>
        <v/>
      </c>
      <c r="M72" s="44">
        <f>IF($A72="",0,$B72*MIN(1,$C72*$J$8)*IF($I72=1,LGD_LC,MIN(1,LGD+$K$8))*(1-$E72))</f>
        <v/>
      </c>
      <c r="N72" s="44">
        <f>IF($A72="",0,$B72*MIN(1,$C72*$J$9)*IF($I72=1,LGD_LC,MIN(1,LGD+$K$9))*(1-$E72))</f>
        <v/>
      </c>
      <c r="O72" s="44">
        <f>IF($A72="",0,$B72*MIN(1,$C72*$J$10)*IF($I72=1,LGD_LC,MIN(1,LGD+$K$10))*(1-$E72))</f>
        <v/>
      </c>
      <c r="P72" s="44">
        <f>IF($A72="",0,$B72*MIN(1,$C72*$J$12)*IF($I72=1,LGD_LC,MIN(1,LGD+$K$12))*(1-$E72))</f>
        <v/>
      </c>
      <c r="Q72" s="44">
        <f>IF($A72="",0,$B72*(TSOFR3M+$H$6/10000+$F72)*$G72/DayBasis)</f>
        <v/>
      </c>
      <c r="R72" s="44">
        <f>IF($A72="",0,$B72*(TSOFR3M+$H$7/10000+$F72)*$G72/DayBasis)</f>
        <v/>
      </c>
      <c r="S72" s="44">
        <f>IF($A72="",0,$B72*(TSOFR3M+$H$8/10000+$F72)*$G72/DayBasis)</f>
        <v/>
      </c>
      <c r="T72" s="44">
        <f>IF($A72="",0,$B72*(TSOFR3M+$H$9/10000+$F72)*$G72/DayBasis)</f>
        <v/>
      </c>
      <c r="U72" s="44">
        <f>IF($A72="",0,$B72*(TSOFR3M+$H$10/10000+$F72)*$G72/DayBasis)</f>
        <v/>
      </c>
      <c r="V72" s="44">
        <f>IF($A72="",0,$B72*(TSOFR3M+$H$12/10000+$F72)*$G72/DayBasis)</f>
        <v/>
      </c>
      <c r="W72" s="44">
        <f>IF(OR($A72="",$M$6&lt;&gt;"Y",$O$6=""),0,IF($H72&gt;=$O$6,$B72*(TSOFR3M+$H$6/10000+$F72)*$N$6/DayBasis,0))</f>
        <v/>
      </c>
      <c r="X72" s="44">
        <f>IF(OR($A72="",$M$7&lt;&gt;"Y",$O$7=""),0,IF($H72&gt;=$O$7,$B72*(TSOFR3M+$H$7/10000+$F72)*$N$7/DayBasis,0))</f>
        <v/>
      </c>
      <c r="Y72" s="44">
        <f>IF(OR($A72="",$M$8&lt;&gt;"Y",$O$8=""),0,IF($H72&gt;=$O$8,$B72*(TSOFR3M+$H$8/10000+$F72)*$N$8/DayBasis,0))</f>
        <v/>
      </c>
      <c r="Z72" s="44">
        <f>IF(OR($A72="",$M$9&lt;&gt;"Y",$O$9=""),0,IF($H72&gt;=$O$9,$B72*(TSOFR3M+$H$9/10000+$F72)*$N$9/DayBasis,0))</f>
        <v/>
      </c>
      <c r="AA72" s="44">
        <f>IF(OR($A72="",$M$10&lt;&gt;"Y",$O$10=""),0,IF($H72&gt;=$O$10,$B72*(TSOFR3M+$H$10/10000+$F72)*$N$10/DayBasis,0))</f>
        <v/>
      </c>
      <c r="AB72" s="44">
        <f>IF(OR($A72="",$M$12&lt;&gt;"Y",$O$12=""),0,IF($H72&gt;=$O$12,$B72*(TSOFR3M+$H$12/10000+$F72)*$N$12/DayBasis,0))</f>
        <v/>
      </c>
      <c r="AC72" s="50">
        <f>IF($A72="",0,MIN(1,$C72*$C$39))</f>
        <v/>
      </c>
      <c r="AD72" s="44">
        <f>IF($A72="",0,$B72*IF($I72=1,LGD_LC,MIN(1,LGD+$C$40))*(1-$E72))</f>
        <v/>
      </c>
      <c r="AE72" s="44">
        <f>IF(OR($A72="",$B72&lt;=0,$AC72&lt;=0),0,IF($AC72&gt;=1,$AD72,IF(_xlfn.NORM.S.INV(RAND())*SQRT(1-Rho)+$C$41*SQRT(Rho)&lt;_xlfn.NORM.S.INV($AC72),$AD72,0)))</f>
        <v/>
      </c>
      <c r="AG72" t="n">
        <v>66</v>
      </c>
      <c r="AH72" s="35" t="n">
        <v>0</v>
      </c>
    </row>
    <row r="73">
      <c r="A73" s="7">
        <f>IF('02_Buyers'!$A10="","",'02_Buyers'!$A10)</f>
        <v/>
      </c>
      <c r="B73" s="44">
        <f>IF($A73="",0,'02_Buyers'!$Z10)</f>
        <v/>
      </c>
      <c r="C73" s="50">
        <f>IF($A73="",0,'02_Buyers'!$AM10)</f>
        <v/>
      </c>
      <c r="D73" s="50">
        <f>IF($A73="",0,'02_Buyers'!$AN10)</f>
        <v/>
      </c>
      <c r="E73" s="50">
        <f>IF($A73="",0,'02_Buyers'!$AO10)</f>
        <v/>
      </c>
      <c r="F73" s="50">
        <f>IF($A73="",0,'02_Buyers'!$AP10)</f>
        <v/>
      </c>
      <c r="G73" s="45">
        <f>IF($A73="",0,'02_Buyers'!$V10)</f>
        <v/>
      </c>
      <c r="H73" s="45">
        <f>IF(OR($A73="",'02_Buyers'!$AC10=""),0,'02_Buyers'!$AC10)</f>
        <v/>
      </c>
      <c r="I73" s="45">
        <f>IF($A73="",0,IF(OR('02_Buyers'!$U10="LC_SIGHT",'02_Buyers'!$U10="LC_USANCE"),1,0))</f>
        <v/>
      </c>
      <c r="J73" s="7">
        <f>IF($A73="","",'02_Buyers'!$T10)</f>
        <v/>
      </c>
      <c r="K73" s="44">
        <f>IF($A73="",0,$B73*MIN(1,$C73*$J$6)*IF($I73=1,LGD_LC,MIN(1,LGD+$K$6))*(1-$E73))</f>
        <v/>
      </c>
      <c r="L73" s="44">
        <f>IF($A73="",0,$B73*MIN(1,$C73*$J$7)*IF($I73=1,LGD_LC,MIN(1,LGD+$K$7))*(1-$E73))</f>
        <v/>
      </c>
      <c r="M73" s="44">
        <f>IF($A73="",0,$B73*MIN(1,$C73*$J$8)*IF($I73=1,LGD_LC,MIN(1,LGD+$K$8))*(1-$E73))</f>
        <v/>
      </c>
      <c r="N73" s="44">
        <f>IF($A73="",0,$B73*MIN(1,$C73*$J$9)*IF($I73=1,LGD_LC,MIN(1,LGD+$K$9))*(1-$E73))</f>
        <v/>
      </c>
      <c r="O73" s="44">
        <f>IF($A73="",0,$B73*MIN(1,$C73*$J$10)*IF($I73=1,LGD_LC,MIN(1,LGD+$K$10))*(1-$E73))</f>
        <v/>
      </c>
      <c r="P73" s="44">
        <f>IF($A73="",0,$B73*MIN(1,$C73*$J$12)*IF($I73=1,LGD_LC,MIN(1,LGD+$K$12))*(1-$E73))</f>
        <v/>
      </c>
      <c r="Q73" s="44">
        <f>IF($A73="",0,$B73*(TSOFR3M+$H$6/10000+$F73)*$G73/DayBasis)</f>
        <v/>
      </c>
      <c r="R73" s="44">
        <f>IF($A73="",0,$B73*(TSOFR3M+$H$7/10000+$F73)*$G73/DayBasis)</f>
        <v/>
      </c>
      <c r="S73" s="44">
        <f>IF($A73="",0,$B73*(TSOFR3M+$H$8/10000+$F73)*$G73/DayBasis)</f>
        <v/>
      </c>
      <c r="T73" s="44">
        <f>IF($A73="",0,$B73*(TSOFR3M+$H$9/10000+$F73)*$G73/DayBasis)</f>
        <v/>
      </c>
      <c r="U73" s="44">
        <f>IF($A73="",0,$B73*(TSOFR3M+$H$10/10000+$F73)*$G73/DayBasis)</f>
        <v/>
      </c>
      <c r="V73" s="44">
        <f>IF($A73="",0,$B73*(TSOFR3M+$H$12/10000+$F73)*$G73/DayBasis)</f>
        <v/>
      </c>
      <c r="W73" s="44">
        <f>IF(OR($A73="",$M$6&lt;&gt;"Y",$O$6=""),0,IF($H73&gt;=$O$6,$B73*(TSOFR3M+$H$6/10000+$F73)*$N$6/DayBasis,0))</f>
        <v/>
      </c>
      <c r="X73" s="44">
        <f>IF(OR($A73="",$M$7&lt;&gt;"Y",$O$7=""),0,IF($H73&gt;=$O$7,$B73*(TSOFR3M+$H$7/10000+$F73)*$N$7/DayBasis,0))</f>
        <v/>
      </c>
      <c r="Y73" s="44">
        <f>IF(OR($A73="",$M$8&lt;&gt;"Y",$O$8=""),0,IF($H73&gt;=$O$8,$B73*(TSOFR3M+$H$8/10000+$F73)*$N$8/DayBasis,0))</f>
        <v/>
      </c>
      <c r="Z73" s="44">
        <f>IF(OR($A73="",$M$9&lt;&gt;"Y",$O$9=""),0,IF($H73&gt;=$O$9,$B73*(TSOFR3M+$H$9/10000+$F73)*$N$9/DayBasis,0))</f>
        <v/>
      </c>
      <c r="AA73" s="44">
        <f>IF(OR($A73="",$M$10&lt;&gt;"Y",$O$10=""),0,IF($H73&gt;=$O$10,$B73*(TSOFR3M+$H$10/10000+$F73)*$N$10/DayBasis,0))</f>
        <v/>
      </c>
      <c r="AB73" s="44">
        <f>IF(OR($A73="",$M$12&lt;&gt;"Y",$O$12=""),0,IF($H73&gt;=$O$12,$B73*(TSOFR3M+$H$12/10000+$F73)*$N$12/DayBasis,0))</f>
        <v/>
      </c>
      <c r="AC73" s="50">
        <f>IF($A73="",0,MIN(1,$C73*$C$39))</f>
        <v/>
      </c>
      <c r="AD73" s="44">
        <f>IF($A73="",0,$B73*IF($I73=1,LGD_LC,MIN(1,LGD+$C$40))*(1-$E73))</f>
        <v/>
      </c>
      <c r="AE73" s="44">
        <f>IF(OR($A73="",$B73&lt;=0,$AC73&lt;=0),0,IF($AC73&gt;=1,$AD73,IF(_xlfn.NORM.S.INV(RAND())*SQRT(1-Rho)+$C$41*SQRT(Rho)&lt;_xlfn.NORM.S.INV($AC73),$AD73,0)))</f>
        <v/>
      </c>
      <c r="AG73" t="n">
        <v>67</v>
      </c>
      <c r="AH73" s="35" t="n">
        <v>0</v>
      </c>
    </row>
    <row r="74">
      <c r="A74" s="7">
        <f>IF('02_Buyers'!$A11="","",'02_Buyers'!$A11)</f>
        <v/>
      </c>
      <c r="B74" s="44">
        <f>IF($A74="",0,'02_Buyers'!$Z11)</f>
        <v/>
      </c>
      <c r="C74" s="50">
        <f>IF($A74="",0,'02_Buyers'!$AM11)</f>
        <v/>
      </c>
      <c r="D74" s="50">
        <f>IF($A74="",0,'02_Buyers'!$AN11)</f>
        <v/>
      </c>
      <c r="E74" s="50">
        <f>IF($A74="",0,'02_Buyers'!$AO11)</f>
        <v/>
      </c>
      <c r="F74" s="50">
        <f>IF($A74="",0,'02_Buyers'!$AP11)</f>
        <v/>
      </c>
      <c r="G74" s="45">
        <f>IF($A74="",0,'02_Buyers'!$V11)</f>
        <v/>
      </c>
      <c r="H74" s="45">
        <f>IF(OR($A74="",'02_Buyers'!$AC11=""),0,'02_Buyers'!$AC11)</f>
        <v/>
      </c>
      <c r="I74" s="45">
        <f>IF($A74="",0,IF(OR('02_Buyers'!$U11="LC_SIGHT",'02_Buyers'!$U11="LC_USANCE"),1,0))</f>
        <v/>
      </c>
      <c r="J74" s="7">
        <f>IF($A74="","",'02_Buyers'!$T11)</f>
        <v/>
      </c>
      <c r="K74" s="44">
        <f>IF($A74="",0,$B74*MIN(1,$C74*$J$6)*IF($I74=1,LGD_LC,MIN(1,LGD+$K$6))*(1-$E74))</f>
        <v/>
      </c>
      <c r="L74" s="44">
        <f>IF($A74="",0,$B74*MIN(1,$C74*$J$7)*IF($I74=1,LGD_LC,MIN(1,LGD+$K$7))*(1-$E74))</f>
        <v/>
      </c>
      <c r="M74" s="44">
        <f>IF($A74="",0,$B74*MIN(1,$C74*$J$8)*IF($I74=1,LGD_LC,MIN(1,LGD+$K$8))*(1-$E74))</f>
        <v/>
      </c>
      <c r="N74" s="44">
        <f>IF($A74="",0,$B74*MIN(1,$C74*$J$9)*IF($I74=1,LGD_LC,MIN(1,LGD+$K$9))*(1-$E74))</f>
        <v/>
      </c>
      <c r="O74" s="44">
        <f>IF($A74="",0,$B74*MIN(1,$C74*$J$10)*IF($I74=1,LGD_LC,MIN(1,LGD+$K$10))*(1-$E74))</f>
        <v/>
      </c>
      <c r="P74" s="44">
        <f>IF($A74="",0,$B74*MIN(1,$C74*$J$12)*IF($I74=1,LGD_LC,MIN(1,LGD+$K$12))*(1-$E74))</f>
        <v/>
      </c>
      <c r="Q74" s="44">
        <f>IF($A74="",0,$B74*(TSOFR3M+$H$6/10000+$F74)*$G74/DayBasis)</f>
        <v/>
      </c>
      <c r="R74" s="44">
        <f>IF($A74="",0,$B74*(TSOFR3M+$H$7/10000+$F74)*$G74/DayBasis)</f>
        <v/>
      </c>
      <c r="S74" s="44">
        <f>IF($A74="",0,$B74*(TSOFR3M+$H$8/10000+$F74)*$G74/DayBasis)</f>
        <v/>
      </c>
      <c r="T74" s="44">
        <f>IF($A74="",0,$B74*(TSOFR3M+$H$9/10000+$F74)*$G74/DayBasis)</f>
        <v/>
      </c>
      <c r="U74" s="44">
        <f>IF($A74="",0,$B74*(TSOFR3M+$H$10/10000+$F74)*$G74/DayBasis)</f>
        <v/>
      </c>
      <c r="V74" s="44">
        <f>IF($A74="",0,$B74*(TSOFR3M+$H$12/10000+$F74)*$G74/DayBasis)</f>
        <v/>
      </c>
      <c r="W74" s="44">
        <f>IF(OR($A74="",$M$6&lt;&gt;"Y",$O$6=""),0,IF($H74&gt;=$O$6,$B74*(TSOFR3M+$H$6/10000+$F74)*$N$6/DayBasis,0))</f>
        <v/>
      </c>
      <c r="X74" s="44">
        <f>IF(OR($A74="",$M$7&lt;&gt;"Y",$O$7=""),0,IF($H74&gt;=$O$7,$B74*(TSOFR3M+$H$7/10000+$F74)*$N$7/DayBasis,0))</f>
        <v/>
      </c>
      <c r="Y74" s="44">
        <f>IF(OR($A74="",$M$8&lt;&gt;"Y",$O$8=""),0,IF($H74&gt;=$O$8,$B74*(TSOFR3M+$H$8/10000+$F74)*$N$8/DayBasis,0))</f>
        <v/>
      </c>
      <c r="Z74" s="44">
        <f>IF(OR($A74="",$M$9&lt;&gt;"Y",$O$9=""),0,IF($H74&gt;=$O$9,$B74*(TSOFR3M+$H$9/10000+$F74)*$N$9/DayBasis,0))</f>
        <v/>
      </c>
      <c r="AA74" s="44">
        <f>IF(OR($A74="",$M$10&lt;&gt;"Y",$O$10=""),0,IF($H74&gt;=$O$10,$B74*(TSOFR3M+$H$10/10000+$F74)*$N$10/DayBasis,0))</f>
        <v/>
      </c>
      <c r="AB74" s="44">
        <f>IF(OR($A74="",$M$12&lt;&gt;"Y",$O$12=""),0,IF($H74&gt;=$O$12,$B74*(TSOFR3M+$H$12/10000+$F74)*$N$12/DayBasis,0))</f>
        <v/>
      </c>
      <c r="AC74" s="50">
        <f>IF($A74="",0,MIN(1,$C74*$C$39))</f>
        <v/>
      </c>
      <c r="AD74" s="44">
        <f>IF($A74="",0,$B74*IF($I74=1,LGD_LC,MIN(1,LGD+$C$40))*(1-$E74))</f>
        <v/>
      </c>
      <c r="AE74" s="44">
        <f>IF(OR($A74="",$B74&lt;=0,$AC74&lt;=0),0,IF($AC74&gt;=1,$AD74,IF(_xlfn.NORM.S.INV(RAND())*SQRT(1-Rho)+$C$41*SQRT(Rho)&lt;_xlfn.NORM.S.INV($AC74),$AD74,0)))</f>
        <v/>
      </c>
      <c r="AG74" t="n">
        <v>68</v>
      </c>
      <c r="AH74" s="35" t="n">
        <v>0</v>
      </c>
    </row>
    <row r="75">
      <c r="A75" s="7">
        <f>IF('02_Buyers'!$A12="","",'02_Buyers'!$A12)</f>
        <v/>
      </c>
      <c r="B75" s="44">
        <f>IF($A75="",0,'02_Buyers'!$Z12)</f>
        <v/>
      </c>
      <c r="C75" s="50">
        <f>IF($A75="",0,'02_Buyers'!$AM12)</f>
        <v/>
      </c>
      <c r="D75" s="50">
        <f>IF($A75="",0,'02_Buyers'!$AN12)</f>
        <v/>
      </c>
      <c r="E75" s="50">
        <f>IF($A75="",0,'02_Buyers'!$AO12)</f>
        <v/>
      </c>
      <c r="F75" s="50">
        <f>IF($A75="",0,'02_Buyers'!$AP12)</f>
        <v/>
      </c>
      <c r="G75" s="45">
        <f>IF($A75="",0,'02_Buyers'!$V12)</f>
        <v/>
      </c>
      <c r="H75" s="45">
        <f>IF(OR($A75="",'02_Buyers'!$AC12=""),0,'02_Buyers'!$AC12)</f>
        <v/>
      </c>
      <c r="I75" s="45">
        <f>IF($A75="",0,IF(OR('02_Buyers'!$U12="LC_SIGHT",'02_Buyers'!$U12="LC_USANCE"),1,0))</f>
        <v/>
      </c>
      <c r="J75" s="7">
        <f>IF($A75="","",'02_Buyers'!$T12)</f>
        <v/>
      </c>
      <c r="K75" s="44">
        <f>IF($A75="",0,$B75*MIN(1,$C75*$J$6)*IF($I75=1,LGD_LC,MIN(1,LGD+$K$6))*(1-$E75))</f>
        <v/>
      </c>
      <c r="L75" s="44">
        <f>IF($A75="",0,$B75*MIN(1,$C75*$J$7)*IF($I75=1,LGD_LC,MIN(1,LGD+$K$7))*(1-$E75))</f>
        <v/>
      </c>
      <c r="M75" s="44">
        <f>IF($A75="",0,$B75*MIN(1,$C75*$J$8)*IF($I75=1,LGD_LC,MIN(1,LGD+$K$8))*(1-$E75))</f>
        <v/>
      </c>
      <c r="N75" s="44">
        <f>IF($A75="",0,$B75*MIN(1,$C75*$J$9)*IF($I75=1,LGD_LC,MIN(1,LGD+$K$9))*(1-$E75))</f>
        <v/>
      </c>
      <c r="O75" s="44">
        <f>IF($A75="",0,$B75*MIN(1,$C75*$J$10)*IF($I75=1,LGD_LC,MIN(1,LGD+$K$10))*(1-$E75))</f>
        <v/>
      </c>
      <c r="P75" s="44">
        <f>IF($A75="",0,$B75*MIN(1,$C75*$J$12)*IF($I75=1,LGD_LC,MIN(1,LGD+$K$12))*(1-$E75))</f>
        <v/>
      </c>
      <c r="Q75" s="44">
        <f>IF($A75="",0,$B75*(TSOFR3M+$H$6/10000+$F75)*$G75/DayBasis)</f>
        <v/>
      </c>
      <c r="R75" s="44">
        <f>IF($A75="",0,$B75*(TSOFR3M+$H$7/10000+$F75)*$G75/DayBasis)</f>
        <v/>
      </c>
      <c r="S75" s="44">
        <f>IF($A75="",0,$B75*(TSOFR3M+$H$8/10000+$F75)*$G75/DayBasis)</f>
        <v/>
      </c>
      <c r="T75" s="44">
        <f>IF($A75="",0,$B75*(TSOFR3M+$H$9/10000+$F75)*$G75/DayBasis)</f>
        <v/>
      </c>
      <c r="U75" s="44">
        <f>IF($A75="",0,$B75*(TSOFR3M+$H$10/10000+$F75)*$G75/DayBasis)</f>
        <v/>
      </c>
      <c r="V75" s="44">
        <f>IF($A75="",0,$B75*(TSOFR3M+$H$12/10000+$F75)*$G75/DayBasis)</f>
        <v/>
      </c>
      <c r="W75" s="44">
        <f>IF(OR($A75="",$M$6&lt;&gt;"Y",$O$6=""),0,IF($H75&gt;=$O$6,$B75*(TSOFR3M+$H$6/10000+$F75)*$N$6/DayBasis,0))</f>
        <v/>
      </c>
      <c r="X75" s="44">
        <f>IF(OR($A75="",$M$7&lt;&gt;"Y",$O$7=""),0,IF($H75&gt;=$O$7,$B75*(TSOFR3M+$H$7/10000+$F75)*$N$7/DayBasis,0))</f>
        <v/>
      </c>
      <c r="Y75" s="44">
        <f>IF(OR($A75="",$M$8&lt;&gt;"Y",$O$8=""),0,IF($H75&gt;=$O$8,$B75*(TSOFR3M+$H$8/10000+$F75)*$N$8/DayBasis,0))</f>
        <v/>
      </c>
      <c r="Z75" s="44">
        <f>IF(OR($A75="",$M$9&lt;&gt;"Y",$O$9=""),0,IF($H75&gt;=$O$9,$B75*(TSOFR3M+$H$9/10000+$F75)*$N$9/DayBasis,0))</f>
        <v/>
      </c>
      <c r="AA75" s="44">
        <f>IF(OR($A75="",$M$10&lt;&gt;"Y",$O$10=""),0,IF($H75&gt;=$O$10,$B75*(TSOFR3M+$H$10/10000+$F75)*$N$10/DayBasis,0))</f>
        <v/>
      </c>
      <c r="AB75" s="44">
        <f>IF(OR($A75="",$M$12&lt;&gt;"Y",$O$12=""),0,IF($H75&gt;=$O$12,$B75*(TSOFR3M+$H$12/10000+$F75)*$N$12/DayBasis,0))</f>
        <v/>
      </c>
      <c r="AC75" s="50">
        <f>IF($A75="",0,MIN(1,$C75*$C$39))</f>
        <v/>
      </c>
      <c r="AD75" s="44">
        <f>IF($A75="",0,$B75*IF($I75=1,LGD_LC,MIN(1,LGD+$C$40))*(1-$E75))</f>
        <v/>
      </c>
      <c r="AE75" s="44">
        <f>IF(OR($A75="",$B75&lt;=0,$AC75&lt;=0),0,IF($AC75&gt;=1,$AD75,IF(_xlfn.NORM.S.INV(RAND())*SQRT(1-Rho)+$C$41*SQRT(Rho)&lt;_xlfn.NORM.S.INV($AC75),$AD75,0)))</f>
        <v/>
      </c>
      <c r="AG75" t="n">
        <v>69</v>
      </c>
      <c r="AH75" s="35" t="n">
        <v>0</v>
      </c>
    </row>
    <row r="76">
      <c r="A76" s="7">
        <f>IF('02_Buyers'!$A13="","",'02_Buyers'!$A13)</f>
        <v/>
      </c>
      <c r="B76" s="44">
        <f>IF($A76="",0,'02_Buyers'!$Z13)</f>
        <v/>
      </c>
      <c r="C76" s="50">
        <f>IF($A76="",0,'02_Buyers'!$AM13)</f>
        <v/>
      </c>
      <c r="D76" s="50">
        <f>IF($A76="",0,'02_Buyers'!$AN13)</f>
        <v/>
      </c>
      <c r="E76" s="50">
        <f>IF($A76="",0,'02_Buyers'!$AO13)</f>
        <v/>
      </c>
      <c r="F76" s="50">
        <f>IF($A76="",0,'02_Buyers'!$AP13)</f>
        <v/>
      </c>
      <c r="G76" s="45">
        <f>IF($A76="",0,'02_Buyers'!$V13)</f>
        <v/>
      </c>
      <c r="H76" s="45">
        <f>IF(OR($A76="",'02_Buyers'!$AC13=""),0,'02_Buyers'!$AC13)</f>
        <v/>
      </c>
      <c r="I76" s="45">
        <f>IF($A76="",0,IF(OR('02_Buyers'!$U13="LC_SIGHT",'02_Buyers'!$U13="LC_USANCE"),1,0))</f>
        <v/>
      </c>
      <c r="J76" s="7">
        <f>IF($A76="","",'02_Buyers'!$T13)</f>
        <v/>
      </c>
      <c r="K76" s="44">
        <f>IF($A76="",0,$B76*MIN(1,$C76*$J$6)*IF($I76=1,LGD_LC,MIN(1,LGD+$K$6))*(1-$E76))</f>
        <v/>
      </c>
      <c r="L76" s="44">
        <f>IF($A76="",0,$B76*MIN(1,$C76*$J$7)*IF($I76=1,LGD_LC,MIN(1,LGD+$K$7))*(1-$E76))</f>
        <v/>
      </c>
      <c r="M76" s="44">
        <f>IF($A76="",0,$B76*MIN(1,$C76*$J$8)*IF($I76=1,LGD_LC,MIN(1,LGD+$K$8))*(1-$E76))</f>
        <v/>
      </c>
      <c r="N76" s="44">
        <f>IF($A76="",0,$B76*MIN(1,$C76*$J$9)*IF($I76=1,LGD_LC,MIN(1,LGD+$K$9))*(1-$E76))</f>
        <v/>
      </c>
      <c r="O76" s="44">
        <f>IF($A76="",0,$B76*MIN(1,$C76*$J$10)*IF($I76=1,LGD_LC,MIN(1,LGD+$K$10))*(1-$E76))</f>
        <v/>
      </c>
      <c r="P76" s="44">
        <f>IF($A76="",0,$B76*MIN(1,$C76*$J$12)*IF($I76=1,LGD_LC,MIN(1,LGD+$K$12))*(1-$E76))</f>
        <v/>
      </c>
      <c r="Q76" s="44">
        <f>IF($A76="",0,$B76*(TSOFR3M+$H$6/10000+$F76)*$G76/DayBasis)</f>
        <v/>
      </c>
      <c r="R76" s="44">
        <f>IF($A76="",0,$B76*(TSOFR3M+$H$7/10000+$F76)*$G76/DayBasis)</f>
        <v/>
      </c>
      <c r="S76" s="44">
        <f>IF($A76="",0,$B76*(TSOFR3M+$H$8/10000+$F76)*$G76/DayBasis)</f>
        <v/>
      </c>
      <c r="T76" s="44">
        <f>IF($A76="",0,$B76*(TSOFR3M+$H$9/10000+$F76)*$G76/DayBasis)</f>
        <v/>
      </c>
      <c r="U76" s="44">
        <f>IF($A76="",0,$B76*(TSOFR3M+$H$10/10000+$F76)*$G76/DayBasis)</f>
        <v/>
      </c>
      <c r="V76" s="44">
        <f>IF($A76="",0,$B76*(TSOFR3M+$H$12/10000+$F76)*$G76/DayBasis)</f>
        <v/>
      </c>
      <c r="W76" s="44">
        <f>IF(OR($A76="",$M$6&lt;&gt;"Y",$O$6=""),0,IF($H76&gt;=$O$6,$B76*(TSOFR3M+$H$6/10000+$F76)*$N$6/DayBasis,0))</f>
        <v/>
      </c>
      <c r="X76" s="44">
        <f>IF(OR($A76="",$M$7&lt;&gt;"Y",$O$7=""),0,IF($H76&gt;=$O$7,$B76*(TSOFR3M+$H$7/10000+$F76)*$N$7/DayBasis,0))</f>
        <v/>
      </c>
      <c r="Y76" s="44">
        <f>IF(OR($A76="",$M$8&lt;&gt;"Y",$O$8=""),0,IF($H76&gt;=$O$8,$B76*(TSOFR3M+$H$8/10000+$F76)*$N$8/DayBasis,0))</f>
        <v/>
      </c>
      <c r="Z76" s="44">
        <f>IF(OR($A76="",$M$9&lt;&gt;"Y",$O$9=""),0,IF($H76&gt;=$O$9,$B76*(TSOFR3M+$H$9/10000+$F76)*$N$9/DayBasis,0))</f>
        <v/>
      </c>
      <c r="AA76" s="44">
        <f>IF(OR($A76="",$M$10&lt;&gt;"Y",$O$10=""),0,IF($H76&gt;=$O$10,$B76*(TSOFR3M+$H$10/10000+$F76)*$N$10/DayBasis,0))</f>
        <v/>
      </c>
      <c r="AB76" s="44">
        <f>IF(OR($A76="",$M$12&lt;&gt;"Y",$O$12=""),0,IF($H76&gt;=$O$12,$B76*(TSOFR3M+$H$12/10000+$F76)*$N$12/DayBasis,0))</f>
        <v/>
      </c>
      <c r="AC76" s="50">
        <f>IF($A76="",0,MIN(1,$C76*$C$39))</f>
        <v/>
      </c>
      <c r="AD76" s="44">
        <f>IF($A76="",0,$B76*IF($I76=1,LGD_LC,MIN(1,LGD+$C$40))*(1-$E76))</f>
        <v/>
      </c>
      <c r="AE76" s="44">
        <f>IF(OR($A76="",$B76&lt;=0,$AC76&lt;=0),0,IF($AC76&gt;=1,$AD76,IF(_xlfn.NORM.S.INV(RAND())*SQRT(1-Rho)+$C$41*SQRT(Rho)&lt;_xlfn.NORM.S.INV($AC76),$AD76,0)))</f>
        <v/>
      </c>
      <c r="AG76" t="n">
        <v>70</v>
      </c>
      <c r="AH76" s="35" t="n">
        <v>0</v>
      </c>
    </row>
    <row r="77">
      <c r="A77" s="7">
        <f>IF('02_Buyers'!$A14="","",'02_Buyers'!$A14)</f>
        <v/>
      </c>
      <c r="B77" s="44">
        <f>IF($A77="",0,'02_Buyers'!$Z14)</f>
        <v/>
      </c>
      <c r="C77" s="50">
        <f>IF($A77="",0,'02_Buyers'!$AM14)</f>
        <v/>
      </c>
      <c r="D77" s="50">
        <f>IF($A77="",0,'02_Buyers'!$AN14)</f>
        <v/>
      </c>
      <c r="E77" s="50">
        <f>IF($A77="",0,'02_Buyers'!$AO14)</f>
        <v/>
      </c>
      <c r="F77" s="50">
        <f>IF($A77="",0,'02_Buyers'!$AP14)</f>
        <v/>
      </c>
      <c r="G77" s="45">
        <f>IF($A77="",0,'02_Buyers'!$V14)</f>
        <v/>
      </c>
      <c r="H77" s="45">
        <f>IF(OR($A77="",'02_Buyers'!$AC14=""),0,'02_Buyers'!$AC14)</f>
        <v/>
      </c>
      <c r="I77" s="45">
        <f>IF($A77="",0,IF(OR('02_Buyers'!$U14="LC_SIGHT",'02_Buyers'!$U14="LC_USANCE"),1,0))</f>
        <v/>
      </c>
      <c r="J77" s="7">
        <f>IF($A77="","",'02_Buyers'!$T14)</f>
        <v/>
      </c>
      <c r="K77" s="44">
        <f>IF($A77="",0,$B77*MIN(1,$C77*$J$6)*IF($I77=1,LGD_LC,MIN(1,LGD+$K$6))*(1-$E77))</f>
        <v/>
      </c>
      <c r="L77" s="44">
        <f>IF($A77="",0,$B77*MIN(1,$C77*$J$7)*IF($I77=1,LGD_LC,MIN(1,LGD+$K$7))*(1-$E77))</f>
        <v/>
      </c>
      <c r="M77" s="44">
        <f>IF($A77="",0,$B77*MIN(1,$C77*$J$8)*IF($I77=1,LGD_LC,MIN(1,LGD+$K$8))*(1-$E77))</f>
        <v/>
      </c>
      <c r="N77" s="44">
        <f>IF($A77="",0,$B77*MIN(1,$C77*$J$9)*IF($I77=1,LGD_LC,MIN(1,LGD+$K$9))*(1-$E77))</f>
        <v/>
      </c>
      <c r="O77" s="44">
        <f>IF($A77="",0,$B77*MIN(1,$C77*$J$10)*IF($I77=1,LGD_LC,MIN(1,LGD+$K$10))*(1-$E77))</f>
        <v/>
      </c>
      <c r="P77" s="44">
        <f>IF($A77="",0,$B77*MIN(1,$C77*$J$12)*IF($I77=1,LGD_LC,MIN(1,LGD+$K$12))*(1-$E77))</f>
        <v/>
      </c>
      <c r="Q77" s="44">
        <f>IF($A77="",0,$B77*(TSOFR3M+$H$6/10000+$F77)*$G77/DayBasis)</f>
        <v/>
      </c>
      <c r="R77" s="44">
        <f>IF($A77="",0,$B77*(TSOFR3M+$H$7/10000+$F77)*$G77/DayBasis)</f>
        <v/>
      </c>
      <c r="S77" s="44">
        <f>IF($A77="",0,$B77*(TSOFR3M+$H$8/10000+$F77)*$G77/DayBasis)</f>
        <v/>
      </c>
      <c r="T77" s="44">
        <f>IF($A77="",0,$B77*(TSOFR3M+$H$9/10000+$F77)*$G77/DayBasis)</f>
        <v/>
      </c>
      <c r="U77" s="44">
        <f>IF($A77="",0,$B77*(TSOFR3M+$H$10/10000+$F77)*$G77/DayBasis)</f>
        <v/>
      </c>
      <c r="V77" s="44">
        <f>IF($A77="",0,$B77*(TSOFR3M+$H$12/10000+$F77)*$G77/DayBasis)</f>
        <v/>
      </c>
      <c r="W77" s="44">
        <f>IF(OR($A77="",$M$6&lt;&gt;"Y",$O$6=""),0,IF($H77&gt;=$O$6,$B77*(TSOFR3M+$H$6/10000+$F77)*$N$6/DayBasis,0))</f>
        <v/>
      </c>
      <c r="X77" s="44">
        <f>IF(OR($A77="",$M$7&lt;&gt;"Y",$O$7=""),0,IF($H77&gt;=$O$7,$B77*(TSOFR3M+$H$7/10000+$F77)*$N$7/DayBasis,0))</f>
        <v/>
      </c>
      <c r="Y77" s="44">
        <f>IF(OR($A77="",$M$8&lt;&gt;"Y",$O$8=""),0,IF($H77&gt;=$O$8,$B77*(TSOFR3M+$H$8/10000+$F77)*$N$8/DayBasis,0))</f>
        <v/>
      </c>
      <c r="Z77" s="44">
        <f>IF(OR($A77="",$M$9&lt;&gt;"Y",$O$9=""),0,IF($H77&gt;=$O$9,$B77*(TSOFR3M+$H$9/10000+$F77)*$N$9/DayBasis,0))</f>
        <v/>
      </c>
      <c r="AA77" s="44">
        <f>IF(OR($A77="",$M$10&lt;&gt;"Y",$O$10=""),0,IF($H77&gt;=$O$10,$B77*(TSOFR3M+$H$10/10000+$F77)*$N$10/DayBasis,0))</f>
        <v/>
      </c>
      <c r="AB77" s="44">
        <f>IF(OR($A77="",$M$12&lt;&gt;"Y",$O$12=""),0,IF($H77&gt;=$O$12,$B77*(TSOFR3M+$H$12/10000+$F77)*$N$12/DayBasis,0))</f>
        <v/>
      </c>
      <c r="AC77" s="50">
        <f>IF($A77="",0,MIN(1,$C77*$C$39))</f>
        <v/>
      </c>
      <c r="AD77" s="44">
        <f>IF($A77="",0,$B77*IF($I77=1,LGD_LC,MIN(1,LGD+$C$40))*(1-$E77))</f>
        <v/>
      </c>
      <c r="AE77" s="44">
        <f>IF(OR($A77="",$B77&lt;=0,$AC77&lt;=0),0,IF($AC77&gt;=1,$AD77,IF(_xlfn.NORM.S.INV(RAND())*SQRT(1-Rho)+$C$41*SQRT(Rho)&lt;_xlfn.NORM.S.INV($AC77),$AD77,0)))</f>
        <v/>
      </c>
      <c r="AG77" t="n">
        <v>71</v>
      </c>
      <c r="AH77" s="35" t="n">
        <v>0</v>
      </c>
    </row>
    <row r="78">
      <c r="A78" s="7">
        <f>IF('02_Buyers'!$A15="","",'02_Buyers'!$A15)</f>
        <v/>
      </c>
      <c r="B78" s="44">
        <f>IF($A78="",0,'02_Buyers'!$Z15)</f>
        <v/>
      </c>
      <c r="C78" s="50">
        <f>IF($A78="",0,'02_Buyers'!$AM15)</f>
        <v/>
      </c>
      <c r="D78" s="50">
        <f>IF($A78="",0,'02_Buyers'!$AN15)</f>
        <v/>
      </c>
      <c r="E78" s="50">
        <f>IF($A78="",0,'02_Buyers'!$AO15)</f>
        <v/>
      </c>
      <c r="F78" s="50">
        <f>IF($A78="",0,'02_Buyers'!$AP15)</f>
        <v/>
      </c>
      <c r="G78" s="45">
        <f>IF($A78="",0,'02_Buyers'!$V15)</f>
        <v/>
      </c>
      <c r="H78" s="45">
        <f>IF(OR($A78="",'02_Buyers'!$AC15=""),0,'02_Buyers'!$AC15)</f>
        <v/>
      </c>
      <c r="I78" s="45">
        <f>IF($A78="",0,IF(OR('02_Buyers'!$U15="LC_SIGHT",'02_Buyers'!$U15="LC_USANCE"),1,0))</f>
        <v/>
      </c>
      <c r="J78" s="7">
        <f>IF($A78="","",'02_Buyers'!$T15)</f>
        <v/>
      </c>
      <c r="K78" s="44">
        <f>IF($A78="",0,$B78*MIN(1,$C78*$J$6)*IF($I78=1,LGD_LC,MIN(1,LGD+$K$6))*(1-$E78))</f>
        <v/>
      </c>
      <c r="L78" s="44">
        <f>IF($A78="",0,$B78*MIN(1,$C78*$J$7)*IF($I78=1,LGD_LC,MIN(1,LGD+$K$7))*(1-$E78))</f>
        <v/>
      </c>
      <c r="M78" s="44">
        <f>IF($A78="",0,$B78*MIN(1,$C78*$J$8)*IF($I78=1,LGD_LC,MIN(1,LGD+$K$8))*(1-$E78))</f>
        <v/>
      </c>
      <c r="N78" s="44">
        <f>IF($A78="",0,$B78*MIN(1,$C78*$J$9)*IF($I78=1,LGD_LC,MIN(1,LGD+$K$9))*(1-$E78))</f>
        <v/>
      </c>
      <c r="O78" s="44">
        <f>IF($A78="",0,$B78*MIN(1,$C78*$J$10)*IF($I78=1,LGD_LC,MIN(1,LGD+$K$10))*(1-$E78))</f>
        <v/>
      </c>
      <c r="P78" s="44">
        <f>IF($A78="",0,$B78*MIN(1,$C78*$J$12)*IF($I78=1,LGD_LC,MIN(1,LGD+$K$12))*(1-$E78))</f>
        <v/>
      </c>
      <c r="Q78" s="44">
        <f>IF($A78="",0,$B78*(TSOFR3M+$H$6/10000+$F78)*$G78/DayBasis)</f>
        <v/>
      </c>
      <c r="R78" s="44">
        <f>IF($A78="",0,$B78*(TSOFR3M+$H$7/10000+$F78)*$G78/DayBasis)</f>
        <v/>
      </c>
      <c r="S78" s="44">
        <f>IF($A78="",0,$B78*(TSOFR3M+$H$8/10000+$F78)*$G78/DayBasis)</f>
        <v/>
      </c>
      <c r="T78" s="44">
        <f>IF($A78="",0,$B78*(TSOFR3M+$H$9/10000+$F78)*$G78/DayBasis)</f>
        <v/>
      </c>
      <c r="U78" s="44">
        <f>IF($A78="",0,$B78*(TSOFR3M+$H$10/10000+$F78)*$G78/DayBasis)</f>
        <v/>
      </c>
      <c r="V78" s="44">
        <f>IF($A78="",0,$B78*(TSOFR3M+$H$12/10000+$F78)*$G78/DayBasis)</f>
        <v/>
      </c>
      <c r="W78" s="44">
        <f>IF(OR($A78="",$M$6&lt;&gt;"Y",$O$6=""),0,IF($H78&gt;=$O$6,$B78*(TSOFR3M+$H$6/10000+$F78)*$N$6/DayBasis,0))</f>
        <v/>
      </c>
      <c r="X78" s="44">
        <f>IF(OR($A78="",$M$7&lt;&gt;"Y",$O$7=""),0,IF($H78&gt;=$O$7,$B78*(TSOFR3M+$H$7/10000+$F78)*$N$7/DayBasis,0))</f>
        <v/>
      </c>
      <c r="Y78" s="44">
        <f>IF(OR($A78="",$M$8&lt;&gt;"Y",$O$8=""),0,IF($H78&gt;=$O$8,$B78*(TSOFR3M+$H$8/10000+$F78)*$N$8/DayBasis,0))</f>
        <v/>
      </c>
      <c r="Z78" s="44">
        <f>IF(OR($A78="",$M$9&lt;&gt;"Y",$O$9=""),0,IF($H78&gt;=$O$9,$B78*(TSOFR3M+$H$9/10000+$F78)*$N$9/DayBasis,0))</f>
        <v/>
      </c>
      <c r="AA78" s="44">
        <f>IF(OR($A78="",$M$10&lt;&gt;"Y",$O$10=""),0,IF($H78&gt;=$O$10,$B78*(TSOFR3M+$H$10/10000+$F78)*$N$10/DayBasis,0))</f>
        <v/>
      </c>
      <c r="AB78" s="44">
        <f>IF(OR($A78="",$M$12&lt;&gt;"Y",$O$12=""),0,IF($H78&gt;=$O$12,$B78*(TSOFR3M+$H$12/10000+$F78)*$N$12/DayBasis,0))</f>
        <v/>
      </c>
      <c r="AC78" s="50">
        <f>IF($A78="",0,MIN(1,$C78*$C$39))</f>
        <v/>
      </c>
      <c r="AD78" s="44">
        <f>IF($A78="",0,$B78*IF($I78=1,LGD_LC,MIN(1,LGD+$C$40))*(1-$E78))</f>
        <v/>
      </c>
      <c r="AE78" s="44">
        <f>IF(OR($A78="",$B78&lt;=0,$AC78&lt;=0),0,IF($AC78&gt;=1,$AD78,IF(_xlfn.NORM.S.INV(RAND())*SQRT(1-Rho)+$C$41*SQRT(Rho)&lt;_xlfn.NORM.S.INV($AC78),$AD78,0)))</f>
        <v/>
      </c>
      <c r="AG78" t="n">
        <v>72</v>
      </c>
      <c r="AH78" s="35" t="n">
        <v>0</v>
      </c>
    </row>
    <row r="79">
      <c r="A79" s="7">
        <f>IF('02_Buyers'!$A16="","",'02_Buyers'!$A16)</f>
        <v/>
      </c>
      <c r="B79" s="44">
        <f>IF($A79="",0,'02_Buyers'!$Z16)</f>
        <v/>
      </c>
      <c r="C79" s="50">
        <f>IF($A79="",0,'02_Buyers'!$AM16)</f>
        <v/>
      </c>
      <c r="D79" s="50">
        <f>IF($A79="",0,'02_Buyers'!$AN16)</f>
        <v/>
      </c>
      <c r="E79" s="50">
        <f>IF($A79="",0,'02_Buyers'!$AO16)</f>
        <v/>
      </c>
      <c r="F79" s="50">
        <f>IF($A79="",0,'02_Buyers'!$AP16)</f>
        <v/>
      </c>
      <c r="G79" s="45">
        <f>IF($A79="",0,'02_Buyers'!$V16)</f>
        <v/>
      </c>
      <c r="H79" s="45">
        <f>IF(OR($A79="",'02_Buyers'!$AC16=""),0,'02_Buyers'!$AC16)</f>
        <v/>
      </c>
      <c r="I79" s="45">
        <f>IF($A79="",0,IF(OR('02_Buyers'!$U16="LC_SIGHT",'02_Buyers'!$U16="LC_USANCE"),1,0))</f>
        <v/>
      </c>
      <c r="J79" s="7">
        <f>IF($A79="","",'02_Buyers'!$T16)</f>
        <v/>
      </c>
      <c r="K79" s="44">
        <f>IF($A79="",0,$B79*MIN(1,$C79*$J$6)*IF($I79=1,LGD_LC,MIN(1,LGD+$K$6))*(1-$E79))</f>
        <v/>
      </c>
      <c r="L79" s="44">
        <f>IF($A79="",0,$B79*MIN(1,$C79*$J$7)*IF($I79=1,LGD_LC,MIN(1,LGD+$K$7))*(1-$E79))</f>
        <v/>
      </c>
      <c r="M79" s="44">
        <f>IF($A79="",0,$B79*MIN(1,$C79*$J$8)*IF($I79=1,LGD_LC,MIN(1,LGD+$K$8))*(1-$E79))</f>
        <v/>
      </c>
      <c r="N79" s="44">
        <f>IF($A79="",0,$B79*MIN(1,$C79*$J$9)*IF($I79=1,LGD_LC,MIN(1,LGD+$K$9))*(1-$E79))</f>
        <v/>
      </c>
      <c r="O79" s="44">
        <f>IF($A79="",0,$B79*MIN(1,$C79*$J$10)*IF($I79=1,LGD_LC,MIN(1,LGD+$K$10))*(1-$E79))</f>
        <v/>
      </c>
      <c r="P79" s="44">
        <f>IF($A79="",0,$B79*MIN(1,$C79*$J$12)*IF($I79=1,LGD_LC,MIN(1,LGD+$K$12))*(1-$E79))</f>
        <v/>
      </c>
      <c r="Q79" s="44">
        <f>IF($A79="",0,$B79*(TSOFR3M+$H$6/10000+$F79)*$G79/DayBasis)</f>
        <v/>
      </c>
      <c r="R79" s="44">
        <f>IF($A79="",0,$B79*(TSOFR3M+$H$7/10000+$F79)*$G79/DayBasis)</f>
        <v/>
      </c>
      <c r="S79" s="44">
        <f>IF($A79="",0,$B79*(TSOFR3M+$H$8/10000+$F79)*$G79/DayBasis)</f>
        <v/>
      </c>
      <c r="T79" s="44">
        <f>IF($A79="",0,$B79*(TSOFR3M+$H$9/10000+$F79)*$G79/DayBasis)</f>
        <v/>
      </c>
      <c r="U79" s="44">
        <f>IF($A79="",0,$B79*(TSOFR3M+$H$10/10000+$F79)*$G79/DayBasis)</f>
        <v/>
      </c>
      <c r="V79" s="44">
        <f>IF($A79="",0,$B79*(TSOFR3M+$H$12/10000+$F79)*$G79/DayBasis)</f>
        <v/>
      </c>
      <c r="W79" s="44">
        <f>IF(OR($A79="",$M$6&lt;&gt;"Y",$O$6=""),0,IF($H79&gt;=$O$6,$B79*(TSOFR3M+$H$6/10000+$F79)*$N$6/DayBasis,0))</f>
        <v/>
      </c>
      <c r="X79" s="44">
        <f>IF(OR($A79="",$M$7&lt;&gt;"Y",$O$7=""),0,IF($H79&gt;=$O$7,$B79*(TSOFR3M+$H$7/10000+$F79)*$N$7/DayBasis,0))</f>
        <v/>
      </c>
      <c r="Y79" s="44">
        <f>IF(OR($A79="",$M$8&lt;&gt;"Y",$O$8=""),0,IF($H79&gt;=$O$8,$B79*(TSOFR3M+$H$8/10000+$F79)*$N$8/DayBasis,0))</f>
        <v/>
      </c>
      <c r="Z79" s="44">
        <f>IF(OR($A79="",$M$9&lt;&gt;"Y",$O$9=""),0,IF($H79&gt;=$O$9,$B79*(TSOFR3M+$H$9/10000+$F79)*$N$9/DayBasis,0))</f>
        <v/>
      </c>
      <c r="AA79" s="44">
        <f>IF(OR($A79="",$M$10&lt;&gt;"Y",$O$10=""),0,IF($H79&gt;=$O$10,$B79*(TSOFR3M+$H$10/10000+$F79)*$N$10/DayBasis,0))</f>
        <v/>
      </c>
      <c r="AB79" s="44">
        <f>IF(OR($A79="",$M$12&lt;&gt;"Y",$O$12=""),0,IF($H79&gt;=$O$12,$B79*(TSOFR3M+$H$12/10000+$F79)*$N$12/DayBasis,0))</f>
        <v/>
      </c>
      <c r="AC79" s="50">
        <f>IF($A79="",0,MIN(1,$C79*$C$39))</f>
        <v/>
      </c>
      <c r="AD79" s="44">
        <f>IF($A79="",0,$B79*IF($I79=1,LGD_LC,MIN(1,LGD+$C$40))*(1-$E79))</f>
        <v/>
      </c>
      <c r="AE79" s="44">
        <f>IF(OR($A79="",$B79&lt;=0,$AC79&lt;=0),0,IF($AC79&gt;=1,$AD79,IF(_xlfn.NORM.S.INV(RAND())*SQRT(1-Rho)+$C$41*SQRT(Rho)&lt;_xlfn.NORM.S.INV($AC79),$AD79,0)))</f>
        <v/>
      </c>
      <c r="AG79" t="n">
        <v>73</v>
      </c>
      <c r="AH79" s="35" t="n">
        <v>0</v>
      </c>
    </row>
    <row r="80">
      <c r="A80" s="7">
        <f>IF('02_Buyers'!$A17="","",'02_Buyers'!$A17)</f>
        <v/>
      </c>
      <c r="B80" s="44">
        <f>IF($A80="",0,'02_Buyers'!$Z17)</f>
        <v/>
      </c>
      <c r="C80" s="50">
        <f>IF($A80="",0,'02_Buyers'!$AM17)</f>
        <v/>
      </c>
      <c r="D80" s="50">
        <f>IF($A80="",0,'02_Buyers'!$AN17)</f>
        <v/>
      </c>
      <c r="E80" s="50">
        <f>IF($A80="",0,'02_Buyers'!$AO17)</f>
        <v/>
      </c>
      <c r="F80" s="50">
        <f>IF($A80="",0,'02_Buyers'!$AP17)</f>
        <v/>
      </c>
      <c r="G80" s="45">
        <f>IF($A80="",0,'02_Buyers'!$V17)</f>
        <v/>
      </c>
      <c r="H80" s="45">
        <f>IF(OR($A80="",'02_Buyers'!$AC17=""),0,'02_Buyers'!$AC17)</f>
        <v/>
      </c>
      <c r="I80" s="45">
        <f>IF($A80="",0,IF(OR('02_Buyers'!$U17="LC_SIGHT",'02_Buyers'!$U17="LC_USANCE"),1,0))</f>
        <v/>
      </c>
      <c r="J80" s="7">
        <f>IF($A80="","",'02_Buyers'!$T17)</f>
        <v/>
      </c>
      <c r="K80" s="44">
        <f>IF($A80="",0,$B80*MIN(1,$C80*$J$6)*IF($I80=1,LGD_LC,MIN(1,LGD+$K$6))*(1-$E80))</f>
        <v/>
      </c>
      <c r="L80" s="44">
        <f>IF($A80="",0,$B80*MIN(1,$C80*$J$7)*IF($I80=1,LGD_LC,MIN(1,LGD+$K$7))*(1-$E80))</f>
        <v/>
      </c>
      <c r="M80" s="44">
        <f>IF($A80="",0,$B80*MIN(1,$C80*$J$8)*IF($I80=1,LGD_LC,MIN(1,LGD+$K$8))*(1-$E80))</f>
        <v/>
      </c>
      <c r="N80" s="44">
        <f>IF($A80="",0,$B80*MIN(1,$C80*$J$9)*IF($I80=1,LGD_LC,MIN(1,LGD+$K$9))*(1-$E80))</f>
        <v/>
      </c>
      <c r="O80" s="44">
        <f>IF($A80="",0,$B80*MIN(1,$C80*$J$10)*IF($I80=1,LGD_LC,MIN(1,LGD+$K$10))*(1-$E80))</f>
        <v/>
      </c>
      <c r="P80" s="44">
        <f>IF($A80="",0,$B80*MIN(1,$C80*$J$12)*IF($I80=1,LGD_LC,MIN(1,LGD+$K$12))*(1-$E80))</f>
        <v/>
      </c>
      <c r="Q80" s="44">
        <f>IF($A80="",0,$B80*(TSOFR3M+$H$6/10000+$F80)*$G80/DayBasis)</f>
        <v/>
      </c>
      <c r="R80" s="44">
        <f>IF($A80="",0,$B80*(TSOFR3M+$H$7/10000+$F80)*$G80/DayBasis)</f>
        <v/>
      </c>
      <c r="S80" s="44">
        <f>IF($A80="",0,$B80*(TSOFR3M+$H$8/10000+$F80)*$G80/DayBasis)</f>
        <v/>
      </c>
      <c r="T80" s="44">
        <f>IF($A80="",0,$B80*(TSOFR3M+$H$9/10000+$F80)*$G80/DayBasis)</f>
        <v/>
      </c>
      <c r="U80" s="44">
        <f>IF($A80="",0,$B80*(TSOFR3M+$H$10/10000+$F80)*$G80/DayBasis)</f>
        <v/>
      </c>
      <c r="V80" s="44">
        <f>IF($A80="",0,$B80*(TSOFR3M+$H$12/10000+$F80)*$G80/DayBasis)</f>
        <v/>
      </c>
      <c r="W80" s="44">
        <f>IF(OR($A80="",$M$6&lt;&gt;"Y",$O$6=""),0,IF($H80&gt;=$O$6,$B80*(TSOFR3M+$H$6/10000+$F80)*$N$6/DayBasis,0))</f>
        <v/>
      </c>
      <c r="X80" s="44">
        <f>IF(OR($A80="",$M$7&lt;&gt;"Y",$O$7=""),0,IF($H80&gt;=$O$7,$B80*(TSOFR3M+$H$7/10000+$F80)*$N$7/DayBasis,0))</f>
        <v/>
      </c>
      <c r="Y80" s="44">
        <f>IF(OR($A80="",$M$8&lt;&gt;"Y",$O$8=""),0,IF($H80&gt;=$O$8,$B80*(TSOFR3M+$H$8/10000+$F80)*$N$8/DayBasis,0))</f>
        <v/>
      </c>
      <c r="Z80" s="44">
        <f>IF(OR($A80="",$M$9&lt;&gt;"Y",$O$9=""),0,IF($H80&gt;=$O$9,$B80*(TSOFR3M+$H$9/10000+$F80)*$N$9/DayBasis,0))</f>
        <v/>
      </c>
      <c r="AA80" s="44">
        <f>IF(OR($A80="",$M$10&lt;&gt;"Y",$O$10=""),0,IF($H80&gt;=$O$10,$B80*(TSOFR3M+$H$10/10000+$F80)*$N$10/DayBasis,0))</f>
        <v/>
      </c>
      <c r="AB80" s="44">
        <f>IF(OR($A80="",$M$12&lt;&gt;"Y",$O$12=""),0,IF($H80&gt;=$O$12,$B80*(TSOFR3M+$H$12/10000+$F80)*$N$12/DayBasis,0))</f>
        <v/>
      </c>
      <c r="AC80" s="50">
        <f>IF($A80="",0,MIN(1,$C80*$C$39))</f>
        <v/>
      </c>
      <c r="AD80" s="44">
        <f>IF($A80="",0,$B80*IF($I80=1,LGD_LC,MIN(1,LGD+$C$40))*(1-$E80))</f>
        <v/>
      </c>
      <c r="AE80" s="44">
        <f>IF(OR($A80="",$B80&lt;=0,$AC80&lt;=0),0,IF($AC80&gt;=1,$AD80,IF(_xlfn.NORM.S.INV(RAND())*SQRT(1-Rho)+$C$41*SQRT(Rho)&lt;_xlfn.NORM.S.INV($AC80),$AD80,0)))</f>
        <v/>
      </c>
      <c r="AG80" t="n">
        <v>74</v>
      </c>
      <c r="AH80" s="35" t="n">
        <v>0</v>
      </c>
    </row>
    <row r="81">
      <c r="A81" s="7">
        <f>IF('02_Buyers'!$A18="","",'02_Buyers'!$A18)</f>
        <v/>
      </c>
      <c r="B81" s="44">
        <f>IF($A81="",0,'02_Buyers'!$Z18)</f>
        <v/>
      </c>
      <c r="C81" s="50">
        <f>IF($A81="",0,'02_Buyers'!$AM18)</f>
        <v/>
      </c>
      <c r="D81" s="50">
        <f>IF($A81="",0,'02_Buyers'!$AN18)</f>
        <v/>
      </c>
      <c r="E81" s="50">
        <f>IF($A81="",0,'02_Buyers'!$AO18)</f>
        <v/>
      </c>
      <c r="F81" s="50">
        <f>IF($A81="",0,'02_Buyers'!$AP18)</f>
        <v/>
      </c>
      <c r="G81" s="45">
        <f>IF($A81="",0,'02_Buyers'!$V18)</f>
        <v/>
      </c>
      <c r="H81" s="45">
        <f>IF(OR($A81="",'02_Buyers'!$AC18=""),0,'02_Buyers'!$AC18)</f>
        <v/>
      </c>
      <c r="I81" s="45">
        <f>IF($A81="",0,IF(OR('02_Buyers'!$U18="LC_SIGHT",'02_Buyers'!$U18="LC_USANCE"),1,0))</f>
        <v/>
      </c>
      <c r="J81" s="7">
        <f>IF($A81="","",'02_Buyers'!$T18)</f>
        <v/>
      </c>
      <c r="K81" s="44">
        <f>IF($A81="",0,$B81*MIN(1,$C81*$J$6)*IF($I81=1,LGD_LC,MIN(1,LGD+$K$6))*(1-$E81))</f>
        <v/>
      </c>
      <c r="L81" s="44">
        <f>IF($A81="",0,$B81*MIN(1,$C81*$J$7)*IF($I81=1,LGD_LC,MIN(1,LGD+$K$7))*(1-$E81))</f>
        <v/>
      </c>
      <c r="M81" s="44">
        <f>IF($A81="",0,$B81*MIN(1,$C81*$J$8)*IF($I81=1,LGD_LC,MIN(1,LGD+$K$8))*(1-$E81))</f>
        <v/>
      </c>
      <c r="N81" s="44">
        <f>IF($A81="",0,$B81*MIN(1,$C81*$J$9)*IF($I81=1,LGD_LC,MIN(1,LGD+$K$9))*(1-$E81))</f>
        <v/>
      </c>
      <c r="O81" s="44">
        <f>IF($A81="",0,$B81*MIN(1,$C81*$J$10)*IF($I81=1,LGD_LC,MIN(1,LGD+$K$10))*(1-$E81))</f>
        <v/>
      </c>
      <c r="P81" s="44">
        <f>IF($A81="",0,$B81*MIN(1,$C81*$J$12)*IF($I81=1,LGD_LC,MIN(1,LGD+$K$12))*(1-$E81))</f>
        <v/>
      </c>
      <c r="Q81" s="44">
        <f>IF($A81="",0,$B81*(TSOFR3M+$H$6/10000+$F81)*$G81/DayBasis)</f>
        <v/>
      </c>
      <c r="R81" s="44">
        <f>IF($A81="",0,$B81*(TSOFR3M+$H$7/10000+$F81)*$G81/DayBasis)</f>
        <v/>
      </c>
      <c r="S81" s="44">
        <f>IF($A81="",0,$B81*(TSOFR3M+$H$8/10000+$F81)*$G81/DayBasis)</f>
        <v/>
      </c>
      <c r="T81" s="44">
        <f>IF($A81="",0,$B81*(TSOFR3M+$H$9/10000+$F81)*$G81/DayBasis)</f>
        <v/>
      </c>
      <c r="U81" s="44">
        <f>IF($A81="",0,$B81*(TSOFR3M+$H$10/10000+$F81)*$G81/DayBasis)</f>
        <v/>
      </c>
      <c r="V81" s="44">
        <f>IF($A81="",0,$B81*(TSOFR3M+$H$12/10000+$F81)*$G81/DayBasis)</f>
        <v/>
      </c>
      <c r="W81" s="44">
        <f>IF(OR($A81="",$M$6&lt;&gt;"Y",$O$6=""),0,IF($H81&gt;=$O$6,$B81*(TSOFR3M+$H$6/10000+$F81)*$N$6/DayBasis,0))</f>
        <v/>
      </c>
      <c r="X81" s="44">
        <f>IF(OR($A81="",$M$7&lt;&gt;"Y",$O$7=""),0,IF($H81&gt;=$O$7,$B81*(TSOFR3M+$H$7/10000+$F81)*$N$7/DayBasis,0))</f>
        <v/>
      </c>
      <c r="Y81" s="44">
        <f>IF(OR($A81="",$M$8&lt;&gt;"Y",$O$8=""),0,IF($H81&gt;=$O$8,$B81*(TSOFR3M+$H$8/10000+$F81)*$N$8/DayBasis,0))</f>
        <v/>
      </c>
      <c r="Z81" s="44">
        <f>IF(OR($A81="",$M$9&lt;&gt;"Y",$O$9=""),0,IF($H81&gt;=$O$9,$B81*(TSOFR3M+$H$9/10000+$F81)*$N$9/DayBasis,0))</f>
        <v/>
      </c>
      <c r="AA81" s="44">
        <f>IF(OR($A81="",$M$10&lt;&gt;"Y",$O$10=""),0,IF($H81&gt;=$O$10,$B81*(TSOFR3M+$H$10/10000+$F81)*$N$10/DayBasis,0))</f>
        <v/>
      </c>
      <c r="AB81" s="44">
        <f>IF(OR($A81="",$M$12&lt;&gt;"Y",$O$12=""),0,IF($H81&gt;=$O$12,$B81*(TSOFR3M+$H$12/10000+$F81)*$N$12/DayBasis,0))</f>
        <v/>
      </c>
      <c r="AC81" s="50">
        <f>IF($A81="",0,MIN(1,$C81*$C$39))</f>
        <v/>
      </c>
      <c r="AD81" s="44">
        <f>IF($A81="",0,$B81*IF($I81=1,LGD_LC,MIN(1,LGD+$C$40))*(1-$E81))</f>
        <v/>
      </c>
      <c r="AE81" s="44">
        <f>IF(OR($A81="",$B81&lt;=0,$AC81&lt;=0),0,IF($AC81&gt;=1,$AD81,IF(_xlfn.NORM.S.INV(RAND())*SQRT(1-Rho)+$C$41*SQRT(Rho)&lt;_xlfn.NORM.S.INV($AC81),$AD81,0)))</f>
        <v/>
      </c>
      <c r="AG81" t="n">
        <v>75</v>
      </c>
      <c r="AH81" s="35" t="n">
        <v>0</v>
      </c>
    </row>
    <row r="82">
      <c r="A82" s="7">
        <f>IF('02_Buyers'!$A19="","",'02_Buyers'!$A19)</f>
        <v/>
      </c>
      <c r="B82" s="44">
        <f>IF($A82="",0,'02_Buyers'!$Z19)</f>
        <v/>
      </c>
      <c r="C82" s="50">
        <f>IF($A82="",0,'02_Buyers'!$AM19)</f>
        <v/>
      </c>
      <c r="D82" s="50">
        <f>IF($A82="",0,'02_Buyers'!$AN19)</f>
        <v/>
      </c>
      <c r="E82" s="50">
        <f>IF($A82="",0,'02_Buyers'!$AO19)</f>
        <v/>
      </c>
      <c r="F82" s="50">
        <f>IF($A82="",0,'02_Buyers'!$AP19)</f>
        <v/>
      </c>
      <c r="G82" s="45">
        <f>IF($A82="",0,'02_Buyers'!$V19)</f>
        <v/>
      </c>
      <c r="H82" s="45">
        <f>IF(OR($A82="",'02_Buyers'!$AC19=""),0,'02_Buyers'!$AC19)</f>
        <v/>
      </c>
      <c r="I82" s="45">
        <f>IF($A82="",0,IF(OR('02_Buyers'!$U19="LC_SIGHT",'02_Buyers'!$U19="LC_USANCE"),1,0))</f>
        <v/>
      </c>
      <c r="J82" s="7">
        <f>IF($A82="","",'02_Buyers'!$T19)</f>
        <v/>
      </c>
      <c r="K82" s="44">
        <f>IF($A82="",0,$B82*MIN(1,$C82*$J$6)*IF($I82=1,LGD_LC,MIN(1,LGD+$K$6))*(1-$E82))</f>
        <v/>
      </c>
      <c r="L82" s="44">
        <f>IF($A82="",0,$B82*MIN(1,$C82*$J$7)*IF($I82=1,LGD_LC,MIN(1,LGD+$K$7))*(1-$E82))</f>
        <v/>
      </c>
      <c r="M82" s="44">
        <f>IF($A82="",0,$B82*MIN(1,$C82*$J$8)*IF($I82=1,LGD_LC,MIN(1,LGD+$K$8))*(1-$E82))</f>
        <v/>
      </c>
      <c r="N82" s="44">
        <f>IF($A82="",0,$B82*MIN(1,$C82*$J$9)*IF($I82=1,LGD_LC,MIN(1,LGD+$K$9))*(1-$E82))</f>
        <v/>
      </c>
      <c r="O82" s="44">
        <f>IF($A82="",0,$B82*MIN(1,$C82*$J$10)*IF($I82=1,LGD_LC,MIN(1,LGD+$K$10))*(1-$E82))</f>
        <v/>
      </c>
      <c r="P82" s="44">
        <f>IF($A82="",0,$B82*MIN(1,$C82*$J$12)*IF($I82=1,LGD_LC,MIN(1,LGD+$K$12))*(1-$E82))</f>
        <v/>
      </c>
      <c r="Q82" s="44">
        <f>IF($A82="",0,$B82*(TSOFR3M+$H$6/10000+$F82)*$G82/DayBasis)</f>
        <v/>
      </c>
      <c r="R82" s="44">
        <f>IF($A82="",0,$B82*(TSOFR3M+$H$7/10000+$F82)*$G82/DayBasis)</f>
        <v/>
      </c>
      <c r="S82" s="44">
        <f>IF($A82="",0,$B82*(TSOFR3M+$H$8/10000+$F82)*$G82/DayBasis)</f>
        <v/>
      </c>
      <c r="T82" s="44">
        <f>IF($A82="",0,$B82*(TSOFR3M+$H$9/10000+$F82)*$G82/DayBasis)</f>
        <v/>
      </c>
      <c r="U82" s="44">
        <f>IF($A82="",0,$B82*(TSOFR3M+$H$10/10000+$F82)*$G82/DayBasis)</f>
        <v/>
      </c>
      <c r="V82" s="44">
        <f>IF($A82="",0,$B82*(TSOFR3M+$H$12/10000+$F82)*$G82/DayBasis)</f>
        <v/>
      </c>
      <c r="W82" s="44">
        <f>IF(OR($A82="",$M$6&lt;&gt;"Y",$O$6=""),0,IF($H82&gt;=$O$6,$B82*(TSOFR3M+$H$6/10000+$F82)*$N$6/DayBasis,0))</f>
        <v/>
      </c>
      <c r="X82" s="44">
        <f>IF(OR($A82="",$M$7&lt;&gt;"Y",$O$7=""),0,IF($H82&gt;=$O$7,$B82*(TSOFR3M+$H$7/10000+$F82)*$N$7/DayBasis,0))</f>
        <v/>
      </c>
      <c r="Y82" s="44">
        <f>IF(OR($A82="",$M$8&lt;&gt;"Y",$O$8=""),0,IF($H82&gt;=$O$8,$B82*(TSOFR3M+$H$8/10000+$F82)*$N$8/DayBasis,0))</f>
        <v/>
      </c>
      <c r="Z82" s="44">
        <f>IF(OR($A82="",$M$9&lt;&gt;"Y",$O$9=""),0,IF($H82&gt;=$O$9,$B82*(TSOFR3M+$H$9/10000+$F82)*$N$9/DayBasis,0))</f>
        <v/>
      </c>
      <c r="AA82" s="44">
        <f>IF(OR($A82="",$M$10&lt;&gt;"Y",$O$10=""),0,IF($H82&gt;=$O$10,$B82*(TSOFR3M+$H$10/10000+$F82)*$N$10/DayBasis,0))</f>
        <v/>
      </c>
      <c r="AB82" s="44">
        <f>IF(OR($A82="",$M$12&lt;&gt;"Y",$O$12=""),0,IF($H82&gt;=$O$12,$B82*(TSOFR3M+$H$12/10000+$F82)*$N$12/DayBasis,0))</f>
        <v/>
      </c>
      <c r="AC82" s="50">
        <f>IF($A82="",0,MIN(1,$C82*$C$39))</f>
        <v/>
      </c>
      <c r="AD82" s="44">
        <f>IF($A82="",0,$B82*IF($I82=1,LGD_LC,MIN(1,LGD+$C$40))*(1-$E82))</f>
        <v/>
      </c>
      <c r="AE82" s="44">
        <f>IF(OR($A82="",$B82&lt;=0,$AC82&lt;=0),0,IF($AC82&gt;=1,$AD82,IF(_xlfn.NORM.S.INV(RAND())*SQRT(1-Rho)+$C$41*SQRT(Rho)&lt;_xlfn.NORM.S.INV($AC82),$AD82,0)))</f>
        <v/>
      </c>
      <c r="AG82" t="n">
        <v>76</v>
      </c>
      <c r="AH82" s="35" t="n">
        <v>0</v>
      </c>
    </row>
    <row r="83">
      <c r="A83" s="7">
        <f>IF('02_Buyers'!$A20="","",'02_Buyers'!$A20)</f>
        <v/>
      </c>
      <c r="B83" s="44">
        <f>IF($A83="",0,'02_Buyers'!$Z20)</f>
        <v/>
      </c>
      <c r="C83" s="50">
        <f>IF($A83="",0,'02_Buyers'!$AM20)</f>
        <v/>
      </c>
      <c r="D83" s="50">
        <f>IF($A83="",0,'02_Buyers'!$AN20)</f>
        <v/>
      </c>
      <c r="E83" s="50">
        <f>IF($A83="",0,'02_Buyers'!$AO20)</f>
        <v/>
      </c>
      <c r="F83" s="50">
        <f>IF($A83="",0,'02_Buyers'!$AP20)</f>
        <v/>
      </c>
      <c r="G83" s="45">
        <f>IF($A83="",0,'02_Buyers'!$V20)</f>
        <v/>
      </c>
      <c r="H83" s="45">
        <f>IF(OR($A83="",'02_Buyers'!$AC20=""),0,'02_Buyers'!$AC20)</f>
        <v/>
      </c>
      <c r="I83" s="45">
        <f>IF($A83="",0,IF(OR('02_Buyers'!$U20="LC_SIGHT",'02_Buyers'!$U20="LC_USANCE"),1,0))</f>
        <v/>
      </c>
      <c r="J83" s="7">
        <f>IF($A83="","",'02_Buyers'!$T20)</f>
        <v/>
      </c>
      <c r="K83" s="44">
        <f>IF($A83="",0,$B83*MIN(1,$C83*$J$6)*IF($I83=1,LGD_LC,MIN(1,LGD+$K$6))*(1-$E83))</f>
        <v/>
      </c>
      <c r="L83" s="44">
        <f>IF($A83="",0,$B83*MIN(1,$C83*$J$7)*IF($I83=1,LGD_LC,MIN(1,LGD+$K$7))*(1-$E83))</f>
        <v/>
      </c>
      <c r="M83" s="44">
        <f>IF($A83="",0,$B83*MIN(1,$C83*$J$8)*IF($I83=1,LGD_LC,MIN(1,LGD+$K$8))*(1-$E83))</f>
        <v/>
      </c>
      <c r="N83" s="44">
        <f>IF($A83="",0,$B83*MIN(1,$C83*$J$9)*IF($I83=1,LGD_LC,MIN(1,LGD+$K$9))*(1-$E83))</f>
        <v/>
      </c>
      <c r="O83" s="44">
        <f>IF($A83="",0,$B83*MIN(1,$C83*$J$10)*IF($I83=1,LGD_LC,MIN(1,LGD+$K$10))*(1-$E83))</f>
        <v/>
      </c>
      <c r="P83" s="44">
        <f>IF($A83="",0,$B83*MIN(1,$C83*$J$12)*IF($I83=1,LGD_LC,MIN(1,LGD+$K$12))*(1-$E83))</f>
        <v/>
      </c>
      <c r="Q83" s="44">
        <f>IF($A83="",0,$B83*(TSOFR3M+$H$6/10000+$F83)*$G83/DayBasis)</f>
        <v/>
      </c>
      <c r="R83" s="44">
        <f>IF($A83="",0,$B83*(TSOFR3M+$H$7/10000+$F83)*$G83/DayBasis)</f>
        <v/>
      </c>
      <c r="S83" s="44">
        <f>IF($A83="",0,$B83*(TSOFR3M+$H$8/10000+$F83)*$G83/DayBasis)</f>
        <v/>
      </c>
      <c r="T83" s="44">
        <f>IF($A83="",0,$B83*(TSOFR3M+$H$9/10000+$F83)*$G83/DayBasis)</f>
        <v/>
      </c>
      <c r="U83" s="44">
        <f>IF($A83="",0,$B83*(TSOFR3M+$H$10/10000+$F83)*$G83/DayBasis)</f>
        <v/>
      </c>
      <c r="V83" s="44">
        <f>IF($A83="",0,$B83*(TSOFR3M+$H$12/10000+$F83)*$G83/DayBasis)</f>
        <v/>
      </c>
      <c r="W83" s="44">
        <f>IF(OR($A83="",$M$6&lt;&gt;"Y",$O$6=""),0,IF($H83&gt;=$O$6,$B83*(TSOFR3M+$H$6/10000+$F83)*$N$6/DayBasis,0))</f>
        <v/>
      </c>
      <c r="X83" s="44">
        <f>IF(OR($A83="",$M$7&lt;&gt;"Y",$O$7=""),0,IF($H83&gt;=$O$7,$B83*(TSOFR3M+$H$7/10000+$F83)*$N$7/DayBasis,0))</f>
        <v/>
      </c>
      <c r="Y83" s="44">
        <f>IF(OR($A83="",$M$8&lt;&gt;"Y",$O$8=""),0,IF($H83&gt;=$O$8,$B83*(TSOFR3M+$H$8/10000+$F83)*$N$8/DayBasis,0))</f>
        <v/>
      </c>
      <c r="Z83" s="44">
        <f>IF(OR($A83="",$M$9&lt;&gt;"Y",$O$9=""),0,IF($H83&gt;=$O$9,$B83*(TSOFR3M+$H$9/10000+$F83)*$N$9/DayBasis,0))</f>
        <v/>
      </c>
      <c r="AA83" s="44">
        <f>IF(OR($A83="",$M$10&lt;&gt;"Y",$O$10=""),0,IF($H83&gt;=$O$10,$B83*(TSOFR3M+$H$10/10000+$F83)*$N$10/DayBasis,0))</f>
        <v/>
      </c>
      <c r="AB83" s="44">
        <f>IF(OR($A83="",$M$12&lt;&gt;"Y",$O$12=""),0,IF($H83&gt;=$O$12,$B83*(TSOFR3M+$H$12/10000+$F83)*$N$12/DayBasis,0))</f>
        <v/>
      </c>
      <c r="AC83" s="50">
        <f>IF($A83="",0,MIN(1,$C83*$C$39))</f>
        <v/>
      </c>
      <c r="AD83" s="44">
        <f>IF($A83="",0,$B83*IF($I83=1,LGD_LC,MIN(1,LGD+$C$40))*(1-$E83))</f>
        <v/>
      </c>
      <c r="AE83" s="44">
        <f>IF(OR($A83="",$B83&lt;=0,$AC83&lt;=0),0,IF($AC83&gt;=1,$AD83,IF(_xlfn.NORM.S.INV(RAND())*SQRT(1-Rho)+$C$41*SQRT(Rho)&lt;_xlfn.NORM.S.INV($AC83),$AD83,0)))</f>
        <v/>
      </c>
      <c r="AG83" t="n">
        <v>77</v>
      </c>
      <c r="AH83" s="35" t="n">
        <v>0</v>
      </c>
    </row>
    <row r="84">
      <c r="A84" s="7">
        <f>IF('02_Buyers'!$A21="","",'02_Buyers'!$A21)</f>
        <v/>
      </c>
      <c r="B84" s="44">
        <f>IF($A84="",0,'02_Buyers'!$Z21)</f>
        <v/>
      </c>
      <c r="C84" s="50">
        <f>IF($A84="",0,'02_Buyers'!$AM21)</f>
        <v/>
      </c>
      <c r="D84" s="50">
        <f>IF($A84="",0,'02_Buyers'!$AN21)</f>
        <v/>
      </c>
      <c r="E84" s="50">
        <f>IF($A84="",0,'02_Buyers'!$AO21)</f>
        <v/>
      </c>
      <c r="F84" s="50">
        <f>IF($A84="",0,'02_Buyers'!$AP21)</f>
        <v/>
      </c>
      <c r="G84" s="45">
        <f>IF($A84="",0,'02_Buyers'!$V21)</f>
        <v/>
      </c>
      <c r="H84" s="45">
        <f>IF(OR($A84="",'02_Buyers'!$AC21=""),0,'02_Buyers'!$AC21)</f>
        <v/>
      </c>
      <c r="I84" s="45">
        <f>IF($A84="",0,IF(OR('02_Buyers'!$U21="LC_SIGHT",'02_Buyers'!$U21="LC_USANCE"),1,0))</f>
        <v/>
      </c>
      <c r="J84" s="7">
        <f>IF($A84="","",'02_Buyers'!$T21)</f>
        <v/>
      </c>
      <c r="K84" s="44">
        <f>IF($A84="",0,$B84*MIN(1,$C84*$J$6)*IF($I84=1,LGD_LC,MIN(1,LGD+$K$6))*(1-$E84))</f>
        <v/>
      </c>
      <c r="L84" s="44">
        <f>IF($A84="",0,$B84*MIN(1,$C84*$J$7)*IF($I84=1,LGD_LC,MIN(1,LGD+$K$7))*(1-$E84))</f>
        <v/>
      </c>
      <c r="M84" s="44">
        <f>IF($A84="",0,$B84*MIN(1,$C84*$J$8)*IF($I84=1,LGD_LC,MIN(1,LGD+$K$8))*(1-$E84))</f>
        <v/>
      </c>
      <c r="N84" s="44">
        <f>IF($A84="",0,$B84*MIN(1,$C84*$J$9)*IF($I84=1,LGD_LC,MIN(1,LGD+$K$9))*(1-$E84))</f>
        <v/>
      </c>
      <c r="O84" s="44">
        <f>IF($A84="",0,$B84*MIN(1,$C84*$J$10)*IF($I84=1,LGD_LC,MIN(1,LGD+$K$10))*(1-$E84))</f>
        <v/>
      </c>
      <c r="P84" s="44">
        <f>IF($A84="",0,$B84*MIN(1,$C84*$J$12)*IF($I84=1,LGD_LC,MIN(1,LGD+$K$12))*(1-$E84))</f>
        <v/>
      </c>
      <c r="Q84" s="44">
        <f>IF($A84="",0,$B84*(TSOFR3M+$H$6/10000+$F84)*$G84/DayBasis)</f>
        <v/>
      </c>
      <c r="R84" s="44">
        <f>IF($A84="",0,$B84*(TSOFR3M+$H$7/10000+$F84)*$G84/DayBasis)</f>
        <v/>
      </c>
      <c r="S84" s="44">
        <f>IF($A84="",0,$B84*(TSOFR3M+$H$8/10000+$F84)*$G84/DayBasis)</f>
        <v/>
      </c>
      <c r="T84" s="44">
        <f>IF($A84="",0,$B84*(TSOFR3M+$H$9/10000+$F84)*$G84/DayBasis)</f>
        <v/>
      </c>
      <c r="U84" s="44">
        <f>IF($A84="",0,$B84*(TSOFR3M+$H$10/10000+$F84)*$G84/DayBasis)</f>
        <v/>
      </c>
      <c r="V84" s="44">
        <f>IF($A84="",0,$B84*(TSOFR3M+$H$12/10000+$F84)*$G84/DayBasis)</f>
        <v/>
      </c>
      <c r="W84" s="44">
        <f>IF(OR($A84="",$M$6&lt;&gt;"Y",$O$6=""),0,IF($H84&gt;=$O$6,$B84*(TSOFR3M+$H$6/10000+$F84)*$N$6/DayBasis,0))</f>
        <v/>
      </c>
      <c r="X84" s="44">
        <f>IF(OR($A84="",$M$7&lt;&gt;"Y",$O$7=""),0,IF($H84&gt;=$O$7,$B84*(TSOFR3M+$H$7/10000+$F84)*$N$7/DayBasis,0))</f>
        <v/>
      </c>
      <c r="Y84" s="44">
        <f>IF(OR($A84="",$M$8&lt;&gt;"Y",$O$8=""),0,IF($H84&gt;=$O$8,$B84*(TSOFR3M+$H$8/10000+$F84)*$N$8/DayBasis,0))</f>
        <v/>
      </c>
      <c r="Z84" s="44">
        <f>IF(OR($A84="",$M$9&lt;&gt;"Y",$O$9=""),0,IF($H84&gt;=$O$9,$B84*(TSOFR3M+$H$9/10000+$F84)*$N$9/DayBasis,0))</f>
        <v/>
      </c>
      <c r="AA84" s="44">
        <f>IF(OR($A84="",$M$10&lt;&gt;"Y",$O$10=""),0,IF($H84&gt;=$O$10,$B84*(TSOFR3M+$H$10/10000+$F84)*$N$10/DayBasis,0))</f>
        <v/>
      </c>
      <c r="AB84" s="44">
        <f>IF(OR($A84="",$M$12&lt;&gt;"Y",$O$12=""),0,IF($H84&gt;=$O$12,$B84*(TSOFR3M+$H$12/10000+$F84)*$N$12/DayBasis,0))</f>
        <v/>
      </c>
      <c r="AC84" s="50">
        <f>IF($A84="",0,MIN(1,$C84*$C$39))</f>
        <v/>
      </c>
      <c r="AD84" s="44">
        <f>IF($A84="",0,$B84*IF($I84=1,LGD_LC,MIN(1,LGD+$C$40))*(1-$E84))</f>
        <v/>
      </c>
      <c r="AE84" s="44">
        <f>IF(OR($A84="",$B84&lt;=0,$AC84&lt;=0),0,IF($AC84&gt;=1,$AD84,IF(_xlfn.NORM.S.INV(RAND())*SQRT(1-Rho)+$C$41*SQRT(Rho)&lt;_xlfn.NORM.S.INV($AC84),$AD84,0)))</f>
        <v/>
      </c>
      <c r="AG84" t="n">
        <v>78</v>
      </c>
      <c r="AH84" s="35" t="n">
        <v>0</v>
      </c>
    </row>
    <row r="85">
      <c r="A85" s="7">
        <f>IF('02_Buyers'!$A22="","",'02_Buyers'!$A22)</f>
        <v/>
      </c>
      <c r="B85" s="44">
        <f>IF($A85="",0,'02_Buyers'!$Z22)</f>
        <v/>
      </c>
      <c r="C85" s="50">
        <f>IF($A85="",0,'02_Buyers'!$AM22)</f>
        <v/>
      </c>
      <c r="D85" s="50">
        <f>IF($A85="",0,'02_Buyers'!$AN22)</f>
        <v/>
      </c>
      <c r="E85" s="50">
        <f>IF($A85="",0,'02_Buyers'!$AO22)</f>
        <v/>
      </c>
      <c r="F85" s="50">
        <f>IF($A85="",0,'02_Buyers'!$AP22)</f>
        <v/>
      </c>
      <c r="G85" s="45">
        <f>IF($A85="",0,'02_Buyers'!$V22)</f>
        <v/>
      </c>
      <c r="H85" s="45">
        <f>IF(OR($A85="",'02_Buyers'!$AC22=""),0,'02_Buyers'!$AC22)</f>
        <v/>
      </c>
      <c r="I85" s="45">
        <f>IF($A85="",0,IF(OR('02_Buyers'!$U22="LC_SIGHT",'02_Buyers'!$U22="LC_USANCE"),1,0))</f>
        <v/>
      </c>
      <c r="J85" s="7">
        <f>IF($A85="","",'02_Buyers'!$T22)</f>
        <v/>
      </c>
      <c r="K85" s="44">
        <f>IF($A85="",0,$B85*MIN(1,$C85*$J$6)*IF($I85=1,LGD_LC,MIN(1,LGD+$K$6))*(1-$E85))</f>
        <v/>
      </c>
      <c r="L85" s="44">
        <f>IF($A85="",0,$B85*MIN(1,$C85*$J$7)*IF($I85=1,LGD_LC,MIN(1,LGD+$K$7))*(1-$E85))</f>
        <v/>
      </c>
      <c r="M85" s="44">
        <f>IF($A85="",0,$B85*MIN(1,$C85*$J$8)*IF($I85=1,LGD_LC,MIN(1,LGD+$K$8))*(1-$E85))</f>
        <v/>
      </c>
      <c r="N85" s="44">
        <f>IF($A85="",0,$B85*MIN(1,$C85*$J$9)*IF($I85=1,LGD_LC,MIN(1,LGD+$K$9))*(1-$E85))</f>
        <v/>
      </c>
      <c r="O85" s="44">
        <f>IF($A85="",0,$B85*MIN(1,$C85*$J$10)*IF($I85=1,LGD_LC,MIN(1,LGD+$K$10))*(1-$E85))</f>
        <v/>
      </c>
      <c r="P85" s="44">
        <f>IF($A85="",0,$B85*MIN(1,$C85*$J$12)*IF($I85=1,LGD_LC,MIN(1,LGD+$K$12))*(1-$E85))</f>
        <v/>
      </c>
      <c r="Q85" s="44">
        <f>IF($A85="",0,$B85*(TSOFR3M+$H$6/10000+$F85)*$G85/DayBasis)</f>
        <v/>
      </c>
      <c r="R85" s="44">
        <f>IF($A85="",0,$B85*(TSOFR3M+$H$7/10000+$F85)*$G85/DayBasis)</f>
        <v/>
      </c>
      <c r="S85" s="44">
        <f>IF($A85="",0,$B85*(TSOFR3M+$H$8/10000+$F85)*$G85/DayBasis)</f>
        <v/>
      </c>
      <c r="T85" s="44">
        <f>IF($A85="",0,$B85*(TSOFR3M+$H$9/10000+$F85)*$G85/DayBasis)</f>
        <v/>
      </c>
      <c r="U85" s="44">
        <f>IF($A85="",0,$B85*(TSOFR3M+$H$10/10000+$F85)*$G85/DayBasis)</f>
        <v/>
      </c>
      <c r="V85" s="44">
        <f>IF($A85="",0,$B85*(TSOFR3M+$H$12/10000+$F85)*$G85/DayBasis)</f>
        <v/>
      </c>
      <c r="W85" s="44">
        <f>IF(OR($A85="",$M$6&lt;&gt;"Y",$O$6=""),0,IF($H85&gt;=$O$6,$B85*(TSOFR3M+$H$6/10000+$F85)*$N$6/DayBasis,0))</f>
        <v/>
      </c>
      <c r="X85" s="44">
        <f>IF(OR($A85="",$M$7&lt;&gt;"Y",$O$7=""),0,IF($H85&gt;=$O$7,$B85*(TSOFR3M+$H$7/10000+$F85)*$N$7/DayBasis,0))</f>
        <v/>
      </c>
      <c r="Y85" s="44">
        <f>IF(OR($A85="",$M$8&lt;&gt;"Y",$O$8=""),0,IF($H85&gt;=$O$8,$B85*(TSOFR3M+$H$8/10000+$F85)*$N$8/DayBasis,0))</f>
        <v/>
      </c>
      <c r="Z85" s="44">
        <f>IF(OR($A85="",$M$9&lt;&gt;"Y",$O$9=""),0,IF($H85&gt;=$O$9,$B85*(TSOFR3M+$H$9/10000+$F85)*$N$9/DayBasis,0))</f>
        <v/>
      </c>
      <c r="AA85" s="44">
        <f>IF(OR($A85="",$M$10&lt;&gt;"Y",$O$10=""),0,IF($H85&gt;=$O$10,$B85*(TSOFR3M+$H$10/10000+$F85)*$N$10/DayBasis,0))</f>
        <v/>
      </c>
      <c r="AB85" s="44">
        <f>IF(OR($A85="",$M$12&lt;&gt;"Y",$O$12=""),0,IF($H85&gt;=$O$12,$B85*(TSOFR3M+$H$12/10000+$F85)*$N$12/DayBasis,0))</f>
        <v/>
      </c>
      <c r="AC85" s="50">
        <f>IF($A85="",0,MIN(1,$C85*$C$39))</f>
        <v/>
      </c>
      <c r="AD85" s="44">
        <f>IF($A85="",0,$B85*IF($I85=1,LGD_LC,MIN(1,LGD+$C$40))*(1-$E85))</f>
        <v/>
      </c>
      <c r="AE85" s="44">
        <f>IF(OR($A85="",$B85&lt;=0,$AC85&lt;=0),0,IF($AC85&gt;=1,$AD85,IF(_xlfn.NORM.S.INV(RAND())*SQRT(1-Rho)+$C$41*SQRT(Rho)&lt;_xlfn.NORM.S.INV($AC85),$AD85,0)))</f>
        <v/>
      </c>
      <c r="AG85" t="n">
        <v>79</v>
      </c>
      <c r="AH85" s="35" t="n">
        <v>0</v>
      </c>
    </row>
    <row r="86">
      <c r="A86" s="7">
        <f>IF('02_Buyers'!$A23="","",'02_Buyers'!$A23)</f>
        <v/>
      </c>
      <c r="B86" s="44">
        <f>IF($A86="",0,'02_Buyers'!$Z23)</f>
        <v/>
      </c>
      <c r="C86" s="50">
        <f>IF($A86="",0,'02_Buyers'!$AM23)</f>
        <v/>
      </c>
      <c r="D86" s="50">
        <f>IF($A86="",0,'02_Buyers'!$AN23)</f>
        <v/>
      </c>
      <c r="E86" s="50">
        <f>IF($A86="",0,'02_Buyers'!$AO23)</f>
        <v/>
      </c>
      <c r="F86" s="50">
        <f>IF($A86="",0,'02_Buyers'!$AP23)</f>
        <v/>
      </c>
      <c r="G86" s="45">
        <f>IF($A86="",0,'02_Buyers'!$V23)</f>
        <v/>
      </c>
      <c r="H86" s="45">
        <f>IF(OR($A86="",'02_Buyers'!$AC23=""),0,'02_Buyers'!$AC23)</f>
        <v/>
      </c>
      <c r="I86" s="45">
        <f>IF($A86="",0,IF(OR('02_Buyers'!$U23="LC_SIGHT",'02_Buyers'!$U23="LC_USANCE"),1,0))</f>
        <v/>
      </c>
      <c r="J86" s="7">
        <f>IF($A86="","",'02_Buyers'!$T23)</f>
        <v/>
      </c>
      <c r="K86" s="44">
        <f>IF($A86="",0,$B86*MIN(1,$C86*$J$6)*IF($I86=1,LGD_LC,MIN(1,LGD+$K$6))*(1-$E86))</f>
        <v/>
      </c>
      <c r="L86" s="44">
        <f>IF($A86="",0,$B86*MIN(1,$C86*$J$7)*IF($I86=1,LGD_LC,MIN(1,LGD+$K$7))*(1-$E86))</f>
        <v/>
      </c>
      <c r="M86" s="44">
        <f>IF($A86="",0,$B86*MIN(1,$C86*$J$8)*IF($I86=1,LGD_LC,MIN(1,LGD+$K$8))*(1-$E86))</f>
        <v/>
      </c>
      <c r="N86" s="44">
        <f>IF($A86="",0,$B86*MIN(1,$C86*$J$9)*IF($I86=1,LGD_LC,MIN(1,LGD+$K$9))*(1-$E86))</f>
        <v/>
      </c>
      <c r="O86" s="44">
        <f>IF($A86="",0,$B86*MIN(1,$C86*$J$10)*IF($I86=1,LGD_LC,MIN(1,LGD+$K$10))*(1-$E86))</f>
        <v/>
      </c>
      <c r="P86" s="44">
        <f>IF($A86="",0,$B86*MIN(1,$C86*$J$12)*IF($I86=1,LGD_LC,MIN(1,LGD+$K$12))*(1-$E86))</f>
        <v/>
      </c>
      <c r="Q86" s="44">
        <f>IF($A86="",0,$B86*(TSOFR3M+$H$6/10000+$F86)*$G86/DayBasis)</f>
        <v/>
      </c>
      <c r="R86" s="44">
        <f>IF($A86="",0,$B86*(TSOFR3M+$H$7/10000+$F86)*$G86/DayBasis)</f>
        <v/>
      </c>
      <c r="S86" s="44">
        <f>IF($A86="",0,$B86*(TSOFR3M+$H$8/10000+$F86)*$G86/DayBasis)</f>
        <v/>
      </c>
      <c r="T86" s="44">
        <f>IF($A86="",0,$B86*(TSOFR3M+$H$9/10000+$F86)*$G86/DayBasis)</f>
        <v/>
      </c>
      <c r="U86" s="44">
        <f>IF($A86="",0,$B86*(TSOFR3M+$H$10/10000+$F86)*$G86/DayBasis)</f>
        <v/>
      </c>
      <c r="V86" s="44">
        <f>IF($A86="",0,$B86*(TSOFR3M+$H$12/10000+$F86)*$G86/DayBasis)</f>
        <v/>
      </c>
      <c r="W86" s="44">
        <f>IF(OR($A86="",$M$6&lt;&gt;"Y",$O$6=""),0,IF($H86&gt;=$O$6,$B86*(TSOFR3M+$H$6/10000+$F86)*$N$6/DayBasis,0))</f>
        <v/>
      </c>
      <c r="X86" s="44">
        <f>IF(OR($A86="",$M$7&lt;&gt;"Y",$O$7=""),0,IF($H86&gt;=$O$7,$B86*(TSOFR3M+$H$7/10000+$F86)*$N$7/DayBasis,0))</f>
        <v/>
      </c>
      <c r="Y86" s="44">
        <f>IF(OR($A86="",$M$8&lt;&gt;"Y",$O$8=""),0,IF($H86&gt;=$O$8,$B86*(TSOFR3M+$H$8/10000+$F86)*$N$8/DayBasis,0))</f>
        <v/>
      </c>
      <c r="Z86" s="44">
        <f>IF(OR($A86="",$M$9&lt;&gt;"Y",$O$9=""),0,IF($H86&gt;=$O$9,$B86*(TSOFR3M+$H$9/10000+$F86)*$N$9/DayBasis,0))</f>
        <v/>
      </c>
      <c r="AA86" s="44">
        <f>IF(OR($A86="",$M$10&lt;&gt;"Y",$O$10=""),0,IF($H86&gt;=$O$10,$B86*(TSOFR3M+$H$10/10000+$F86)*$N$10/DayBasis,0))</f>
        <v/>
      </c>
      <c r="AB86" s="44">
        <f>IF(OR($A86="",$M$12&lt;&gt;"Y",$O$12=""),0,IF($H86&gt;=$O$12,$B86*(TSOFR3M+$H$12/10000+$F86)*$N$12/DayBasis,0))</f>
        <v/>
      </c>
      <c r="AC86" s="50">
        <f>IF($A86="",0,MIN(1,$C86*$C$39))</f>
        <v/>
      </c>
      <c r="AD86" s="44">
        <f>IF($A86="",0,$B86*IF($I86=1,LGD_LC,MIN(1,LGD+$C$40))*(1-$E86))</f>
        <v/>
      </c>
      <c r="AE86" s="44">
        <f>IF(OR($A86="",$B86&lt;=0,$AC86&lt;=0),0,IF($AC86&gt;=1,$AD86,IF(_xlfn.NORM.S.INV(RAND())*SQRT(1-Rho)+$C$41*SQRT(Rho)&lt;_xlfn.NORM.S.INV($AC86),$AD86,0)))</f>
        <v/>
      </c>
      <c r="AG86" t="n">
        <v>80</v>
      </c>
      <c r="AH86" s="35" t="n">
        <v>0</v>
      </c>
    </row>
    <row r="87">
      <c r="A87" s="7">
        <f>IF('02_Buyers'!$A24="","",'02_Buyers'!$A24)</f>
        <v/>
      </c>
      <c r="B87" s="44">
        <f>IF($A87="",0,'02_Buyers'!$Z24)</f>
        <v/>
      </c>
      <c r="C87" s="50">
        <f>IF($A87="",0,'02_Buyers'!$AM24)</f>
        <v/>
      </c>
      <c r="D87" s="50">
        <f>IF($A87="",0,'02_Buyers'!$AN24)</f>
        <v/>
      </c>
      <c r="E87" s="50">
        <f>IF($A87="",0,'02_Buyers'!$AO24)</f>
        <v/>
      </c>
      <c r="F87" s="50">
        <f>IF($A87="",0,'02_Buyers'!$AP24)</f>
        <v/>
      </c>
      <c r="G87" s="45">
        <f>IF($A87="",0,'02_Buyers'!$V24)</f>
        <v/>
      </c>
      <c r="H87" s="45">
        <f>IF(OR($A87="",'02_Buyers'!$AC24=""),0,'02_Buyers'!$AC24)</f>
        <v/>
      </c>
      <c r="I87" s="45">
        <f>IF($A87="",0,IF(OR('02_Buyers'!$U24="LC_SIGHT",'02_Buyers'!$U24="LC_USANCE"),1,0))</f>
        <v/>
      </c>
      <c r="J87" s="7">
        <f>IF($A87="","",'02_Buyers'!$T24)</f>
        <v/>
      </c>
      <c r="K87" s="44">
        <f>IF($A87="",0,$B87*MIN(1,$C87*$J$6)*IF($I87=1,LGD_LC,MIN(1,LGD+$K$6))*(1-$E87))</f>
        <v/>
      </c>
      <c r="L87" s="44">
        <f>IF($A87="",0,$B87*MIN(1,$C87*$J$7)*IF($I87=1,LGD_LC,MIN(1,LGD+$K$7))*(1-$E87))</f>
        <v/>
      </c>
      <c r="M87" s="44">
        <f>IF($A87="",0,$B87*MIN(1,$C87*$J$8)*IF($I87=1,LGD_LC,MIN(1,LGD+$K$8))*(1-$E87))</f>
        <v/>
      </c>
      <c r="N87" s="44">
        <f>IF($A87="",0,$B87*MIN(1,$C87*$J$9)*IF($I87=1,LGD_LC,MIN(1,LGD+$K$9))*(1-$E87))</f>
        <v/>
      </c>
      <c r="O87" s="44">
        <f>IF($A87="",0,$B87*MIN(1,$C87*$J$10)*IF($I87=1,LGD_LC,MIN(1,LGD+$K$10))*(1-$E87))</f>
        <v/>
      </c>
      <c r="P87" s="44">
        <f>IF($A87="",0,$B87*MIN(1,$C87*$J$12)*IF($I87=1,LGD_LC,MIN(1,LGD+$K$12))*(1-$E87))</f>
        <v/>
      </c>
      <c r="Q87" s="44">
        <f>IF($A87="",0,$B87*(TSOFR3M+$H$6/10000+$F87)*$G87/DayBasis)</f>
        <v/>
      </c>
      <c r="R87" s="44">
        <f>IF($A87="",0,$B87*(TSOFR3M+$H$7/10000+$F87)*$G87/DayBasis)</f>
        <v/>
      </c>
      <c r="S87" s="44">
        <f>IF($A87="",0,$B87*(TSOFR3M+$H$8/10000+$F87)*$G87/DayBasis)</f>
        <v/>
      </c>
      <c r="T87" s="44">
        <f>IF($A87="",0,$B87*(TSOFR3M+$H$9/10000+$F87)*$G87/DayBasis)</f>
        <v/>
      </c>
      <c r="U87" s="44">
        <f>IF($A87="",0,$B87*(TSOFR3M+$H$10/10000+$F87)*$G87/DayBasis)</f>
        <v/>
      </c>
      <c r="V87" s="44">
        <f>IF($A87="",0,$B87*(TSOFR3M+$H$12/10000+$F87)*$G87/DayBasis)</f>
        <v/>
      </c>
      <c r="W87" s="44">
        <f>IF(OR($A87="",$M$6&lt;&gt;"Y",$O$6=""),0,IF($H87&gt;=$O$6,$B87*(TSOFR3M+$H$6/10000+$F87)*$N$6/DayBasis,0))</f>
        <v/>
      </c>
      <c r="X87" s="44">
        <f>IF(OR($A87="",$M$7&lt;&gt;"Y",$O$7=""),0,IF($H87&gt;=$O$7,$B87*(TSOFR3M+$H$7/10000+$F87)*$N$7/DayBasis,0))</f>
        <v/>
      </c>
      <c r="Y87" s="44">
        <f>IF(OR($A87="",$M$8&lt;&gt;"Y",$O$8=""),0,IF($H87&gt;=$O$8,$B87*(TSOFR3M+$H$8/10000+$F87)*$N$8/DayBasis,0))</f>
        <v/>
      </c>
      <c r="Z87" s="44">
        <f>IF(OR($A87="",$M$9&lt;&gt;"Y",$O$9=""),0,IF($H87&gt;=$O$9,$B87*(TSOFR3M+$H$9/10000+$F87)*$N$9/DayBasis,0))</f>
        <v/>
      </c>
      <c r="AA87" s="44">
        <f>IF(OR($A87="",$M$10&lt;&gt;"Y",$O$10=""),0,IF($H87&gt;=$O$10,$B87*(TSOFR3M+$H$10/10000+$F87)*$N$10/DayBasis,0))</f>
        <v/>
      </c>
      <c r="AB87" s="44">
        <f>IF(OR($A87="",$M$12&lt;&gt;"Y",$O$12=""),0,IF($H87&gt;=$O$12,$B87*(TSOFR3M+$H$12/10000+$F87)*$N$12/DayBasis,0))</f>
        <v/>
      </c>
      <c r="AC87" s="50">
        <f>IF($A87="",0,MIN(1,$C87*$C$39))</f>
        <v/>
      </c>
      <c r="AD87" s="44">
        <f>IF($A87="",0,$B87*IF($I87=1,LGD_LC,MIN(1,LGD+$C$40))*(1-$E87))</f>
        <v/>
      </c>
      <c r="AE87" s="44">
        <f>IF(OR($A87="",$B87&lt;=0,$AC87&lt;=0),0,IF($AC87&gt;=1,$AD87,IF(_xlfn.NORM.S.INV(RAND())*SQRT(1-Rho)+$C$41*SQRT(Rho)&lt;_xlfn.NORM.S.INV($AC87),$AD87,0)))</f>
        <v/>
      </c>
      <c r="AG87" t="n">
        <v>81</v>
      </c>
      <c r="AH87" s="35" t="n">
        <v>0</v>
      </c>
    </row>
    <row r="88">
      <c r="A88" s="7">
        <f>IF('02_Buyers'!$A25="","",'02_Buyers'!$A25)</f>
        <v/>
      </c>
      <c r="B88" s="44">
        <f>IF($A88="",0,'02_Buyers'!$Z25)</f>
        <v/>
      </c>
      <c r="C88" s="50">
        <f>IF($A88="",0,'02_Buyers'!$AM25)</f>
        <v/>
      </c>
      <c r="D88" s="50">
        <f>IF($A88="",0,'02_Buyers'!$AN25)</f>
        <v/>
      </c>
      <c r="E88" s="50">
        <f>IF($A88="",0,'02_Buyers'!$AO25)</f>
        <v/>
      </c>
      <c r="F88" s="50">
        <f>IF($A88="",0,'02_Buyers'!$AP25)</f>
        <v/>
      </c>
      <c r="G88" s="45">
        <f>IF($A88="",0,'02_Buyers'!$V25)</f>
        <v/>
      </c>
      <c r="H88" s="45">
        <f>IF(OR($A88="",'02_Buyers'!$AC25=""),0,'02_Buyers'!$AC25)</f>
        <v/>
      </c>
      <c r="I88" s="45">
        <f>IF($A88="",0,IF(OR('02_Buyers'!$U25="LC_SIGHT",'02_Buyers'!$U25="LC_USANCE"),1,0))</f>
        <v/>
      </c>
      <c r="J88" s="7">
        <f>IF($A88="","",'02_Buyers'!$T25)</f>
        <v/>
      </c>
      <c r="K88" s="44">
        <f>IF($A88="",0,$B88*MIN(1,$C88*$J$6)*IF($I88=1,LGD_LC,MIN(1,LGD+$K$6))*(1-$E88))</f>
        <v/>
      </c>
      <c r="L88" s="44">
        <f>IF($A88="",0,$B88*MIN(1,$C88*$J$7)*IF($I88=1,LGD_LC,MIN(1,LGD+$K$7))*(1-$E88))</f>
        <v/>
      </c>
      <c r="M88" s="44">
        <f>IF($A88="",0,$B88*MIN(1,$C88*$J$8)*IF($I88=1,LGD_LC,MIN(1,LGD+$K$8))*(1-$E88))</f>
        <v/>
      </c>
      <c r="N88" s="44">
        <f>IF($A88="",0,$B88*MIN(1,$C88*$J$9)*IF($I88=1,LGD_LC,MIN(1,LGD+$K$9))*(1-$E88))</f>
        <v/>
      </c>
      <c r="O88" s="44">
        <f>IF($A88="",0,$B88*MIN(1,$C88*$J$10)*IF($I88=1,LGD_LC,MIN(1,LGD+$K$10))*(1-$E88))</f>
        <v/>
      </c>
      <c r="P88" s="44">
        <f>IF($A88="",0,$B88*MIN(1,$C88*$J$12)*IF($I88=1,LGD_LC,MIN(1,LGD+$K$12))*(1-$E88))</f>
        <v/>
      </c>
      <c r="Q88" s="44">
        <f>IF($A88="",0,$B88*(TSOFR3M+$H$6/10000+$F88)*$G88/DayBasis)</f>
        <v/>
      </c>
      <c r="R88" s="44">
        <f>IF($A88="",0,$B88*(TSOFR3M+$H$7/10000+$F88)*$G88/DayBasis)</f>
        <v/>
      </c>
      <c r="S88" s="44">
        <f>IF($A88="",0,$B88*(TSOFR3M+$H$8/10000+$F88)*$G88/DayBasis)</f>
        <v/>
      </c>
      <c r="T88" s="44">
        <f>IF($A88="",0,$B88*(TSOFR3M+$H$9/10000+$F88)*$G88/DayBasis)</f>
        <v/>
      </c>
      <c r="U88" s="44">
        <f>IF($A88="",0,$B88*(TSOFR3M+$H$10/10000+$F88)*$G88/DayBasis)</f>
        <v/>
      </c>
      <c r="V88" s="44">
        <f>IF($A88="",0,$B88*(TSOFR3M+$H$12/10000+$F88)*$G88/DayBasis)</f>
        <v/>
      </c>
      <c r="W88" s="44">
        <f>IF(OR($A88="",$M$6&lt;&gt;"Y",$O$6=""),0,IF($H88&gt;=$O$6,$B88*(TSOFR3M+$H$6/10000+$F88)*$N$6/DayBasis,0))</f>
        <v/>
      </c>
      <c r="X88" s="44">
        <f>IF(OR($A88="",$M$7&lt;&gt;"Y",$O$7=""),0,IF($H88&gt;=$O$7,$B88*(TSOFR3M+$H$7/10000+$F88)*$N$7/DayBasis,0))</f>
        <v/>
      </c>
      <c r="Y88" s="44">
        <f>IF(OR($A88="",$M$8&lt;&gt;"Y",$O$8=""),0,IF($H88&gt;=$O$8,$B88*(TSOFR3M+$H$8/10000+$F88)*$N$8/DayBasis,0))</f>
        <v/>
      </c>
      <c r="Z88" s="44">
        <f>IF(OR($A88="",$M$9&lt;&gt;"Y",$O$9=""),0,IF($H88&gt;=$O$9,$B88*(TSOFR3M+$H$9/10000+$F88)*$N$9/DayBasis,0))</f>
        <v/>
      </c>
      <c r="AA88" s="44">
        <f>IF(OR($A88="",$M$10&lt;&gt;"Y",$O$10=""),0,IF($H88&gt;=$O$10,$B88*(TSOFR3M+$H$10/10000+$F88)*$N$10/DayBasis,0))</f>
        <v/>
      </c>
      <c r="AB88" s="44">
        <f>IF(OR($A88="",$M$12&lt;&gt;"Y",$O$12=""),0,IF($H88&gt;=$O$12,$B88*(TSOFR3M+$H$12/10000+$F88)*$N$12/DayBasis,0))</f>
        <v/>
      </c>
      <c r="AC88" s="50">
        <f>IF($A88="",0,MIN(1,$C88*$C$39))</f>
        <v/>
      </c>
      <c r="AD88" s="44">
        <f>IF($A88="",0,$B88*IF($I88=1,LGD_LC,MIN(1,LGD+$C$40))*(1-$E88))</f>
        <v/>
      </c>
      <c r="AE88" s="44">
        <f>IF(OR($A88="",$B88&lt;=0,$AC88&lt;=0),0,IF($AC88&gt;=1,$AD88,IF(_xlfn.NORM.S.INV(RAND())*SQRT(1-Rho)+$C$41*SQRT(Rho)&lt;_xlfn.NORM.S.INV($AC88),$AD88,0)))</f>
        <v/>
      </c>
      <c r="AG88" t="n">
        <v>82</v>
      </c>
      <c r="AH88" s="35" t="n">
        <v>0</v>
      </c>
    </row>
    <row r="89">
      <c r="A89" s="7">
        <f>IF('02_Buyers'!$A26="","",'02_Buyers'!$A26)</f>
        <v/>
      </c>
      <c r="B89" s="44">
        <f>IF($A89="",0,'02_Buyers'!$Z26)</f>
        <v/>
      </c>
      <c r="C89" s="50">
        <f>IF($A89="",0,'02_Buyers'!$AM26)</f>
        <v/>
      </c>
      <c r="D89" s="50">
        <f>IF($A89="",0,'02_Buyers'!$AN26)</f>
        <v/>
      </c>
      <c r="E89" s="50">
        <f>IF($A89="",0,'02_Buyers'!$AO26)</f>
        <v/>
      </c>
      <c r="F89" s="50">
        <f>IF($A89="",0,'02_Buyers'!$AP26)</f>
        <v/>
      </c>
      <c r="G89" s="45">
        <f>IF($A89="",0,'02_Buyers'!$V26)</f>
        <v/>
      </c>
      <c r="H89" s="45">
        <f>IF(OR($A89="",'02_Buyers'!$AC26=""),0,'02_Buyers'!$AC26)</f>
        <v/>
      </c>
      <c r="I89" s="45">
        <f>IF($A89="",0,IF(OR('02_Buyers'!$U26="LC_SIGHT",'02_Buyers'!$U26="LC_USANCE"),1,0))</f>
        <v/>
      </c>
      <c r="J89" s="7">
        <f>IF($A89="","",'02_Buyers'!$T26)</f>
        <v/>
      </c>
      <c r="K89" s="44">
        <f>IF($A89="",0,$B89*MIN(1,$C89*$J$6)*IF($I89=1,LGD_LC,MIN(1,LGD+$K$6))*(1-$E89))</f>
        <v/>
      </c>
      <c r="L89" s="44">
        <f>IF($A89="",0,$B89*MIN(1,$C89*$J$7)*IF($I89=1,LGD_LC,MIN(1,LGD+$K$7))*(1-$E89))</f>
        <v/>
      </c>
      <c r="M89" s="44">
        <f>IF($A89="",0,$B89*MIN(1,$C89*$J$8)*IF($I89=1,LGD_LC,MIN(1,LGD+$K$8))*(1-$E89))</f>
        <v/>
      </c>
      <c r="N89" s="44">
        <f>IF($A89="",0,$B89*MIN(1,$C89*$J$9)*IF($I89=1,LGD_LC,MIN(1,LGD+$K$9))*(1-$E89))</f>
        <v/>
      </c>
      <c r="O89" s="44">
        <f>IF($A89="",0,$B89*MIN(1,$C89*$J$10)*IF($I89=1,LGD_LC,MIN(1,LGD+$K$10))*(1-$E89))</f>
        <v/>
      </c>
      <c r="P89" s="44">
        <f>IF($A89="",0,$B89*MIN(1,$C89*$J$12)*IF($I89=1,LGD_LC,MIN(1,LGD+$K$12))*(1-$E89))</f>
        <v/>
      </c>
      <c r="Q89" s="44">
        <f>IF($A89="",0,$B89*(TSOFR3M+$H$6/10000+$F89)*$G89/DayBasis)</f>
        <v/>
      </c>
      <c r="R89" s="44">
        <f>IF($A89="",0,$B89*(TSOFR3M+$H$7/10000+$F89)*$G89/DayBasis)</f>
        <v/>
      </c>
      <c r="S89" s="44">
        <f>IF($A89="",0,$B89*(TSOFR3M+$H$8/10000+$F89)*$G89/DayBasis)</f>
        <v/>
      </c>
      <c r="T89" s="44">
        <f>IF($A89="",0,$B89*(TSOFR3M+$H$9/10000+$F89)*$G89/DayBasis)</f>
        <v/>
      </c>
      <c r="U89" s="44">
        <f>IF($A89="",0,$B89*(TSOFR3M+$H$10/10000+$F89)*$G89/DayBasis)</f>
        <v/>
      </c>
      <c r="V89" s="44">
        <f>IF($A89="",0,$B89*(TSOFR3M+$H$12/10000+$F89)*$G89/DayBasis)</f>
        <v/>
      </c>
      <c r="W89" s="44">
        <f>IF(OR($A89="",$M$6&lt;&gt;"Y",$O$6=""),0,IF($H89&gt;=$O$6,$B89*(TSOFR3M+$H$6/10000+$F89)*$N$6/DayBasis,0))</f>
        <v/>
      </c>
      <c r="X89" s="44">
        <f>IF(OR($A89="",$M$7&lt;&gt;"Y",$O$7=""),0,IF($H89&gt;=$O$7,$B89*(TSOFR3M+$H$7/10000+$F89)*$N$7/DayBasis,0))</f>
        <v/>
      </c>
      <c r="Y89" s="44">
        <f>IF(OR($A89="",$M$8&lt;&gt;"Y",$O$8=""),0,IF($H89&gt;=$O$8,$B89*(TSOFR3M+$H$8/10000+$F89)*$N$8/DayBasis,0))</f>
        <v/>
      </c>
      <c r="Z89" s="44">
        <f>IF(OR($A89="",$M$9&lt;&gt;"Y",$O$9=""),0,IF($H89&gt;=$O$9,$B89*(TSOFR3M+$H$9/10000+$F89)*$N$9/DayBasis,0))</f>
        <v/>
      </c>
      <c r="AA89" s="44">
        <f>IF(OR($A89="",$M$10&lt;&gt;"Y",$O$10=""),0,IF($H89&gt;=$O$10,$B89*(TSOFR3M+$H$10/10000+$F89)*$N$10/DayBasis,0))</f>
        <v/>
      </c>
      <c r="AB89" s="44">
        <f>IF(OR($A89="",$M$12&lt;&gt;"Y",$O$12=""),0,IF($H89&gt;=$O$12,$B89*(TSOFR3M+$H$12/10000+$F89)*$N$12/DayBasis,0))</f>
        <v/>
      </c>
      <c r="AC89" s="50">
        <f>IF($A89="",0,MIN(1,$C89*$C$39))</f>
        <v/>
      </c>
      <c r="AD89" s="44">
        <f>IF($A89="",0,$B89*IF($I89=1,LGD_LC,MIN(1,LGD+$C$40))*(1-$E89))</f>
        <v/>
      </c>
      <c r="AE89" s="44">
        <f>IF(OR($A89="",$B89&lt;=0,$AC89&lt;=0),0,IF($AC89&gt;=1,$AD89,IF(_xlfn.NORM.S.INV(RAND())*SQRT(1-Rho)+$C$41*SQRT(Rho)&lt;_xlfn.NORM.S.INV($AC89),$AD89,0)))</f>
        <v/>
      </c>
      <c r="AG89" t="n">
        <v>83</v>
      </c>
      <c r="AH89" s="35" t="n">
        <v>0</v>
      </c>
    </row>
    <row r="90">
      <c r="A90" s="7">
        <f>IF('02_Buyers'!$A27="","",'02_Buyers'!$A27)</f>
        <v/>
      </c>
      <c r="B90" s="44">
        <f>IF($A90="",0,'02_Buyers'!$Z27)</f>
        <v/>
      </c>
      <c r="C90" s="50">
        <f>IF($A90="",0,'02_Buyers'!$AM27)</f>
        <v/>
      </c>
      <c r="D90" s="50">
        <f>IF($A90="",0,'02_Buyers'!$AN27)</f>
        <v/>
      </c>
      <c r="E90" s="50">
        <f>IF($A90="",0,'02_Buyers'!$AO27)</f>
        <v/>
      </c>
      <c r="F90" s="50">
        <f>IF($A90="",0,'02_Buyers'!$AP27)</f>
        <v/>
      </c>
      <c r="G90" s="45">
        <f>IF($A90="",0,'02_Buyers'!$V27)</f>
        <v/>
      </c>
      <c r="H90" s="45">
        <f>IF(OR($A90="",'02_Buyers'!$AC27=""),0,'02_Buyers'!$AC27)</f>
        <v/>
      </c>
      <c r="I90" s="45">
        <f>IF($A90="",0,IF(OR('02_Buyers'!$U27="LC_SIGHT",'02_Buyers'!$U27="LC_USANCE"),1,0))</f>
        <v/>
      </c>
      <c r="J90" s="7">
        <f>IF($A90="","",'02_Buyers'!$T27)</f>
        <v/>
      </c>
      <c r="K90" s="44">
        <f>IF($A90="",0,$B90*MIN(1,$C90*$J$6)*IF($I90=1,LGD_LC,MIN(1,LGD+$K$6))*(1-$E90))</f>
        <v/>
      </c>
      <c r="L90" s="44">
        <f>IF($A90="",0,$B90*MIN(1,$C90*$J$7)*IF($I90=1,LGD_LC,MIN(1,LGD+$K$7))*(1-$E90))</f>
        <v/>
      </c>
      <c r="M90" s="44">
        <f>IF($A90="",0,$B90*MIN(1,$C90*$J$8)*IF($I90=1,LGD_LC,MIN(1,LGD+$K$8))*(1-$E90))</f>
        <v/>
      </c>
      <c r="N90" s="44">
        <f>IF($A90="",0,$B90*MIN(1,$C90*$J$9)*IF($I90=1,LGD_LC,MIN(1,LGD+$K$9))*(1-$E90))</f>
        <v/>
      </c>
      <c r="O90" s="44">
        <f>IF($A90="",0,$B90*MIN(1,$C90*$J$10)*IF($I90=1,LGD_LC,MIN(1,LGD+$K$10))*(1-$E90))</f>
        <v/>
      </c>
      <c r="P90" s="44">
        <f>IF($A90="",0,$B90*MIN(1,$C90*$J$12)*IF($I90=1,LGD_LC,MIN(1,LGD+$K$12))*(1-$E90))</f>
        <v/>
      </c>
      <c r="Q90" s="44">
        <f>IF($A90="",0,$B90*(TSOFR3M+$H$6/10000+$F90)*$G90/DayBasis)</f>
        <v/>
      </c>
      <c r="R90" s="44">
        <f>IF($A90="",0,$B90*(TSOFR3M+$H$7/10000+$F90)*$G90/DayBasis)</f>
        <v/>
      </c>
      <c r="S90" s="44">
        <f>IF($A90="",0,$B90*(TSOFR3M+$H$8/10000+$F90)*$G90/DayBasis)</f>
        <v/>
      </c>
      <c r="T90" s="44">
        <f>IF($A90="",0,$B90*(TSOFR3M+$H$9/10000+$F90)*$G90/DayBasis)</f>
        <v/>
      </c>
      <c r="U90" s="44">
        <f>IF($A90="",0,$B90*(TSOFR3M+$H$10/10000+$F90)*$G90/DayBasis)</f>
        <v/>
      </c>
      <c r="V90" s="44">
        <f>IF($A90="",0,$B90*(TSOFR3M+$H$12/10000+$F90)*$G90/DayBasis)</f>
        <v/>
      </c>
      <c r="W90" s="44">
        <f>IF(OR($A90="",$M$6&lt;&gt;"Y",$O$6=""),0,IF($H90&gt;=$O$6,$B90*(TSOFR3M+$H$6/10000+$F90)*$N$6/DayBasis,0))</f>
        <v/>
      </c>
      <c r="X90" s="44">
        <f>IF(OR($A90="",$M$7&lt;&gt;"Y",$O$7=""),0,IF($H90&gt;=$O$7,$B90*(TSOFR3M+$H$7/10000+$F90)*$N$7/DayBasis,0))</f>
        <v/>
      </c>
      <c r="Y90" s="44">
        <f>IF(OR($A90="",$M$8&lt;&gt;"Y",$O$8=""),0,IF($H90&gt;=$O$8,$B90*(TSOFR3M+$H$8/10000+$F90)*$N$8/DayBasis,0))</f>
        <v/>
      </c>
      <c r="Z90" s="44">
        <f>IF(OR($A90="",$M$9&lt;&gt;"Y",$O$9=""),0,IF($H90&gt;=$O$9,$B90*(TSOFR3M+$H$9/10000+$F90)*$N$9/DayBasis,0))</f>
        <v/>
      </c>
      <c r="AA90" s="44">
        <f>IF(OR($A90="",$M$10&lt;&gt;"Y",$O$10=""),0,IF($H90&gt;=$O$10,$B90*(TSOFR3M+$H$10/10000+$F90)*$N$10/DayBasis,0))</f>
        <v/>
      </c>
      <c r="AB90" s="44">
        <f>IF(OR($A90="",$M$12&lt;&gt;"Y",$O$12=""),0,IF($H90&gt;=$O$12,$B90*(TSOFR3M+$H$12/10000+$F90)*$N$12/DayBasis,0))</f>
        <v/>
      </c>
      <c r="AC90" s="50">
        <f>IF($A90="",0,MIN(1,$C90*$C$39))</f>
        <v/>
      </c>
      <c r="AD90" s="44">
        <f>IF($A90="",0,$B90*IF($I90=1,LGD_LC,MIN(1,LGD+$C$40))*(1-$E90))</f>
        <v/>
      </c>
      <c r="AE90" s="44">
        <f>IF(OR($A90="",$B90&lt;=0,$AC90&lt;=0),0,IF($AC90&gt;=1,$AD90,IF(_xlfn.NORM.S.INV(RAND())*SQRT(1-Rho)+$C$41*SQRT(Rho)&lt;_xlfn.NORM.S.INV($AC90),$AD90,0)))</f>
        <v/>
      </c>
      <c r="AG90" t="n">
        <v>84</v>
      </c>
      <c r="AH90" s="35" t="n">
        <v>0</v>
      </c>
    </row>
    <row r="91">
      <c r="A91" s="7">
        <f>IF('02_Buyers'!$A28="","",'02_Buyers'!$A28)</f>
        <v/>
      </c>
      <c r="B91" s="44">
        <f>IF($A91="",0,'02_Buyers'!$Z28)</f>
        <v/>
      </c>
      <c r="C91" s="50">
        <f>IF($A91="",0,'02_Buyers'!$AM28)</f>
        <v/>
      </c>
      <c r="D91" s="50">
        <f>IF($A91="",0,'02_Buyers'!$AN28)</f>
        <v/>
      </c>
      <c r="E91" s="50">
        <f>IF($A91="",0,'02_Buyers'!$AO28)</f>
        <v/>
      </c>
      <c r="F91" s="50">
        <f>IF($A91="",0,'02_Buyers'!$AP28)</f>
        <v/>
      </c>
      <c r="G91" s="45">
        <f>IF($A91="",0,'02_Buyers'!$V28)</f>
        <v/>
      </c>
      <c r="H91" s="45">
        <f>IF(OR($A91="",'02_Buyers'!$AC28=""),0,'02_Buyers'!$AC28)</f>
        <v/>
      </c>
      <c r="I91" s="45">
        <f>IF($A91="",0,IF(OR('02_Buyers'!$U28="LC_SIGHT",'02_Buyers'!$U28="LC_USANCE"),1,0))</f>
        <v/>
      </c>
      <c r="J91" s="7">
        <f>IF($A91="","",'02_Buyers'!$T28)</f>
        <v/>
      </c>
      <c r="K91" s="44">
        <f>IF($A91="",0,$B91*MIN(1,$C91*$J$6)*IF($I91=1,LGD_LC,MIN(1,LGD+$K$6))*(1-$E91))</f>
        <v/>
      </c>
      <c r="L91" s="44">
        <f>IF($A91="",0,$B91*MIN(1,$C91*$J$7)*IF($I91=1,LGD_LC,MIN(1,LGD+$K$7))*(1-$E91))</f>
        <v/>
      </c>
      <c r="M91" s="44">
        <f>IF($A91="",0,$B91*MIN(1,$C91*$J$8)*IF($I91=1,LGD_LC,MIN(1,LGD+$K$8))*(1-$E91))</f>
        <v/>
      </c>
      <c r="N91" s="44">
        <f>IF($A91="",0,$B91*MIN(1,$C91*$J$9)*IF($I91=1,LGD_LC,MIN(1,LGD+$K$9))*(1-$E91))</f>
        <v/>
      </c>
      <c r="O91" s="44">
        <f>IF($A91="",0,$B91*MIN(1,$C91*$J$10)*IF($I91=1,LGD_LC,MIN(1,LGD+$K$10))*(1-$E91))</f>
        <v/>
      </c>
      <c r="P91" s="44">
        <f>IF($A91="",0,$B91*MIN(1,$C91*$J$12)*IF($I91=1,LGD_LC,MIN(1,LGD+$K$12))*(1-$E91))</f>
        <v/>
      </c>
      <c r="Q91" s="44">
        <f>IF($A91="",0,$B91*(TSOFR3M+$H$6/10000+$F91)*$G91/DayBasis)</f>
        <v/>
      </c>
      <c r="R91" s="44">
        <f>IF($A91="",0,$B91*(TSOFR3M+$H$7/10000+$F91)*$G91/DayBasis)</f>
        <v/>
      </c>
      <c r="S91" s="44">
        <f>IF($A91="",0,$B91*(TSOFR3M+$H$8/10000+$F91)*$G91/DayBasis)</f>
        <v/>
      </c>
      <c r="T91" s="44">
        <f>IF($A91="",0,$B91*(TSOFR3M+$H$9/10000+$F91)*$G91/DayBasis)</f>
        <v/>
      </c>
      <c r="U91" s="44">
        <f>IF($A91="",0,$B91*(TSOFR3M+$H$10/10000+$F91)*$G91/DayBasis)</f>
        <v/>
      </c>
      <c r="V91" s="44">
        <f>IF($A91="",0,$B91*(TSOFR3M+$H$12/10000+$F91)*$G91/DayBasis)</f>
        <v/>
      </c>
      <c r="W91" s="44">
        <f>IF(OR($A91="",$M$6&lt;&gt;"Y",$O$6=""),0,IF($H91&gt;=$O$6,$B91*(TSOFR3M+$H$6/10000+$F91)*$N$6/DayBasis,0))</f>
        <v/>
      </c>
      <c r="X91" s="44">
        <f>IF(OR($A91="",$M$7&lt;&gt;"Y",$O$7=""),0,IF($H91&gt;=$O$7,$B91*(TSOFR3M+$H$7/10000+$F91)*$N$7/DayBasis,0))</f>
        <v/>
      </c>
      <c r="Y91" s="44">
        <f>IF(OR($A91="",$M$8&lt;&gt;"Y",$O$8=""),0,IF($H91&gt;=$O$8,$B91*(TSOFR3M+$H$8/10000+$F91)*$N$8/DayBasis,0))</f>
        <v/>
      </c>
      <c r="Z91" s="44">
        <f>IF(OR($A91="",$M$9&lt;&gt;"Y",$O$9=""),0,IF($H91&gt;=$O$9,$B91*(TSOFR3M+$H$9/10000+$F91)*$N$9/DayBasis,0))</f>
        <v/>
      </c>
      <c r="AA91" s="44">
        <f>IF(OR($A91="",$M$10&lt;&gt;"Y",$O$10=""),0,IF($H91&gt;=$O$10,$B91*(TSOFR3M+$H$10/10000+$F91)*$N$10/DayBasis,0))</f>
        <v/>
      </c>
      <c r="AB91" s="44">
        <f>IF(OR($A91="",$M$12&lt;&gt;"Y",$O$12=""),0,IF($H91&gt;=$O$12,$B91*(TSOFR3M+$H$12/10000+$F91)*$N$12/DayBasis,0))</f>
        <v/>
      </c>
      <c r="AC91" s="50">
        <f>IF($A91="",0,MIN(1,$C91*$C$39))</f>
        <v/>
      </c>
      <c r="AD91" s="44">
        <f>IF($A91="",0,$B91*IF($I91=1,LGD_LC,MIN(1,LGD+$C$40))*(1-$E91))</f>
        <v/>
      </c>
      <c r="AE91" s="44">
        <f>IF(OR($A91="",$B91&lt;=0,$AC91&lt;=0),0,IF($AC91&gt;=1,$AD91,IF(_xlfn.NORM.S.INV(RAND())*SQRT(1-Rho)+$C$41*SQRT(Rho)&lt;_xlfn.NORM.S.INV($AC91),$AD91,0)))</f>
        <v/>
      </c>
      <c r="AG91" t="n">
        <v>85</v>
      </c>
      <c r="AH91" s="35" t="n">
        <v>0</v>
      </c>
    </row>
    <row r="92">
      <c r="A92" s="7">
        <f>IF('02_Buyers'!$A29="","",'02_Buyers'!$A29)</f>
        <v/>
      </c>
      <c r="B92" s="44">
        <f>IF($A92="",0,'02_Buyers'!$Z29)</f>
        <v/>
      </c>
      <c r="C92" s="50">
        <f>IF($A92="",0,'02_Buyers'!$AM29)</f>
        <v/>
      </c>
      <c r="D92" s="50">
        <f>IF($A92="",0,'02_Buyers'!$AN29)</f>
        <v/>
      </c>
      <c r="E92" s="50">
        <f>IF($A92="",0,'02_Buyers'!$AO29)</f>
        <v/>
      </c>
      <c r="F92" s="50">
        <f>IF($A92="",0,'02_Buyers'!$AP29)</f>
        <v/>
      </c>
      <c r="G92" s="45">
        <f>IF($A92="",0,'02_Buyers'!$V29)</f>
        <v/>
      </c>
      <c r="H92" s="45">
        <f>IF(OR($A92="",'02_Buyers'!$AC29=""),0,'02_Buyers'!$AC29)</f>
        <v/>
      </c>
      <c r="I92" s="45">
        <f>IF($A92="",0,IF(OR('02_Buyers'!$U29="LC_SIGHT",'02_Buyers'!$U29="LC_USANCE"),1,0))</f>
        <v/>
      </c>
      <c r="J92" s="7">
        <f>IF($A92="","",'02_Buyers'!$T29)</f>
        <v/>
      </c>
      <c r="K92" s="44">
        <f>IF($A92="",0,$B92*MIN(1,$C92*$J$6)*IF($I92=1,LGD_LC,MIN(1,LGD+$K$6))*(1-$E92))</f>
        <v/>
      </c>
      <c r="L92" s="44">
        <f>IF($A92="",0,$B92*MIN(1,$C92*$J$7)*IF($I92=1,LGD_LC,MIN(1,LGD+$K$7))*(1-$E92))</f>
        <v/>
      </c>
      <c r="M92" s="44">
        <f>IF($A92="",0,$B92*MIN(1,$C92*$J$8)*IF($I92=1,LGD_LC,MIN(1,LGD+$K$8))*(1-$E92))</f>
        <v/>
      </c>
      <c r="N92" s="44">
        <f>IF($A92="",0,$B92*MIN(1,$C92*$J$9)*IF($I92=1,LGD_LC,MIN(1,LGD+$K$9))*(1-$E92))</f>
        <v/>
      </c>
      <c r="O92" s="44">
        <f>IF($A92="",0,$B92*MIN(1,$C92*$J$10)*IF($I92=1,LGD_LC,MIN(1,LGD+$K$10))*(1-$E92))</f>
        <v/>
      </c>
      <c r="P92" s="44">
        <f>IF($A92="",0,$B92*MIN(1,$C92*$J$12)*IF($I92=1,LGD_LC,MIN(1,LGD+$K$12))*(1-$E92))</f>
        <v/>
      </c>
      <c r="Q92" s="44">
        <f>IF($A92="",0,$B92*(TSOFR3M+$H$6/10000+$F92)*$G92/DayBasis)</f>
        <v/>
      </c>
      <c r="R92" s="44">
        <f>IF($A92="",0,$B92*(TSOFR3M+$H$7/10000+$F92)*$G92/DayBasis)</f>
        <v/>
      </c>
      <c r="S92" s="44">
        <f>IF($A92="",0,$B92*(TSOFR3M+$H$8/10000+$F92)*$G92/DayBasis)</f>
        <v/>
      </c>
      <c r="T92" s="44">
        <f>IF($A92="",0,$B92*(TSOFR3M+$H$9/10000+$F92)*$G92/DayBasis)</f>
        <v/>
      </c>
      <c r="U92" s="44">
        <f>IF($A92="",0,$B92*(TSOFR3M+$H$10/10000+$F92)*$G92/DayBasis)</f>
        <v/>
      </c>
      <c r="V92" s="44">
        <f>IF($A92="",0,$B92*(TSOFR3M+$H$12/10000+$F92)*$G92/DayBasis)</f>
        <v/>
      </c>
      <c r="W92" s="44">
        <f>IF(OR($A92="",$M$6&lt;&gt;"Y",$O$6=""),0,IF($H92&gt;=$O$6,$B92*(TSOFR3M+$H$6/10000+$F92)*$N$6/DayBasis,0))</f>
        <v/>
      </c>
      <c r="X92" s="44">
        <f>IF(OR($A92="",$M$7&lt;&gt;"Y",$O$7=""),0,IF($H92&gt;=$O$7,$B92*(TSOFR3M+$H$7/10000+$F92)*$N$7/DayBasis,0))</f>
        <v/>
      </c>
      <c r="Y92" s="44">
        <f>IF(OR($A92="",$M$8&lt;&gt;"Y",$O$8=""),0,IF($H92&gt;=$O$8,$B92*(TSOFR3M+$H$8/10000+$F92)*$N$8/DayBasis,0))</f>
        <v/>
      </c>
      <c r="Z92" s="44">
        <f>IF(OR($A92="",$M$9&lt;&gt;"Y",$O$9=""),0,IF($H92&gt;=$O$9,$B92*(TSOFR3M+$H$9/10000+$F92)*$N$9/DayBasis,0))</f>
        <v/>
      </c>
      <c r="AA92" s="44">
        <f>IF(OR($A92="",$M$10&lt;&gt;"Y",$O$10=""),0,IF($H92&gt;=$O$10,$B92*(TSOFR3M+$H$10/10000+$F92)*$N$10/DayBasis,0))</f>
        <v/>
      </c>
      <c r="AB92" s="44">
        <f>IF(OR($A92="",$M$12&lt;&gt;"Y",$O$12=""),0,IF($H92&gt;=$O$12,$B92*(TSOFR3M+$H$12/10000+$F92)*$N$12/DayBasis,0))</f>
        <v/>
      </c>
      <c r="AC92" s="50">
        <f>IF($A92="",0,MIN(1,$C92*$C$39))</f>
        <v/>
      </c>
      <c r="AD92" s="44">
        <f>IF($A92="",0,$B92*IF($I92=1,LGD_LC,MIN(1,LGD+$C$40))*(1-$E92))</f>
        <v/>
      </c>
      <c r="AE92" s="44">
        <f>IF(OR($A92="",$B92&lt;=0,$AC92&lt;=0),0,IF($AC92&gt;=1,$AD92,IF(_xlfn.NORM.S.INV(RAND())*SQRT(1-Rho)+$C$41*SQRT(Rho)&lt;_xlfn.NORM.S.INV($AC92),$AD92,0)))</f>
        <v/>
      </c>
      <c r="AG92" t="n">
        <v>86</v>
      </c>
      <c r="AH92" s="35" t="n">
        <v>0</v>
      </c>
    </row>
    <row r="93">
      <c r="A93" s="7">
        <f>IF('02_Buyers'!$A30="","",'02_Buyers'!$A30)</f>
        <v/>
      </c>
      <c r="B93" s="44">
        <f>IF($A93="",0,'02_Buyers'!$Z30)</f>
        <v/>
      </c>
      <c r="C93" s="50">
        <f>IF($A93="",0,'02_Buyers'!$AM30)</f>
        <v/>
      </c>
      <c r="D93" s="50">
        <f>IF($A93="",0,'02_Buyers'!$AN30)</f>
        <v/>
      </c>
      <c r="E93" s="50">
        <f>IF($A93="",0,'02_Buyers'!$AO30)</f>
        <v/>
      </c>
      <c r="F93" s="50">
        <f>IF($A93="",0,'02_Buyers'!$AP30)</f>
        <v/>
      </c>
      <c r="G93" s="45">
        <f>IF($A93="",0,'02_Buyers'!$V30)</f>
        <v/>
      </c>
      <c r="H93" s="45">
        <f>IF(OR($A93="",'02_Buyers'!$AC30=""),0,'02_Buyers'!$AC30)</f>
        <v/>
      </c>
      <c r="I93" s="45">
        <f>IF($A93="",0,IF(OR('02_Buyers'!$U30="LC_SIGHT",'02_Buyers'!$U30="LC_USANCE"),1,0))</f>
        <v/>
      </c>
      <c r="J93" s="7">
        <f>IF($A93="","",'02_Buyers'!$T30)</f>
        <v/>
      </c>
      <c r="K93" s="44">
        <f>IF($A93="",0,$B93*MIN(1,$C93*$J$6)*IF($I93=1,LGD_LC,MIN(1,LGD+$K$6))*(1-$E93))</f>
        <v/>
      </c>
      <c r="L93" s="44">
        <f>IF($A93="",0,$B93*MIN(1,$C93*$J$7)*IF($I93=1,LGD_LC,MIN(1,LGD+$K$7))*(1-$E93))</f>
        <v/>
      </c>
      <c r="M93" s="44">
        <f>IF($A93="",0,$B93*MIN(1,$C93*$J$8)*IF($I93=1,LGD_LC,MIN(1,LGD+$K$8))*(1-$E93))</f>
        <v/>
      </c>
      <c r="N93" s="44">
        <f>IF($A93="",0,$B93*MIN(1,$C93*$J$9)*IF($I93=1,LGD_LC,MIN(1,LGD+$K$9))*(1-$E93))</f>
        <v/>
      </c>
      <c r="O93" s="44">
        <f>IF($A93="",0,$B93*MIN(1,$C93*$J$10)*IF($I93=1,LGD_LC,MIN(1,LGD+$K$10))*(1-$E93))</f>
        <v/>
      </c>
      <c r="P93" s="44">
        <f>IF($A93="",0,$B93*MIN(1,$C93*$J$12)*IF($I93=1,LGD_LC,MIN(1,LGD+$K$12))*(1-$E93))</f>
        <v/>
      </c>
      <c r="Q93" s="44">
        <f>IF($A93="",0,$B93*(TSOFR3M+$H$6/10000+$F93)*$G93/DayBasis)</f>
        <v/>
      </c>
      <c r="R93" s="44">
        <f>IF($A93="",0,$B93*(TSOFR3M+$H$7/10000+$F93)*$G93/DayBasis)</f>
        <v/>
      </c>
      <c r="S93" s="44">
        <f>IF($A93="",0,$B93*(TSOFR3M+$H$8/10000+$F93)*$G93/DayBasis)</f>
        <v/>
      </c>
      <c r="T93" s="44">
        <f>IF($A93="",0,$B93*(TSOFR3M+$H$9/10000+$F93)*$G93/DayBasis)</f>
        <v/>
      </c>
      <c r="U93" s="44">
        <f>IF($A93="",0,$B93*(TSOFR3M+$H$10/10000+$F93)*$G93/DayBasis)</f>
        <v/>
      </c>
      <c r="V93" s="44">
        <f>IF($A93="",0,$B93*(TSOFR3M+$H$12/10000+$F93)*$G93/DayBasis)</f>
        <v/>
      </c>
      <c r="W93" s="44">
        <f>IF(OR($A93="",$M$6&lt;&gt;"Y",$O$6=""),0,IF($H93&gt;=$O$6,$B93*(TSOFR3M+$H$6/10000+$F93)*$N$6/DayBasis,0))</f>
        <v/>
      </c>
      <c r="X93" s="44">
        <f>IF(OR($A93="",$M$7&lt;&gt;"Y",$O$7=""),0,IF($H93&gt;=$O$7,$B93*(TSOFR3M+$H$7/10000+$F93)*$N$7/DayBasis,0))</f>
        <v/>
      </c>
      <c r="Y93" s="44">
        <f>IF(OR($A93="",$M$8&lt;&gt;"Y",$O$8=""),0,IF($H93&gt;=$O$8,$B93*(TSOFR3M+$H$8/10000+$F93)*$N$8/DayBasis,0))</f>
        <v/>
      </c>
      <c r="Z93" s="44">
        <f>IF(OR($A93="",$M$9&lt;&gt;"Y",$O$9=""),0,IF($H93&gt;=$O$9,$B93*(TSOFR3M+$H$9/10000+$F93)*$N$9/DayBasis,0))</f>
        <v/>
      </c>
      <c r="AA93" s="44">
        <f>IF(OR($A93="",$M$10&lt;&gt;"Y",$O$10=""),0,IF($H93&gt;=$O$10,$B93*(TSOFR3M+$H$10/10000+$F93)*$N$10/DayBasis,0))</f>
        <v/>
      </c>
      <c r="AB93" s="44">
        <f>IF(OR($A93="",$M$12&lt;&gt;"Y",$O$12=""),0,IF($H93&gt;=$O$12,$B93*(TSOFR3M+$H$12/10000+$F93)*$N$12/DayBasis,0))</f>
        <v/>
      </c>
      <c r="AC93" s="50">
        <f>IF($A93="",0,MIN(1,$C93*$C$39))</f>
        <v/>
      </c>
      <c r="AD93" s="44">
        <f>IF($A93="",0,$B93*IF($I93=1,LGD_LC,MIN(1,LGD+$C$40))*(1-$E93))</f>
        <v/>
      </c>
      <c r="AE93" s="44">
        <f>IF(OR($A93="",$B93&lt;=0,$AC93&lt;=0),0,IF($AC93&gt;=1,$AD93,IF(_xlfn.NORM.S.INV(RAND())*SQRT(1-Rho)+$C$41*SQRT(Rho)&lt;_xlfn.NORM.S.INV($AC93),$AD93,0)))</f>
        <v/>
      </c>
      <c r="AG93" t="n">
        <v>87</v>
      </c>
      <c r="AH93" s="35" t="n">
        <v>0</v>
      </c>
    </row>
    <row r="94">
      <c r="A94" s="7">
        <f>IF('02_Buyers'!$A31="","",'02_Buyers'!$A31)</f>
        <v/>
      </c>
      <c r="B94" s="44">
        <f>IF($A94="",0,'02_Buyers'!$Z31)</f>
        <v/>
      </c>
      <c r="C94" s="50">
        <f>IF($A94="",0,'02_Buyers'!$AM31)</f>
        <v/>
      </c>
      <c r="D94" s="50">
        <f>IF($A94="",0,'02_Buyers'!$AN31)</f>
        <v/>
      </c>
      <c r="E94" s="50">
        <f>IF($A94="",0,'02_Buyers'!$AO31)</f>
        <v/>
      </c>
      <c r="F94" s="50">
        <f>IF($A94="",0,'02_Buyers'!$AP31)</f>
        <v/>
      </c>
      <c r="G94" s="45">
        <f>IF($A94="",0,'02_Buyers'!$V31)</f>
        <v/>
      </c>
      <c r="H94" s="45">
        <f>IF(OR($A94="",'02_Buyers'!$AC31=""),0,'02_Buyers'!$AC31)</f>
        <v/>
      </c>
      <c r="I94" s="45">
        <f>IF($A94="",0,IF(OR('02_Buyers'!$U31="LC_SIGHT",'02_Buyers'!$U31="LC_USANCE"),1,0))</f>
        <v/>
      </c>
      <c r="J94" s="7">
        <f>IF($A94="","",'02_Buyers'!$T31)</f>
        <v/>
      </c>
      <c r="K94" s="44">
        <f>IF($A94="",0,$B94*MIN(1,$C94*$J$6)*IF($I94=1,LGD_LC,MIN(1,LGD+$K$6))*(1-$E94))</f>
        <v/>
      </c>
      <c r="L94" s="44">
        <f>IF($A94="",0,$B94*MIN(1,$C94*$J$7)*IF($I94=1,LGD_LC,MIN(1,LGD+$K$7))*(1-$E94))</f>
        <v/>
      </c>
      <c r="M94" s="44">
        <f>IF($A94="",0,$B94*MIN(1,$C94*$J$8)*IF($I94=1,LGD_LC,MIN(1,LGD+$K$8))*(1-$E94))</f>
        <v/>
      </c>
      <c r="N94" s="44">
        <f>IF($A94="",0,$B94*MIN(1,$C94*$J$9)*IF($I94=1,LGD_LC,MIN(1,LGD+$K$9))*(1-$E94))</f>
        <v/>
      </c>
      <c r="O94" s="44">
        <f>IF($A94="",0,$B94*MIN(1,$C94*$J$10)*IF($I94=1,LGD_LC,MIN(1,LGD+$K$10))*(1-$E94))</f>
        <v/>
      </c>
      <c r="P94" s="44">
        <f>IF($A94="",0,$B94*MIN(1,$C94*$J$12)*IF($I94=1,LGD_LC,MIN(1,LGD+$K$12))*(1-$E94))</f>
        <v/>
      </c>
      <c r="Q94" s="44">
        <f>IF($A94="",0,$B94*(TSOFR3M+$H$6/10000+$F94)*$G94/DayBasis)</f>
        <v/>
      </c>
      <c r="R94" s="44">
        <f>IF($A94="",0,$B94*(TSOFR3M+$H$7/10000+$F94)*$G94/DayBasis)</f>
        <v/>
      </c>
      <c r="S94" s="44">
        <f>IF($A94="",0,$B94*(TSOFR3M+$H$8/10000+$F94)*$G94/DayBasis)</f>
        <v/>
      </c>
      <c r="T94" s="44">
        <f>IF($A94="",0,$B94*(TSOFR3M+$H$9/10000+$F94)*$G94/DayBasis)</f>
        <v/>
      </c>
      <c r="U94" s="44">
        <f>IF($A94="",0,$B94*(TSOFR3M+$H$10/10000+$F94)*$G94/DayBasis)</f>
        <v/>
      </c>
      <c r="V94" s="44">
        <f>IF($A94="",0,$B94*(TSOFR3M+$H$12/10000+$F94)*$G94/DayBasis)</f>
        <v/>
      </c>
      <c r="W94" s="44">
        <f>IF(OR($A94="",$M$6&lt;&gt;"Y",$O$6=""),0,IF($H94&gt;=$O$6,$B94*(TSOFR3M+$H$6/10000+$F94)*$N$6/DayBasis,0))</f>
        <v/>
      </c>
      <c r="X94" s="44">
        <f>IF(OR($A94="",$M$7&lt;&gt;"Y",$O$7=""),0,IF($H94&gt;=$O$7,$B94*(TSOFR3M+$H$7/10000+$F94)*$N$7/DayBasis,0))</f>
        <v/>
      </c>
      <c r="Y94" s="44">
        <f>IF(OR($A94="",$M$8&lt;&gt;"Y",$O$8=""),0,IF($H94&gt;=$O$8,$B94*(TSOFR3M+$H$8/10000+$F94)*$N$8/DayBasis,0))</f>
        <v/>
      </c>
      <c r="Z94" s="44">
        <f>IF(OR($A94="",$M$9&lt;&gt;"Y",$O$9=""),0,IF($H94&gt;=$O$9,$B94*(TSOFR3M+$H$9/10000+$F94)*$N$9/DayBasis,0))</f>
        <v/>
      </c>
      <c r="AA94" s="44">
        <f>IF(OR($A94="",$M$10&lt;&gt;"Y",$O$10=""),0,IF($H94&gt;=$O$10,$B94*(TSOFR3M+$H$10/10000+$F94)*$N$10/DayBasis,0))</f>
        <v/>
      </c>
      <c r="AB94" s="44">
        <f>IF(OR($A94="",$M$12&lt;&gt;"Y",$O$12=""),0,IF($H94&gt;=$O$12,$B94*(TSOFR3M+$H$12/10000+$F94)*$N$12/DayBasis,0))</f>
        <v/>
      </c>
      <c r="AC94" s="50">
        <f>IF($A94="",0,MIN(1,$C94*$C$39))</f>
        <v/>
      </c>
      <c r="AD94" s="44">
        <f>IF($A94="",0,$B94*IF($I94=1,LGD_LC,MIN(1,LGD+$C$40))*(1-$E94))</f>
        <v/>
      </c>
      <c r="AE94" s="44">
        <f>IF(OR($A94="",$B94&lt;=0,$AC94&lt;=0),0,IF($AC94&gt;=1,$AD94,IF(_xlfn.NORM.S.INV(RAND())*SQRT(1-Rho)+$C$41*SQRT(Rho)&lt;_xlfn.NORM.S.INV($AC94),$AD94,0)))</f>
        <v/>
      </c>
      <c r="AG94" t="n">
        <v>88</v>
      </c>
      <c r="AH94" s="35" t="n">
        <v>0</v>
      </c>
    </row>
    <row r="95">
      <c r="A95" s="7">
        <f>IF('02_Buyers'!$A32="","",'02_Buyers'!$A32)</f>
        <v/>
      </c>
      <c r="B95" s="44">
        <f>IF($A95="",0,'02_Buyers'!$Z32)</f>
        <v/>
      </c>
      <c r="C95" s="50">
        <f>IF($A95="",0,'02_Buyers'!$AM32)</f>
        <v/>
      </c>
      <c r="D95" s="50">
        <f>IF($A95="",0,'02_Buyers'!$AN32)</f>
        <v/>
      </c>
      <c r="E95" s="50">
        <f>IF($A95="",0,'02_Buyers'!$AO32)</f>
        <v/>
      </c>
      <c r="F95" s="50">
        <f>IF($A95="",0,'02_Buyers'!$AP32)</f>
        <v/>
      </c>
      <c r="G95" s="45">
        <f>IF($A95="",0,'02_Buyers'!$V32)</f>
        <v/>
      </c>
      <c r="H95" s="45">
        <f>IF(OR($A95="",'02_Buyers'!$AC32=""),0,'02_Buyers'!$AC32)</f>
        <v/>
      </c>
      <c r="I95" s="45">
        <f>IF($A95="",0,IF(OR('02_Buyers'!$U32="LC_SIGHT",'02_Buyers'!$U32="LC_USANCE"),1,0))</f>
        <v/>
      </c>
      <c r="J95" s="7">
        <f>IF($A95="","",'02_Buyers'!$T32)</f>
        <v/>
      </c>
      <c r="K95" s="44">
        <f>IF($A95="",0,$B95*MIN(1,$C95*$J$6)*IF($I95=1,LGD_LC,MIN(1,LGD+$K$6))*(1-$E95))</f>
        <v/>
      </c>
      <c r="L95" s="44">
        <f>IF($A95="",0,$B95*MIN(1,$C95*$J$7)*IF($I95=1,LGD_LC,MIN(1,LGD+$K$7))*(1-$E95))</f>
        <v/>
      </c>
      <c r="M95" s="44">
        <f>IF($A95="",0,$B95*MIN(1,$C95*$J$8)*IF($I95=1,LGD_LC,MIN(1,LGD+$K$8))*(1-$E95))</f>
        <v/>
      </c>
      <c r="N95" s="44">
        <f>IF($A95="",0,$B95*MIN(1,$C95*$J$9)*IF($I95=1,LGD_LC,MIN(1,LGD+$K$9))*(1-$E95))</f>
        <v/>
      </c>
      <c r="O95" s="44">
        <f>IF($A95="",0,$B95*MIN(1,$C95*$J$10)*IF($I95=1,LGD_LC,MIN(1,LGD+$K$10))*(1-$E95))</f>
        <v/>
      </c>
      <c r="P95" s="44">
        <f>IF($A95="",0,$B95*MIN(1,$C95*$J$12)*IF($I95=1,LGD_LC,MIN(1,LGD+$K$12))*(1-$E95))</f>
        <v/>
      </c>
      <c r="Q95" s="44">
        <f>IF($A95="",0,$B95*(TSOFR3M+$H$6/10000+$F95)*$G95/DayBasis)</f>
        <v/>
      </c>
      <c r="R95" s="44">
        <f>IF($A95="",0,$B95*(TSOFR3M+$H$7/10000+$F95)*$G95/DayBasis)</f>
        <v/>
      </c>
      <c r="S95" s="44">
        <f>IF($A95="",0,$B95*(TSOFR3M+$H$8/10000+$F95)*$G95/DayBasis)</f>
        <v/>
      </c>
      <c r="T95" s="44">
        <f>IF($A95="",0,$B95*(TSOFR3M+$H$9/10000+$F95)*$G95/DayBasis)</f>
        <v/>
      </c>
      <c r="U95" s="44">
        <f>IF($A95="",0,$B95*(TSOFR3M+$H$10/10000+$F95)*$G95/DayBasis)</f>
        <v/>
      </c>
      <c r="V95" s="44">
        <f>IF($A95="",0,$B95*(TSOFR3M+$H$12/10000+$F95)*$G95/DayBasis)</f>
        <v/>
      </c>
      <c r="W95" s="44">
        <f>IF(OR($A95="",$M$6&lt;&gt;"Y",$O$6=""),0,IF($H95&gt;=$O$6,$B95*(TSOFR3M+$H$6/10000+$F95)*$N$6/DayBasis,0))</f>
        <v/>
      </c>
      <c r="X95" s="44">
        <f>IF(OR($A95="",$M$7&lt;&gt;"Y",$O$7=""),0,IF($H95&gt;=$O$7,$B95*(TSOFR3M+$H$7/10000+$F95)*$N$7/DayBasis,0))</f>
        <v/>
      </c>
      <c r="Y95" s="44">
        <f>IF(OR($A95="",$M$8&lt;&gt;"Y",$O$8=""),0,IF($H95&gt;=$O$8,$B95*(TSOFR3M+$H$8/10000+$F95)*$N$8/DayBasis,0))</f>
        <v/>
      </c>
      <c r="Z95" s="44">
        <f>IF(OR($A95="",$M$9&lt;&gt;"Y",$O$9=""),0,IF($H95&gt;=$O$9,$B95*(TSOFR3M+$H$9/10000+$F95)*$N$9/DayBasis,0))</f>
        <v/>
      </c>
      <c r="AA95" s="44">
        <f>IF(OR($A95="",$M$10&lt;&gt;"Y",$O$10=""),0,IF($H95&gt;=$O$10,$B95*(TSOFR3M+$H$10/10000+$F95)*$N$10/DayBasis,0))</f>
        <v/>
      </c>
      <c r="AB95" s="44">
        <f>IF(OR($A95="",$M$12&lt;&gt;"Y",$O$12=""),0,IF($H95&gt;=$O$12,$B95*(TSOFR3M+$H$12/10000+$F95)*$N$12/DayBasis,0))</f>
        <v/>
      </c>
      <c r="AC95" s="50">
        <f>IF($A95="",0,MIN(1,$C95*$C$39))</f>
        <v/>
      </c>
      <c r="AD95" s="44">
        <f>IF($A95="",0,$B95*IF($I95=1,LGD_LC,MIN(1,LGD+$C$40))*(1-$E95))</f>
        <v/>
      </c>
      <c r="AE95" s="44">
        <f>IF(OR($A95="",$B95&lt;=0,$AC95&lt;=0),0,IF($AC95&gt;=1,$AD95,IF(_xlfn.NORM.S.INV(RAND())*SQRT(1-Rho)+$C$41*SQRT(Rho)&lt;_xlfn.NORM.S.INV($AC95),$AD95,0)))</f>
        <v/>
      </c>
      <c r="AG95" t="n">
        <v>89</v>
      </c>
      <c r="AH95" s="35" t="n">
        <v>0</v>
      </c>
    </row>
    <row r="96">
      <c r="A96" s="7">
        <f>IF('02_Buyers'!$A33="","",'02_Buyers'!$A33)</f>
        <v/>
      </c>
      <c r="B96" s="44">
        <f>IF($A96="",0,'02_Buyers'!$Z33)</f>
        <v/>
      </c>
      <c r="C96" s="50">
        <f>IF($A96="",0,'02_Buyers'!$AM33)</f>
        <v/>
      </c>
      <c r="D96" s="50">
        <f>IF($A96="",0,'02_Buyers'!$AN33)</f>
        <v/>
      </c>
      <c r="E96" s="50">
        <f>IF($A96="",0,'02_Buyers'!$AO33)</f>
        <v/>
      </c>
      <c r="F96" s="50">
        <f>IF($A96="",0,'02_Buyers'!$AP33)</f>
        <v/>
      </c>
      <c r="G96" s="45">
        <f>IF($A96="",0,'02_Buyers'!$V33)</f>
        <v/>
      </c>
      <c r="H96" s="45">
        <f>IF(OR($A96="",'02_Buyers'!$AC33=""),0,'02_Buyers'!$AC33)</f>
        <v/>
      </c>
      <c r="I96" s="45">
        <f>IF($A96="",0,IF(OR('02_Buyers'!$U33="LC_SIGHT",'02_Buyers'!$U33="LC_USANCE"),1,0))</f>
        <v/>
      </c>
      <c r="J96" s="7">
        <f>IF($A96="","",'02_Buyers'!$T33)</f>
        <v/>
      </c>
      <c r="K96" s="44">
        <f>IF($A96="",0,$B96*MIN(1,$C96*$J$6)*IF($I96=1,LGD_LC,MIN(1,LGD+$K$6))*(1-$E96))</f>
        <v/>
      </c>
      <c r="L96" s="44">
        <f>IF($A96="",0,$B96*MIN(1,$C96*$J$7)*IF($I96=1,LGD_LC,MIN(1,LGD+$K$7))*(1-$E96))</f>
        <v/>
      </c>
      <c r="M96" s="44">
        <f>IF($A96="",0,$B96*MIN(1,$C96*$J$8)*IF($I96=1,LGD_LC,MIN(1,LGD+$K$8))*(1-$E96))</f>
        <v/>
      </c>
      <c r="N96" s="44">
        <f>IF($A96="",0,$B96*MIN(1,$C96*$J$9)*IF($I96=1,LGD_LC,MIN(1,LGD+$K$9))*(1-$E96))</f>
        <v/>
      </c>
      <c r="O96" s="44">
        <f>IF($A96="",0,$B96*MIN(1,$C96*$J$10)*IF($I96=1,LGD_LC,MIN(1,LGD+$K$10))*(1-$E96))</f>
        <v/>
      </c>
      <c r="P96" s="44">
        <f>IF($A96="",0,$B96*MIN(1,$C96*$J$12)*IF($I96=1,LGD_LC,MIN(1,LGD+$K$12))*(1-$E96))</f>
        <v/>
      </c>
      <c r="Q96" s="44">
        <f>IF($A96="",0,$B96*(TSOFR3M+$H$6/10000+$F96)*$G96/DayBasis)</f>
        <v/>
      </c>
      <c r="R96" s="44">
        <f>IF($A96="",0,$B96*(TSOFR3M+$H$7/10000+$F96)*$G96/DayBasis)</f>
        <v/>
      </c>
      <c r="S96" s="44">
        <f>IF($A96="",0,$B96*(TSOFR3M+$H$8/10000+$F96)*$G96/DayBasis)</f>
        <v/>
      </c>
      <c r="T96" s="44">
        <f>IF($A96="",0,$B96*(TSOFR3M+$H$9/10000+$F96)*$G96/DayBasis)</f>
        <v/>
      </c>
      <c r="U96" s="44">
        <f>IF($A96="",0,$B96*(TSOFR3M+$H$10/10000+$F96)*$G96/DayBasis)</f>
        <v/>
      </c>
      <c r="V96" s="44">
        <f>IF($A96="",0,$B96*(TSOFR3M+$H$12/10000+$F96)*$G96/DayBasis)</f>
        <v/>
      </c>
      <c r="W96" s="44">
        <f>IF(OR($A96="",$M$6&lt;&gt;"Y",$O$6=""),0,IF($H96&gt;=$O$6,$B96*(TSOFR3M+$H$6/10000+$F96)*$N$6/DayBasis,0))</f>
        <v/>
      </c>
      <c r="X96" s="44">
        <f>IF(OR($A96="",$M$7&lt;&gt;"Y",$O$7=""),0,IF($H96&gt;=$O$7,$B96*(TSOFR3M+$H$7/10000+$F96)*$N$7/DayBasis,0))</f>
        <v/>
      </c>
      <c r="Y96" s="44">
        <f>IF(OR($A96="",$M$8&lt;&gt;"Y",$O$8=""),0,IF($H96&gt;=$O$8,$B96*(TSOFR3M+$H$8/10000+$F96)*$N$8/DayBasis,0))</f>
        <v/>
      </c>
      <c r="Z96" s="44">
        <f>IF(OR($A96="",$M$9&lt;&gt;"Y",$O$9=""),0,IF($H96&gt;=$O$9,$B96*(TSOFR3M+$H$9/10000+$F96)*$N$9/DayBasis,0))</f>
        <v/>
      </c>
      <c r="AA96" s="44">
        <f>IF(OR($A96="",$M$10&lt;&gt;"Y",$O$10=""),0,IF($H96&gt;=$O$10,$B96*(TSOFR3M+$H$10/10000+$F96)*$N$10/DayBasis,0))</f>
        <v/>
      </c>
      <c r="AB96" s="44">
        <f>IF(OR($A96="",$M$12&lt;&gt;"Y",$O$12=""),0,IF($H96&gt;=$O$12,$B96*(TSOFR3M+$H$12/10000+$F96)*$N$12/DayBasis,0))</f>
        <v/>
      </c>
      <c r="AC96" s="50">
        <f>IF($A96="",0,MIN(1,$C96*$C$39))</f>
        <v/>
      </c>
      <c r="AD96" s="44">
        <f>IF($A96="",0,$B96*IF($I96=1,LGD_LC,MIN(1,LGD+$C$40))*(1-$E96))</f>
        <v/>
      </c>
      <c r="AE96" s="44">
        <f>IF(OR($A96="",$B96&lt;=0,$AC96&lt;=0),0,IF($AC96&gt;=1,$AD96,IF(_xlfn.NORM.S.INV(RAND())*SQRT(1-Rho)+$C$41*SQRT(Rho)&lt;_xlfn.NORM.S.INV($AC96),$AD96,0)))</f>
        <v/>
      </c>
      <c r="AG96" t="n">
        <v>90</v>
      </c>
      <c r="AH96" s="35" t="n">
        <v>0</v>
      </c>
    </row>
    <row r="97">
      <c r="A97" s="7">
        <f>IF('02_Buyers'!$A34="","",'02_Buyers'!$A34)</f>
        <v/>
      </c>
      <c r="B97" s="44">
        <f>IF($A97="",0,'02_Buyers'!$Z34)</f>
        <v/>
      </c>
      <c r="C97" s="50">
        <f>IF($A97="",0,'02_Buyers'!$AM34)</f>
        <v/>
      </c>
      <c r="D97" s="50">
        <f>IF($A97="",0,'02_Buyers'!$AN34)</f>
        <v/>
      </c>
      <c r="E97" s="50">
        <f>IF($A97="",0,'02_Buyers'!$AO34)</f>
        <v/>
      </c>
      <c r="F97" s="50">
        <f>IF($A97="",0,'02_Buyers'!$AP34)</f>
        <v/>
      </c>
      <c r="G97" s="45">
        <f>IF($A97="",0,'02_Buyers'!$V34)</f>
        <v/>
      </c>
      <c r="H97" s="45">
        <f>IF(OR($A97="",'02_Buyers'!$AC34=""),0,'02_Buyers'!$AC34)</f>
        <v/>
      </c>
      <c r="I97" s="45">
        <f>IF($A97="",0,IF(OR('02_Buyers'!$U34="LC_SIGHT",'02_Buyers'!$U34="LC_USANCE"),1,0))</f>
        <v/>
      </c>
      <c r="J97" s="7">
        <f>IF($A97="","",'02_Buyers'!$T34)</f>
        <v/>
      </c>
      <c r="K97" s="44">
        <f>IF($A97="",0,$B97*MIN(1,$C97*$J$6)*IF($I97=1,LGD_LC,MIN(1,LGD+$K$6))*(1-$E97))</f>
        <v/>
      </c>
      <c r="L97" s="44">
        <f>IF($A97="",0,$B97*MIN(1,$C97*$J$7)*IF($I97=1,LGD_LC,MIN(1,LGD+$K$7))*(1-$E97))</f>
        <v/>
      </c>
      <c r="M97" s="44">
        <f>IF($A97="",0,$B97*MIN(1,$C97*$J$8)*IF($I97=1,LGD_LC,MIN(1,LGD+$K$8))*(1-$E97))</f>
        <v/>
      </c>
      <c r="N97" s="44">
        <f>IF($A97="",0,$B97*MIN(1,$C97*$J$9)*IF($I97=1,LGD_LC,MIN(1,LGD+$K$9))*(1-$E97))</f>
        <v/>
      </c>
      <c r="O97" s="44">
        <f>IF($A97="",0,$B97*MIN(1,$C97*$J$10)*IF($I97=1,LGD_LC,MIN(1,LGD+$K$10))*(1-$E97))</f>
        <v/>
      </c>
      <c r="P97" s="44">
        <f>IF($A97="",0,$B97*MIN(1,$C97*$J$12)*IF($I97=1,LGD_LC,MIN(1,LGD+$K$12))*(1-$E97))</f>
        <v/>
      </c>
      <c r="Q97" s="44">
        <f>IF($A97="",0,$B97*(TSOFR3M+$H$6/10000+$F97)*$G97/DayBasis)</f>
        <v/>
      </c>
      <c r="R97" s="44">
        <f>IF($A97="",0,$B97*(TSOFR3M+$H$7/10000+$F97)*$G97/DayBasis)</f>
        <v/>
      </c>
      <c r="S97" s="44">
        <f>IF($A97="",0,$B97*(TSOFR3M+$H$8/10000+$F97)*$G97/DayBasis)</f>
        <v/>
      </c>
      <c r="T97" s="44">
        <f>IF($A97="",0,$B97*(TSOFR3M+$H$9/10000+$F97)*$G97/DayBasis)</f>
        <v/>
      </c>
      <c r="U97" s="44">
        <f>IF($A97="",0,$B97*(TSOFR3M+$H$10/10000+$F97)*$G97/DayBasis)</f>
        <v/>
      </c>
      <c r="V97" s="44">
        <f>IF($A97="",0,$B97*(TSOFR3M+$H$12/10000+$F97)*$G97/DayBasis)</f>
        <v/>
      </c>
      <c r="W97" s="44">
        <f>IF(OR($A97="",$M$6&lt;&gt;"Y",$O$6=""),0,IF($H97&gt;=$O$6,$B97*(TSOFR3M+$H$6/10000+$F97)*$N$6/DayBasis,0))</f>
        <v/>
      </c>
      <c r="X97" s="44">
        <f>IF(OR($A97="",$M$7&lt;&gt;"Y",$O$7=""),0,IF($H97&gt;=$O$7,$B97*(TSOFR3M+$H$7/10000+$F97)*$N$7/DayBasis,0))</f>
        <v/>
      </c>
      <c r="Y97" s="44">
        <f>IF(OR($A97="",$M$8&lt;&gt;"Y",$O$8=""),0,IF($H97&gt;=$O$8,$B97*(TSOFR3M+$H$8/10000+$F97)*$N$8/DayBasis,0))</f>
        <v/>
      </c>
      <c r="Z97" s="44">
        <f>IF(OR($A97="",$M$9&lt;&gt;"Y",$O$9=""),0,IF($H97&gt;=$O$9,$B97*(TSOFR3M+$H$9/10000+$F97)*$N$9/DayBasis,0))</f>
        <v/>
      </c>
      <c r="AA97" s="44">
        <f>IF(OR($A97="",$M$10&lt;&gt;"Y",$O$10=""),0,IF($H97&gt;=$O$10,$B97*(TSOFR3M+$H$10/10000+$F97)*$N$10/DayBasis,0))</f>
        <v/>
      </c>
      <c r="AB97" s="44">
        <f>IF(OR($A97="",$M$12&lt;&gt;"Y",$O$12=""),0,IF($H97&gt;=$O$12,$B97*(TSOFR3M+$H$12/10000+$F97)*$N$12/DayBasis,0))</f>
        <v/>
      </c>
      <c r="AC97" s="50">
        <f>IF($A97="",0,MIN(1,$C97*$C$39))</f>
        <v/>
      </c>
      <c r="AD97" s="44">
        <f>IF($A97="",0,$B97*IF($I97=1,LGD_LC,MIN(1,LGD+$C$40))*(1-$E97))</f>
        <v/>
      </c>
      <c r="AE97" s="44">
        <f>IF(OR($A97="",$B97&lt;=0,$AC97&lt;=0),0,IF($AC97&gt;=1,$AD97,IF(_xlfn.NORM.S.INV(RAND())*SQRT(1-Rho)+$C$41*SQRT(Rho)&lt;_xlfn.NORM.S.INV($AC97),$AD97,0)))</f>
        <v/>
      </c>
      <c r="AG97" t="n">
        <v>91</v>
      </c>
      <c r="AH97" s="35" t="n">
        <v>0</v>
      </c>
    </row>
    <row r="98">
      <c r="A98" s="7">
        <f>IF('02_Buyers'!$A35="","",'02_Buyers'!$A35)</f>
        <v/>
      </c>
      <c r="B98" s="44">
        <f>IF($A98="",0,'02_Buyers'!$Z35)</f>
        <v/>
      </c>
      <c r="C98" s="50">
        <f>IF($A98="",0,'02_Buyers'!$AM35)</f>
        <v/>
      </c>
      <c r="D98" s="50">
        <f>IF($A98="",0,'02_Buyers'!$AN35)</f>
        <v/>
      </c>
      <c r="E98" s="50">
        <f>IF($A98="",0,'02_Buyers'!$AO35)</f>
        <v/>
      </c>
      <c r="F98" s="50">
        <f>IF($A98="",0,'02_Buyers'!$AP35)</f>
        <v/>
      </c>
      <c r="G98" s="45">
        <f>IF($A98="",0,'02_Buyers'!$V35)</f>
        <v/>
      </c>
      <c r="H98" s="45">
        <f>IF(OR($A98="",'02_Buyers'!$AC35=""),0,'02_Buyers'!$AC35)</f>
        <v/>
      </c>
      <c r="I98" s="45">
        <f>IF($A98="",0,IF(OR('02_Buyers'!$U35="LC_SIGHT",'02_Buyers'!$U35="LC_USANCE"),1,0))</f>
        <v/>
      </c>
      <c r="J98" s="7">
        <f>IF($A98="","",'02_Buyers'!$T35)</f>
        <v/>
      </c>
      <c r="K98" s="44">
        <f>IF($A98="",0,$B98*MIN(1,$C98*$J$6)*IF($I98=1,LGD_LC,MIN(1,LGD+$K$6))*(1-$E98))</f>
        <v/>
      </c>
      <c r="L98" s="44">
        <f>IF($A98="",0,$B98*MIN(1,$C98*$J$7)*IF($I98=1,LGD_LC,MIN(1,LGD+$K$7))*(1-$E98))</f>
        <v/>
      </c>
      <c r="M98" s="44">
        <f>IF($A98="",0,$B98*MIN(1,$C98*$J$8)*IF($I98=1,LGD_LC,MIN(1,LGD+$K$8))*(1-$E98))</f>
        <v/>
      </c>
      <c r="N98" s="44">
        <f>IF($A98="",0,$B98*MIN(1,$C98*$J$9)*IF($I98=1,LGD_LC,MIN(1,LGD+$K$9))*(1-$E98))</f>
        <v/>
      </c>
      <c r="O98" s="44">
        <f>IF($A98="",0,$B98*MIN(1,$C98*$J$10)*IF($I98=1,LGD_LC,MIN(1,LGD+$K$10))*(1-$E98))</f>
        <v/>
      </c>
      <c r="P98" s="44">
        <f>IF($A98="",0,$B98*MIN(1,$C98*$J$12)*IF($I98=1,LGD_LC,MIN(1,LGD+$K$12))*(1-$E98))</f>
        <v/>
      </c>
      <c r="Q98" s="44">
        <f>IF($A98="",0,$B98*(TSOFR3M+$H$6/10000+$F98)*$G98/DayBasis)</f>
        <v/>
      </c>
      <c r="R98" s="44">
        <f>IF($A98="",0,$B98*(TSOFR3M+$H$7/10000+$F98)*$G98/DayBasis)</f>
        <v/>
      </c>
      <c r="S98" s="44">
        <f>IF($A98="",0,$B98*(TSOFR3M+$H$8/10000+$F98)*$G98/DayBasis)</f>
        <v/>
      </c>
      <c r="T98" s="44">
        <f>IF($A98="",0,$B98*(TSOFR3M+$H$9/10000+$F98)*$G98/DayBasis)</f>
        <v/>
      </c>
      <c r="U98" s="44">
        <f>IF($A98="",0,$B98*(TSOFR3M+$H$10/10000+$F98)*$G98/DayBasis)</f>
        <v/>
      </c>
      <c r="V98" s="44">
        <f>IF($A98="",0,$B98*(TSOFR3M+$H$12/10000+$F98)*$G98/DayBasis)</f>
        <v/>
      </c>
      <c r="W98" s="44">
        <f>IF(OR($A98="",$M$6&lt;&gt;"Y",$O$6=""),0,IF($H98&gt;=$O$6,$B98*(TSOFR3M+$H$6/10000+$F98)*$N$6/DayBasis,0))</f>
        <v/>
      </c>
      <c r="X98" s="44">
        <f>IF(OR($A98="",$M$7&lt;&gt;"Y",$O$7=""),0,IF($H98&gt;=$O$7,$B98*(TSOFR3M+$H$7/10000+$F98)*$N$7/DayBasis,0))</f>
        <v/>
      </c>
      <c r="Y98" s="44">
        <f>IF(OR($A98="",$M$8&lt;&gt;"Y",$O$8=""),0,IF($H98&gt;=$O$8,$B98*(TSOFR3M+$H$8/10000+$F98)*$N$8/DayBasis,0))</f>
        <v/>
      </c>
      <c r="Z98" s="44">
        <f>IF(OR($A98="",$M$9&lt;&gt;"Y",$O$9=""),0,IF($H98&gt;=$O$9,$B98*(TSOFR3M+$H$9/10000+$F98)*$N$9/DayBasis,0))</f>
        <v/>
      </c>
      <c r="AA98" s="44">
        <f>IF(OR($A98="",$M$10&lt;&gt;"Y",$O$10=""),0,IF($H98&gt;=$O$10,$B98*(TSOFR3M+$H$10/10000+$F98)*$N$10/DayBasis,0))</f>
        <v/>
      </c>
      <c r="AB98" s="44">
        <f>IF(OR($A98="",$M$12&lt;&gt;"Y",$O$12=""),0,IF($H98&gt;=$O$12,$B98*(TSOFR3M+$H$12/10000+$F98)*$N$12/DayBasis,0))</f>
        <v/>
      </c>
      <c r="AC98" s="50">
        <f>IF($A98="",0,MIN(1,$C98*$C$39))</f>
        <v/>
      </c>
      <c r="AD98" s="44">
        <f>IF($A98="",0,$B98*IF($I98=1,LGD_LC,MIN(1,LGD+$C$40))*(1-$E98))</f>
        <v/>
      </c>
      <c r="AE98" s="44">
        <f>IF(OR($A98="",$B98&lt;=0,$AC98&lt;=0),0,IF($AC98&gt;=1,$AD98,IF(_xlfn.NORM.S.INV(RAND())*SQRT(1-Rho)+$C$41*SQRT(Rho)&lt;_xlfn.NORM.S.INV($AC98),$AD98,0)))</f>
        <v/>
      </c>
      <c r="AG98" t="n">
        <v>92</v>
      </c>
      <c r="AH98" s="35" t="n">
        <v>0</v>
      </c>
    </row>
    <row r="99">
      <c r="A99" s="7">
        <f>IF('02_Buyers'!$A36="","",'02_Buyers'!$A36)</f>
        <v/>
      </c>
      <c r="B99" s="44">
        <f>IF($A99="",0,'02_Buyers'!$Z36)</f>
        <v/>
      </c>
      <c r="C99" s="50">
        <f>IF($A99="",0,'02_Buyers'!$AM36)</f>
        <v/>
      </c>
      <c r="D99" s="50">
        <f>IF($A99="",0,'02_Buyers'!$AN36)</f>
        <v/>
      </c>
      <c r="E99" s="50">
        <f>IF($A99="",0,'02_Buyers'!$AO36)</f>
        <v/>
      </c>
      <c r="F99" s="50">
        <f>IF($A99="",0,'02_Buyers'!$AP36)</f>
        <v/>
      </c>
      <c r="G99" s="45">
        <f>IF($A99="",0,'02_Buyers'!$V36)</f>
        <v/>
      </c>
      <c r="H99" s="45">
        <f>IF(OR($A99="",'02_Buyers'!$AC36=""),0,'02_Buyers'!$AC36)</f>
        <v/>
      </c>
      <c r="I99" s="45">
        <f>IF($A99="",0,IF(OR('02_Buyers'!$U36="LC_SIGHT",'02_Buyers'!$U36="LC_USANCE"),1,0))</f>
        <v/>
      </c>
      <c r="J99" s="7">
        <f>IF($A99="","",'02_Buyers'!$T36)</f>
        <v/>
      </c>
      <c r="K99" s="44">
        <f>IF($A99="",0,$B99*MIN(1,$C99*$J$6)*IF($I99=1,LGD_LC,MIN(1,LGD+$K$6))*(1-$E99))</f>
        <v/>
      </c>
      <c r="L99" s="44">
        <f>IF($A99="",0,$B99*MIN(1,$C99*$J$7)*IF($I99=1,LGD_LC,MIN(1,LGD+$K$7))*(1-$E99))</f>
        <v/>
      </c>
      <c r="M99" s="44">
        <f>IF($A99="",0,$B99*MIN(1,$C99*$J$8)*IF($I99=1,LGD_LC,MIN(1,LGD+$K$8))*(1-$E99))</f>
        <v/>
      </c>
      <c r="N99" s="44">
        <f>IF($A99="",0,$B99*MIN(1,$C99*$J$9)*IF($I99=1,LGD_LC,MIN(1,LGD+$K$9))*(1-$E99))</f>
        <v/>
      </c>
      <c r="O99" s="44">
        <f>IF($A99="",0,$B99*MIN(1,$C99*$J$10)*IF($I99=1,LGD_LC,MIN(1,LGD+$K$10))*(1-$E99))</f>
        <v/>
      </c>
      <c r="P99" s="44">
        <f>IF($A99="",0,$B99*MIN(1,$C99*$J$12)*IF($I99=1,LGD_LC,MIN(1,LGD+$K$12))*(1-$E99))</f>
        <v/>
      </c>
      <c r="Q99" s="44">
        <f>IF($A99="",0,$B99*(TSOFR3M+$H$6/10000+$F99)*$G99/DayBasis)</f>
        <v/>
      </c>
      <c r="R99" s="44">
        <f>IF($A99="",0,$B99*(TSOFR3M+$H$7/10000+$F99)*$G99/DayBasis)</f>
        <v/>
      </c>
      <c r="S99" s="44">
        <f>IF($A99="",0,$B99*(TSOFR3M+$H$8/10000+$F99)*$G99/DayBasis)</f>
        <v/>
      </c>
      <c r="T99" s="44">
        <f>IF($A99="",0,$B99*(TSOFR3M+$H$9/10000+$F99)*$G99/DayBasis)</f>
        <v/>
      </c>
      <c r="U99" s="44">
        <f>IF($A99="",0,$B99*(TSOFR3M+$H$10/10000+$F99)*$G99/DayBasis)</f>
        <v/>
      </c>
      <c r="V99" s="44">
        <f>IF($A99="",0,$B99*(TSOFR3M+$H$12/10000+$F99)*$G99/DayBasis)</f>
        <v/>
      </c>
      <c r="W99" s="44">
        <f>IF(OR($A99="",$M$6&lt;&gt;"Y",$O$6=""),0,IF($H99&gt;=$O$6,$B99*(TSOFR3M+$H$6/10000+$F99)*$N$6/DayBasis,0))</f>
        <v/>
      </c>
      <c r="X99" s="44">
        <f>IF(OR($A99="",$M$7&lt;&gt;"Y",$O$7=""),0,IF($H99&gt;=$O$7,$B99*(TSOFR3M+$H$7/10000+$F99)*$N$7/DayBasis,0))</f>
        <v/>
      </c>
      <c r="Y99" s="44">
        <f>IF(OR($A99="",$M$8&lt;&gt;"Y",$O$8=""),0,IF($H99&gt;=$O$8,$B99*(TSOFR3M+$H$8/10000+$F99)*$N$8/DayBasis,0))</f>
        <v/>
      </c>
      <c r="Z99" s="44">
        <f>IF(OR($A99="",$M$9&lt;&gt;"Y",$O$9=""),0,IF($H99&gt;=$O$9,$B99*(TSOFR3M+$H$9/10000+$F99)*$N$9/DayBasis,0))</f>
        <v/>
      </c>
      <c r="AA99" s="44">
        <f>IF(OR($A99="",$M$10&lt;&gt;"Y",$O$10=""),0,IF($H99&gt;=$O$10,$B99*(TSOFR3M+$H$10/10000+$F99)*$N$10/DayBasis,0))</f>
        <v/>
      </c>
      <c r="AB99" s="44">
        <f>IF(OR($A99="",$M$12&lt;&gt;"Y",$O$12=""),0,IF($H99&gt;=$O$12,$B99*(TSOFR3M+$H$12/10000+$F99)*$N$12/DayBasis,0))</f>
        <v/>
      </c>
      <c r="AC99" s="50">
        <f>IF($A99="",0,MIN(1,$C99*$C$39))</f>
        <v/>
      </c>
      <c r="AD99" s="44">
        <f>IF($A99="",0,$B99*IF($I99=1,LGD_LC,MIN(1,LGD+$C$40))*(1-$E99))</f>
        <v/>
      </c>
      <c r="AE99" s="44">
        <f>IF(OR($A99="",$B99&lt;=0,$AC99&lt;=0),0,IF($AC99&gt;=1,$AD99,IF(_xlfn.NORM.S.INV(RAND())*SQRT(1-Rho)+$C$41*SQRT(Rho)&lt;_xlfn.NORM.S.INV($AC99),$AD99,0)))</f>
        <v/>
      </c>
      <c r="AG99" t="n">
        <v>93</v>
      </c>
      <c r="AH99" s="35" t="n">
        <v>0</v>
      </c>
    </row>
    <row r="100">
      <c r="A100" s="7">
        <f>IF('02_Buyers'!$A37="","",'02_Buyers'!$A37)</f>
        <v/>
      </c>
      <c r="B100" s="44">
        <f>IF($A100="",0,'02_Buyers'!$Z37)</f>
        <v/>
      </c>
      <c r="C100" s="50">
        <f>IF($A100="",0,'02_Buyers'!$AM37)</f>
        <v/>
      </c>
      <c r="D100" s="50">
        <f>IF($A100="",0,'02_Buyers'!$AN37)</f>
        <v/>
      </c>
      <c r="E100" s="50">
        <f>IF($A100="",0,'02_Buyers'!$AO37)</f>
        <v/>
      </c>
      <c r="F100" s="50">
        <f>IF($A100="",0,'02_Buyers'!$AP37)</f>
        <v/>
      </c>
      <c r="G100" s="45">
        <f>IF($A100="",0,'02_Buyers'!$V37)</f>
        <v/>
      </c>
      <c r="H100" s="45">
        <f>IF(OR($A100="",'02_Buyers'!$AC37=""),0,'02_Buyers'!$AC37)</f>
        <v/>
      </c>
      <c r="I100" s="45">
        <f>IF($A100="",0,IF(OR('02_Buyers'!$U37="LC_SIGHT",'02_Buyers'!$U37="LC_USANCE"),1,0))</f>
        <v/>
      </c>
      <c r="J100" s="7">
        <f>IF($A100="","",'02_Buyers'!$T37)</f>
        <v/>
      </c>
      <c r="K100" s="44">
        <f>IF($A100="",0,$B100*MIN(1,$C100*$J$6)*IF($I100=1,LGD_LC,MIN(1,LGD+$K$6))*(1-$E100))</f>
        <v/>
      </c>
      <c r="L100" s="44">
        <f>IF($A100="",0,$B100*MIN(1,$C100*$J$7)*IF($I100=1,LGD_LC,MIN(1,LGD+$K$7))*(1-$E100))</f>
        <v/>
      </c>
      <c r="M100" s="44">
        <f>IF($A100="",0,$B100*MIN(1,$C100*$J$8)*IF($I100=1,LGD_LC,MIN(1,LGD+$K$8))*(1-$E100))</f>
        <v/>
      </c>
      <c r="N100" s="44">
        <f>IF($A100="",0,$B100*MIN(1,$C100*$J$9)*IF($I100=1,LGD_LC,MIN(1,LGD+$K$9))*(1-$E100))</f>
        <v/>
      </c>
      <c r="O100" s="44">
        <f>IF($A100="",0,$B100*MIN(1,$C100*$J$10)*IF($I100=1,LGD_LC,MIN(1,LGD+$K$10))*(1-$E100))</f>
        <v/>
      </c>
      <c r="P100" s="44">
        <f>IF($A100="",0,$B100*MIN(1,$C100*$J$12)*IF($I100=1,LGD_LC,MIN(1,LGD+$K$12))*(1-$E100))</f>
        <v/>
      </c>
      <c r="Q100" s="44">
        <f>IF($A100="",0,$B100*(TSOFR3M+$H$6/10000+$F100)*$G100/DayBasis)</f>
        <v/>
      </c>
      <c r="R100" s="44">
        <f>IF($A100="",0,$B100*(TSOFR3M+$H$7/10000+$F100)*$G100/DayBasis)</f>
        <v/>
      </c>
      <c r="S100" s="44">
        <f>IF($A100="",0,$B100*(TSOFR3M+$H$8/10000+$F100)*$G100/DayBasis)</f>
        <v/>
      </c>
      <c r="T100" s="44">
        <f>IF($A100="",0,$B100*(TSOFR3M+$H$9/10000+$F100)*$G100/DayBasis)</f>
        <v/>
      </c>
      <c r="U100" s="44">
        <f>IF($A100="",0,$B100*(TSOFR3M+$H$10/10000+$F100)*$G100/DayBasis)</f>
        <v/>
      </c>
      <c r="V100" s="44">
        <f>IF($A100="",0,$B100*(TSOFR3M+$H$12/10000+$F100)*$G100/DayBasis)</f>
        <v/>
      </c>
      <c r="W100" s="44">
        <f>IF(OR($A100="",$M$6&lt;&gt;"Y",$O$6=""),0,IF($H100&gt;=$O$6,$B100*(TSOFR3M+$H$6/10000+$F100)*$N$6/DayBasis,0))</f>
        <v/>
      </c>
      <c r="X100" s="44">
        <f>IF(OR($A100="",$M$7&lt;&gt;"Y",$O$7=""),0,IF($H100&gt;=$O$7,$B100*(TSOFR3M+$H$7/10000+$F100)*$N$7/DayBasis,0))</f>
        <v/>
      </c>
      <c r="Y100" s="44">
        <f>IF(OR($A100="",$M$8&lt;&gt;"Y",$O$8=""),0,IF($H100&gt;=$O$8,$B100*(TSOFR3M+$H$8/10000+$F100)*$N$8/DayBasis,0))</f>
        <v/>
      </c>
      <c r="Z100" s="44">
        <f>IF(OR($A100="",$M$9&lt;&gt;"Y",$O$9=""),0,IF($H100&gt;=$O$9,$B100*(TSOFR3M+$H$9/10000+$F100)*$N$9/DayBasis,0))</f>
        <v/>
      </c>
      <c r="AA100" s="44">
        <f>IF(OR($A100="",$M$10&lt;&gt;"Y",$O$10=""),0,IF($H100&gt;=$O$10,$B100*(TSOFR3M+$H$10/10000+$F100)*$N$10/DayBasis,0))</f>
        <v/>
      </c>
      <c r="AB100" s="44">
        <f>IF(OR($A100="",$M$12&lt;&gt;"Y",$O$12=""),0,IF($H100&gt;=$O$12,$B100*(TSOFR3M+$H$12/10000+$F100)*$N$12/DayBasis,0))</f>
        <v/>
      </c>
      <c r="AC100" s="50">
        <f>IF($A100="",0,MIN(1,$C100*$C$39))</f>
        <v/>
      </c>
      <c r="AD100" s="44">
        <f>IF($A100="",0,$B100*IF($I100=1,LGD_LC,MIN(1,LGD+$C$40))*(1-$E100))</f>
        <v/>
      </c>
      <c r="AE100" s="44">
        <f>IF(OR($A100="",$B100&lt;=0,$AC100&lt;=0),0,IF($AC100&gt;=1,$AD100,IF(_xlfn.NORM.S.INV(RAND())*SQRT(1-Rho)+$C$41*SQRT(Rho)&lt;_xlfn.NORM.S.INV($AC100),$AD100,0)))</f>
        <v/>
      </c>
      <c r="AG100" t="n">
        <v>94</v>
      </c>
      <c r="AH100" s="35" t="n">
        <v>0</v>
      </c>
    </row>
    <row r="101">
      <c r="A101" s="7">
        <f>IF('02_Buyers'!$A38="","",'02_Buyers'!$A38)</f>
        <v/>
      </c>
      <c r="B101" s="44">
        <f>IF($A101="",0,'02_Buyers'!$Z38)</f>
        <v/>
      </c>
      <c r="C101" s="50">
        <f>IF($A101="",0,'02_Buyers'!$AM38)</f>
        <v/>
      </c>
      <c r="D101" s="50">
        <f>IF($A101="",0,'02_Buyers'!$AN38)</f>
        <v/>
      </c>
      <c r="E101" s="50">
        <f>IF($A101="",0,'02_Buyers'!$AO38)</f>
        <v/>
      </c>
      <c r="F101" s="50">
        <f>IF($A101="",0,'02_Buyers'!$AP38)</f>
        <v/>
      </c>
      <c r="G101" s="45">
        <f>IF($A101="",0,'02_Buyers'!$V38)</f>
        <v/>
      </c>
      <c r="H101" s="45">
        <f>IF(OR($A101="",'02_Buyers'!$AC38=""),0,'02_Buyers'!$AC38)</f>
        <v/>
      </c>
      <c r="I101" s="45">
        <f>IF($A101="",0,IF(OR('02_Buyers'!$U38="LC_SIGHT",'02_Buyers'!$U38="LC_USANCE"),1,0))</f>
        <v/>
      </c>
      <c r="J101" s="7">
        <f>IF($A101="","",'02_Buyers'!$T38)</f>
        <v/>
      </c>
      <c r="K101" s="44">
        <f>IF($A101="",0,$B101*MIN(1,$C101*$J$6)*IF($I101=1,LGD_LC,MIN(1,LGD+$K$6))*(1-$E101))</f>
        <v/>
      </c>
      <c r="L101" s="44">
        <f>IF($A101="",0,$B101*MIN(1,$C101*$J$7)*IF($I101=1,LGD_LC,MIN(1,LGD+$K$7))*(1-$E101))</f>
        <v/>
      </c>
      <c r="M101" s="44">
        <f>IF($A101="",0,$B101*MIN(1,$C101*$J$8)*IF($I101=1,LGD_LC,MIN(1,LGD+$K$8))*(1-$E101))</f>
        <v/>
      </c>
      <c r="N101" s="44">
        <f>IF($A101="",0,$B101*MIN(1,$C101*$J$9)*IF($I101=1,LGD_LC,MIN(1,LGD+$K$9))*(1-$E101))</f>
        <v/>
      </c>
      <c r="O101" s="44">
        <f>IF($A101="",0,$B101*MIN(1,$C101*$J$10)*IF($I101=1,LGD_LC,MIN(1,LGD+$K$10))*(1-$E101))</f>
        <v/>
      </c>
      <c r="P101" s="44">
        <f>IF($A101="",0,$B101*MIN(1,$C101*$J$12)*IF($I101=1,LGD_LC,MIN(1,LGD+$K$12))*(1-$E101))</f>
        <v/>
      </c>
      <c r="Q101" s="44">
        <f>IF($A101="",0,$B101*(TSOFR3M+$H$6/10000+$F101)*$G101/DayBasis)</f>
        <v/>
      </c>
      <c r="R101" s="44">
        <f>IF($A101="",0,$B101*(TSOFR3M+$H$7/10000+$F101)*$G101/DayBasis)</f>
        <v/>
      </c>
      <c r="S101" s="44">
        <f>IF($A101="",0,$B101*(TSOFR3M+$H$8/10000+$F101)*$G101/DayBasis)</f>
        <v/>
      </c>
      <c r="T101" s="44">
        <f>IF($A101="",0,$B101*(TSOFR3M+$H$9/10000+$F101)*$G101/DayBasis)</f>
        <v/>
      </c>
      <c r="U101" s="44">
        <f>IF($A101="",0,$B101*(TSOFR3M+$H$10/10000+$F101)*$G101/DayBasis)</f>
        <v/>
      </c>
      <c r="V101" s="44">
        <f>IF($A101="",0,$B101*(TSOFR3M+$H$12/10000+$F101)*$G101/DayBasis)</f>
        <v/>
      </c>
      <c r="W101" s="44">
        <f>IF(OR($A101="",$M$6&lt;&gt;"Y",$O$6=""),0,IF($H101&gt;=$O$6,$B101*(TSOFR3M+$H$6/10000+$F101)*$N$6/DayBasis,0))</f>
        <v/>
      </c>
      <c r="X101" s="44">
        <f>IF(OR($A101="",$M$7&lt;&gt;"Y",$O$7=""),0,IF($H101&gt;=$O$7,$B101*(TSOFR3M+$H$7/10000+$F101)*$N$7/DayBasis,0))</f>
        <v/>
      </c>
      <c r="Y101" s="44">
        <f>IF(OR($A101="",$M$8&lt;&gt;"Y",$O$8=""),0,IF($H101&gt;=$O$8,$B101*(TSOFR3M+$H$8/10000+$F101)*$N$8/DayBasis,0))</f>
        <v/>
      </c>
      <c r="Z101" s="44">
        <f>IF(OR($A101="",$M$9&lt;&gt;"Y",$O$9=""),0,IF($H101&gt;=$O$9,$B101*(TSOFR3M+$H$9/10000+$F101)*$N$9/DayBasis,0))</f>
        <v/>
      </c>
      <c r="AA101" s="44">
        <f>IF(OR($A101="",$M$10&lt;&gt;"Y",$O$10=""),0,IF($H101&gt;=$O$10,$B101*(TSOFR3M+$H$10/10000+$F101)*$N$10/DayBasis,0))</f>
        <v/>
      </c>
      <c r="AB101" s="44">
        <f>IF(OR($A101="",$M$12&lt;&gt;"Y",$O$12=""),0,IF($H101&gt;=$O$12,$B101*(TSOFR3M+$H$12/10000+$F101)*$N$12/DayBasis,0))</f>
        <v/>
      </c>
      <c r="AC101" s="50">
        <f>IF($A101="",0,MIN(1,$C101*$C$39))</f>
        <v/>
      </c>
      <c r="AD101" s="44">
        <f>IF($A101="",0,$B101*IF($I101=1,LGD_LC,MIN(1,LGD+$C$40))*(1-$E101))</f>
        <v/>
      </c>
      <c r="AE101" s="44">
        <f>IF(OR($A101="",$B101&lt;=0,$AC101&lt;=0),0,IF($AC101&gt;=1,$AD101,IF(_xlfn.NORM.S.INV(RAND())*SQRT(1-Rho)+$C$41*SQRT(Rho)&lt;_xlfn.NORM.S.INV($AC101),$AD101,0)))</f>
        <v/>
      </c>
      <c r="AG101" t="n">
        <v>95</v>
      </c>
      <c r="AH101" s="35" t="n">
        <v>0</v>
      </c>
    </row>
    <row r="102">
      <c r="A102" s="7">
        <f>IF('02_Buyers'!$A39="","",'02_Buyers'!$A39)</f>
        <v/>
      </c>
      <c r="B102" s="44">
        <f>IF($A102="",0,'02_Buyers'!$Z39)</f>
        <v/>
      </c>
      <c r="C102" s="50">
        <f>IF($A102="",0,'02_Buyers'!$AM39)</f>
        <v/>
      </c>
      <c r="D102" s="50">
        <f>IF($A102="",0,'02_Buyers'!$AN39)</f>
        <v/>
      </c>
      <c r="E102" s="50">
        <f>IF($A102="",0,'02_Buyers'!$AO39)</f>
        <v/>
      </c>
      <c r="F102" s="50">
        <f>IF($A102="",0,'02_Buyers'!$AP39)</f>
        <v/>
      </c>
      <c r="G102" s="45">
        <f>IF($A102="",0,'02_Buyers'!$V39)</f>
        <v/>
      </c>
      <c r="H102" s="45">
        <f>IF(OR($A102="",'02_Buyers'!$AC39=""),0,'02_Buyers'!$AC39)</f>
        <v/>
      </c>
      <c r="I102" s="45">
        <f>IF($A102="",0,IF(OR('02_Buyers'!$U39="LC_SIGHT",'02_Buyers'!$U39="LC_USANCE"),1,0))</f>
        <v/>
      </c>
      <c r="J102" s="7">
        <f>IF($A102="","",'02_Buyers'!$T39)</f>
        <v/>
      </c>
      <c r="K102" s="44">
        <f>IF($A102="",0,$B102*MIN(1,$C102*$J$6)*IF($I102=1,LGD_LC,MIN(1,LGD+$K$6))*(1-$E102))</f>
        <v/>
      </c>
      <c r="L102" s="44">
        <f>IF($A102="",0,$B102*MIN(1,$C102*$J$7)*IF($I102=1,LGD_LC,MIN(1,LGD+$K$7))*(1-$E102))</f>
        <v/>
      </c>
      <c r="M102" s="44">
        <f>IF($A102="",0,$B102*MIN(1,$C102*$J$8)*IF($I102=1,LGD_LC,MIN(1,LGD+$K$8))*(1-$E102))</f>
        <v/>
      </c>
      <c r="N102" s="44">
        <f>IF($A102="",0,$B102*MIN(1,$C102*$J$9)*IF($I102=1,LGD_LC,MIN(1,LGD+$K$9))*(1-$E102))</f>
        <v/>
      </c>
      <c r="O102" s="44">
        <f>IF($A102="",0,$B102*MIN(1,$C102*$J$10)*IF($I102=1,LGD_LC,MIN(1,LGD+$K$10))*(1-$E102))</f>
        <v/>
      </c>
      <c r="P102" s="44">
        <f>IF($A102="",0,$B102*MIN(1,$C102*$J$12)*IF($I102=1,LGD_LC,MIN(1,LGD+$K$12))*(1-$E102))</f>
        <v/>
      </c>
      <c r="Q102" s="44">
        <f>IF($A102="",0,$B102*(TSOFR3M+$H$6/10000+$F102)*$G102/DayBasis)</f>
        <v/>
      </c>
      <c r="R102" s="44">
        <f>IF($A102="",0,$B102*(TSOFR3M+$H$7/10000+$F102)*$G102/DayBasis)</f>
        <v/>
      </c>
      <c r="S102" s="44">
        <f>IF($A102="",0,$B102*(TSOFR3M+$H$8/10000+$F102)*$G102/DayBasis)</f>
        <v/>
      </c>
      <c r="T102" s="44">
        <f>IF($A102="",0,$B102*(TSOFR3M+$H$9/10000+$F102)*$G102/DayBasis)</f>
        <v/>
      </c>
      <c r="U102" s="44">
        <f>IF($A102="",0,$B102*(TSOFR3M+$H$10/10000+$F102)*$G102/DayBasis)</f>
        <v/>
      </c>
      <c r="V102" s="44">
        <f>IF($A102="",0,$B102*(TSOFR3M+$H$12/10000+$F102)*$G102/DayBasis)</f>
        <v/>
      </c>
      <c r="W102" s="44">
        <f>IF(OR($A102="",$M$6&lt;&gt;"Y",$O$6=""),0,IF($H102&gt;=$O$6,$B102*(TSOFR3M+$H$6/10000+$F102)*$N$6/DayBasis,0))</f>
        <v/>
      </c>
      <c r="X102" s="44">
        <f>IF(OR($A102="",$M$7&lt;&gt;"Y",$O$7=""),0,IF($H102&gt;=$O$7,$B102*(TSOFR3M+$H$7/10000+$F102)*$N$7/DayBasis,0))</f>
        <v/>
      </c>
      <c r="Y102" s="44">
        <f>IF(OR($A102="",$M$8&lt;&gt;"Y",$O$8=""),0,IF($H102&gt;=$O$8,$B102*(TSOFR3M+$H$8/10000+$F102)*$N$8/DayBasis,0))</f>
        <v/>
      </c>
      <c r="Z102" s="44">
        <f>IF(OR($A102="",$M$9&lt;&gt;"Y",$O$9=""),0,IF($H102&gt;=$O$9,$B102*(TSOFR3M+$H$9/10000+$F102)*$N$9/DayBasis,0))</f>
        <v/>
      </c>
      <c r="AA102" s="44">
        <f>IF(OR($A102="",$M$10&lt;&gt;"Y",$O$10=""),0,IF($H102&gt;=$O$10,$B102*(TSOFR3M+$H$10/10000+$F102)*$N$10/DayBasis,0))</f>
        <v/>
      </c>
      <c r="AB102" s="44">
        <f>IF(OR($A102="",$M$12&lt;&gt;"Y",$O$12=""),0,IF($H102&gt;=$O$12,$B102*(TSOFR3M+$H$12/10000+$F102)*$N$12/DayBasis,0))</f>
        <v/>
      </c>
      <c r="AC102" s="50">
        <f>IF($A102="",0,MIN(1,$C102*$C$39))</f>
        <v/>
      </c>
      <c r="AD102" s="44">
        <f>IF($A102="",0,$B102*IF($I102=1,LGD_LC,MIN(1,LGD+$C$40))*(1-$E102))</f>
        <v/>
      </c>
      <c r="AE102" s="44">
        <f>IF(OR($A102="",$B102&lt;=0,$AC102&lt;=0),0,IF($AC102&gt;=1,$AD102,IF(_xlfn.NORM.S.INV(RAND())*SQRT(1-Rho)+$C$41*SQRT(Rho)&lt;_xlfn.NORM.S.INV($AC102),$AD102,0)))</f>
        <v/>
      </c>
      <c r="AG102" t="n">
        <v>96</v>
      </c>
      <c r="AH102" s="35" t="n">
        <v>0</v>
      </c>
    </row>
    <row r="103">
      <c r="A103" s="7">
        <f>IF('02_Buyers'!$A40="","",'02_Buyers'!$A40)</f>
        <v/>
      </c>
      <c r="B103" s="44">
        <f>IF($A103="",0,'02_Buyers'!$Z40)</f>
        <v/>
      </c>
      <c r="C103" s="50">
        <f>IF($A103="",0,'02_Buyers'!$AM40)</f>
        <v/>
      </c>
      <c r="D103" s="50">
        <f>IF($A103="",0,'02_Buyers'!$AN40)</f>
        <v/>
      </c>
      <c r="E103" s="50">
        <f>IF($A103="",0,'02_Buyers'!$AO40)</f>
        <v/>
      </c>
      <c r="F103" s="50">
        <f>IF($A103="",0,'02_Buyers'!$AP40)</f>
        <v/>
      </c>
      <c r="G103" s="45">
        <f>IF($A103="",0,'02_Buyers'!$V40)</f>
        <v/>
      </c>
      <c r="H103" s="45">
        <f>IF(OR($A103="",'02_Buyers'!$AC40=""),0,'02_Buyers'!$AC40)</f>
        <v/>
      </c>
      <c r="I103" s="45">
        <f>IF($A103="",0,IF(OR('02_Buyers'!$U40="LC_SIGHT",'02_Buyers'!$U40="LC_USANCE"),1,0))</f>
        <v/>
      </c>
      <c r="J103" s="7">
        <f>IF($A103="","",'02_Buyers'!$T40)</f>
        <v/>
      </c>
      <c r="K103" s="44">
        <f>IF($A103="",0,$B103*MIN(1,$C103*$J$6)*IF($I103=1,LGD_LC,MIN(1,LGD+$K$6))*(1-$E103))</f>
        <v/>
      </c>
      <c r="L103" s="44">
        <f>IF($A103="",0,$B103*MIN(1,$C103*$J$7)*IF($I103=1,LGD_LC,MIN(1,LGD+$K$7))*(1-$E103))</f>
        <v/>
      </c>
      <c r="M103" s="44">
        <f>IF($A103="",0,$B103*MIN(1,$C103*$J$8)*IF($I103=1,LGD_LC,MIN(1,LGD+$K$8))*(1-$E103))</f>
        <v/>
      </c>
      <c r="N103" s="44">
        <f>IF($A103="",0,$B103*MIN(1,$C103*$J$9)*IF($I103=1,LGD_LC,MIN(1,LGD+$K$9))*(1-$E103))</f>
        <v/>
      </c>
      <c r="O103" s="44">
        <f>IF($A103="",0,$B103*MIN(1,$C103*$J$10)*IF($I103=1,LGD_LC,MIN(1,LGD+$K$10))*(1-$E103))</f>
        <v/>
      </c>
      <c r="P103" s="44">
        <f>IF($A103="",0,$B103*MIN(1,$C103*$J$12)*IF($I103=1,LGD_LC,MIN(1,LGD+$K$12))*(1-$E103))</f>
        <v/>
      </c>
      <c r="Q103" s="44">
        <f>IF($A103="",0,$B103*(TSOFR3M+$H$6/10000+$F103)*$G103/DayBasis)</f>
        <v/>
      </c>
      <c r="R103" s="44">
        <f>IF($A103="",0,$B103*(TSOFR3M+$H$7/10000+$F103)*$G103/DayBasis)</f>
        <v/>
      </c>
      <c r="S103" s="44">
        <f>IF($A103="",0,$B103*(TSOFR3M+$H$8/10000+$F103)*$G103/DayBasis)</f>
        <v/>
      </c>
      <c r="T103" s="44">
        <f>IF($A103="",0,$B103*(TSOFR3M+$H$9/10000+$F103)*$G103/DayBasis)</f>
        <v/>
      </c>
      <c r="U103" s="44">
        <f>IF($A103="",0,$B103*(TSOFR3M+$H$10/10000+$F103)*$G103/DayBasis)</f>
        <v/>
      </c>
      <c r="V103" s="44">
        <f>IF($A103="",0,$B103*(TSOFR3M+$H$12/10000+$F103)*$G103/DayBasis)</f>
        <v/>
      </c>
      <c r="W103" s="44">
        <f>IF(OR($A103="",$M$6&lt;&gt;"Y",$O$6=""),0,IF($H103&gt;=$O$6,$B103*(TSOFR3M+$H$6/10000+$F103)*$N$6/DayBasis,0))</f>
        <v/>
      </c>
      <c r="X103" s="44">
        <f>IF(OR($A103="",$M$7&lt;&gt;"Y",$O$7=""),0,IF($H103&gt;=$O$7,$B103*(TSOFR3M+$H$7/10000+$F103)*$N$7/DayBasis,0))</f>
        <v/>
      </c>
      <c r="Y103" s="44">
        <f>IF(OR($A103="",$M$8&lt;&gt;"Y",$O$8=""),0,IF($H103&gt;=$O$8,$B103*(TSOFR3M+$H$8/10000+$F103)*$N$8/DayBasis,0))</f>
        <v/>
      </c>
      <c r="Z103" s="44">
        <f>IF(OR($A103="",$M$9&lt;&gt;"Y",$O$9=""),0,IF($H103&gt;=$O$9,$B103*(TSOFR3M+$H$9/10000+$F103)*$N$9/DayBasis,0))</f>
        <v/>
      </c>
      <c r="AA103" s="44">
        <f>IF(OR($A103="",$M$10&lt;&gt;"Y",$O$10=""),0,IF($H103&gt;=$O$10,$B103*(TSOFR3M+$H$10/10000+$F103)*$N$10/DayBasis,0))</f>
        <v/>
      </c>
      <c r="AB103" s="44">
        <f>IF(OR($A103="",$M$12&lt;&gt;"Y",$O$12=""),0,IF($H103&gt;=$O$12,$B103*(TSOFR3M+$H$12/10000+$F103)*$N$12/DayBasis,0))</f>
        <v/>
      </c>
      <c r="AC103" s="50">
        <f>IF($A103="",0,MIN(1,$C103*$C$39))</f>
        <v/>
      </c>
      <c r="AD103" s="44">
        <f>IF($A103="",0,$B103*IF($I103=1,LGD_LC,MIN(1,LGD+$C$40))*(1-$E103))</f>
        <v/>
      </c>
      <c r="AE103" s="44">
        <f>IF(OR($A103="",$B103&lt;=0,$AC103&lt;=0),0,IF($AC103&gt;=1,$AD103,IF(_xlfn.NORM.S.INV(RAND())*SQRT(1-Rho)+$C$41*SQRT(Rho)&lt;_xlfn.NORM.S.INV($AC103),$AD103,0)))</f>
        <v/>
      </c>
      <c r="AG103" t="n">
        <v>97</v>
      </c>
      <c r="AH103" s="35" t="n">
        <v>0</v>
      </c>
    </row>
    <row r="104">
      <c r="A104" s="7">
        <f>IF('02_Buyers'!$A41="","",'02_Buyers'!$A41)</f>
        <v/>
      </c>
      <c r="B104" s="44">
        <f>IF($A104="",0,'02_Buyers'!$Z41)</f>
        <v/>
      </c>
      <c r="C104" s="50">
        <f>IF($A104="",0,'02_Buyers'!$AM41)</f>
        <v/>
      </c>
      <c r="D104" s="50">
        <f>IF($A104="",0,'02_Buyers'!$AN41)</f>
        <v/>
      </c>
      <c r="E104" s="50">
        <f>IF($A104="",0,'02_Buyers'!$AO41)</f>
        <v/>
      </c>
      <c r="F104" s="50">
        <f>IF($A104="",0,'02_Buyers'!$AP41)</f>
        <v/>
      </c>
      <c r="G104" s="45">
        <f>IF($A104="",0,'02_Buyers'!$V41)</f>
        <v/>
      </c>
      <c r="H104" s="45">
        <f>IF(OR($A104="",'02_Buyers'!$AC41=""),0,'02_Buyers'!$AC41)</f>
        <v/>
      </c>
      <c r="I104" s="45">
        <f>IF($A104="",0,IF(OR('02_Buyers'!$U41="LC_SIGHT",'02_Buyers'!$U41="LC_USANCE"),1,0))</f>
        <v/>
      </c>
      <c r="J104" s="7">
        <f>IF($A104="","",'02_Buyers'!$T41)</f>
        <v/>
      </c>
      <c r="K104" s="44">
        <f>IF($A104="",0,$B104*MIN(1,$C104*$J$6)*IF($I104=1,LGD_LC,MIN(1,LGD+$K$6))*(1-$E104))</f>
        <v/>
      </c>
      <c r="L104" s="44">
        <f>IF($A104="",0,$B104*MIN(1,$C104*$J$7)*IF($I104=1,LGD_LC,MIN(1,LGD+$K$7))*(1-$E104))</f>
        <v/>
      </c>
      <c r="M104" s="44">
        <f>IF($A104="",0,$B104*MIN(1,$C104*$J$8)*IF($I104=1,LGD_LC,MIN(1,LGD+$K$8))*(1-$E104))</f>
        <v/>
      </c>
      <c r="N104" s="44">
        <f>IF($A104="",0,$B104*MIN(1,$C104*$J$9)*IF($I104=1,LGD_LC,MIN(1,LGD+$K$9))*(1-$E104))</f>
        <v/>
      </c>
      <c r="O104" s="44">
        <f>IF($A104="",0,$B104*MIN(1,$C104*$J$10)*IF($I104=1,LGD_LC,MIN(1,LGD+$K$10))*(1-$E104))</f>
        <v/>
      </c>
      <c r="P104" s="44">
        <f>IF($A104="",0,$B104*MIN(1,$C104*$J$12)*IF($I104=1,LGD_LC,MIN(1,LGD+$K$12))*(1-$E104))</f>
        <v/>
      </c>
      <c r="Q104" s="44">
        <f>IF($A104="",0,$B104*(TSOFR3M+$H$6/10000+$F104)*$G104/DayBasis)</f>
        <v/>
      </c>
      <c r="R104" s="44">
        <f>IF($A104="",0,$B104*(TSOFR3M+$H$7/10000+$F104)*$G104/DayBasis)</f>
        <v/>
      </c>
      <c r="S104" s="44">
        <f>IF($A104="",0,$B104*(TSOFR3M+$H$8/10000+$F104)*$G104/DayBasis)</f>
        <v/>
      </c>
      <c r="T104" s="44">
        <f>IF($A104="",0,$B104*(TSOFR3M+$H$9/10000+$F104)*$G104/DayBasis)</f>
        <v/>
      </c>
      <c r="U104" s="44">
        <f>IF($A104="",0,$B104*(TSOFR3M+$H$10/10000+$F104)*$G104/DayBasis)</f>
        <v/>
      </c>
      <c r="V104" s="44">
        <f>IF($A104="",0,$B104*(TSOFR3M+$H$12/10000+$F104)*$G104/DayBasis)</f>
        <v/>
      </c>
      <c r="W104" s="44">
        <f>IF(OR($A104="",$M$6&lt;&gt;"Y",$O$6=""),0,IF($H104&gt;=$O$6,$B104*(TSOFR3M+$H$6/10000+$F104)*$N$6/DayBasis,0))</f>
        <v/>
      </c>
      <c r="X104" s="44">
        <f>IF(OR($A104="",$M$7&lt;&gt;"Y",$O$7=""),0,IF($H104&gt;=$O$7,$B104*(TSOFR3M+$H$7/10000+$F104)*$N$7/DayBasis,0))</f>
        <v/>
      </c>
      <c r="Y104" s="44">
        <f>IF(OR($A104="",$M$8&lt;&gt;"Y",$O$8=""),0,IF($H104&gt;=$O$8,$B104*(TSOFR3M+$H$8/10000+$F104)*$N$8/DayBasis,0))</f>
        <v/>
      </c>
      <c r="Z104" s="44">
        <f>IF(OR($A104="",$M$9&lt;&gt;"Y",$O$9=""),0,IF($H104&gt;=$O$9,$B104*(TSOFR3M+$H$9/10000+$F104)*$N$9/DayBasis,0))</f>
        <v/>
      </c>
      <c r="AA104" s="44">
        <f>IF(OR($A104="",$M$10&lt;&gt;"Y",$O$10=""),0,IF($H104&gt;=$O$10,$B104*(TSOFR3M+$H$10/10000+$F104)*$N$10/DayBasis,0))</f>
        <v/>
      </c>
      <c r="AB104" s="44">
        <f>IF(OR($A104="",$M$12&lt;&gt;"Y",$O$12=""),0,IF($H104&gt;=$O$12,$B104*(TSOFR3M+$H$12/10000+$F104)*$N$12/DayBasis,0))</f>
        <v/>
      </c>
      <c r="AC104" s="50">
        <f>IF($A104="",0,MIN(1,$C104*$C$39))</f>
        <v/>
      </c>
      <c r="AD104" s="44">
        <f>IF($A104="",0,$B104*IF($I104=1,LGD_LC,MIN(1,LGD+$C$40))*(1-$E104))</f>
        <v/>
      </c>
      <c r="AE104" s="44">
        <f>IF(OR($A104="",$B104&lt;=0,$AC104&lt;=0),0,IF($AC104&gt;=1,$AD104,IF(_xlfn.NORM.S.INV(RAND())*SQRT(1-Rho)+$C$41*SQRT(Rho)&lt;_xlfn.NORM.S.INV($AC104),$AD104,0)))</f>
        <v/>
      </c>
      <c r="AG104" t="n">
        <v>98</v>
      </c>
      <c r="AH104" s="35" t="n">
        <v>0</v>
      </c>
    </row>
    <row r="105">
      <c r="A105" s="7">
        <f>IF('02_Buyers'!$A42="","",'02_Buyers'!$A42)</f>
        <v/>
      </c>
      <c r="B105" s="44">
        <f>IF($A105="",0,'02_Buyers'!$Z42)</f>
        <v/>
      </c>
      <c r="C105" s="50">
        <f>IF($A105="",0,'02_Buyers'!$AM42)</f>
        <v/>
      </c>
      <c r="D105" s="50">
        <f>IF($A105="",0,'02_Buyers'!$AN42)</f>
        <v/>
      </c>
      <c r="E105" s="50">
        <f>IF($A105="",0,'02_Buyers'!$AO42)</f>
        <v/>
      </c>
      <c r="F105" s="50">
        <f>IF($A105="",0,'02_Buyers'!$AP42)</f>
        <v/>
      </c>
      <c r="G105" s="45">
        <f>IF($A105="",0,'02_Buyers'!$V42)</f>
        <v/>
      </c>
      <c r="H105" s="45">
        <f>IF(OR($A105="",'02_Buyers'!$AC42=""),0,'02_Buyers'!$AC42)</f>
        <v/>
      </c>
      <c r="I105" s="45">
        <f>IF($A105="",0,IF(OR('02_Buyers'!$U42="LC_SIGHT",'02_Buyers'!$U42="LC_USANCE"),1,0))</f>
        <v/>
      </c>
      <c r="J105" s="7">
        <f>IF($A105="","",'02_Buyers'!$T42)</f>
        <v/>
      </c>
      <c r="K105" s="44">
        <f>IF($A105="",0,$B105*MIN(1,$C105*$J$6)*IF($I105=1,LGD_LC,MIN(1,LGD+$K$6))*(1-$E105))</f>
        <v/>
      </c>
      <c r="L105" s="44">
        <f>IF($A105="",0,$B105*MIN(1,$C105*$J$7)*IF($I105=1,LGD_LC,MIN(1,LGD+$K$7))*(1-$E105))</f>
        <v/>
      </c>
      <c r="M105" s="44">
        <f>IF($A105="",0,$B105*MIN(1,$C105*$J$8)*IF($I105=1,LGD_LC,MIN(1,LGD+$K$8))*(1-$E105))</f>
        <v/>
      </c>
      <c r="N105" s="44">
        <f>IF($A105="",0,$B105*MIN(1,$C105*$J$9)*IF($I105=1,LGD_LC,MIN(1,LGD+$K$9))*(1-$E105))</f>
        <v/>
      </c>
      <c r="O105" s="44">
        <f>IF($A105="",0,$B105*MIN(1,$C105*$J$10)*IF($I105=1,LGD_LC,MIN(1,LGD+$K$10))*(1-$E105))</f>
        <v/>
      </c>
      <c r="P105" s="44">
        <f>IF($A105="",0,$B105*MIN(1,$C105*$J$12)*IF($I105=1,LGD_LC,MIN(1,LGD+$K$12))*(1-$E105))</f>
        <v/>
      </c>
      <c r="Q105" s="44">
        <f>IF($A105="",0,$B105*(TSOFR3M+$H$6/10000+$F105)*$G105/DayBasis)</f>
        <v/>
      </c>
      <c r="R105" s="44">
        <f>IF($A105="",0,$B105*(TSOFR3M+$H$7/10000+$F105)*$G105/DayBasis)</f>
        <v/>
      </c>
      <c r="S105" s="44">
        <f>IF($A105="",0,$B105*(TSOFR3M+$H$8/10000+$F105)*$G105/DayBasis)</f>
        <v/>
      </c>
      <c r="T105" s="44">
        <f>IF($A105="",0,$B105*(TSOFR3M+$H$9/10000+$F105)*$G105/DayBasis)</f>
        <v/>
      </c>
      <c r="U105" s="44">
        <f>IF($A105="",0,$B105*(TSOFR3M+$H$10/10000+$F105)*$G105/DayBasis)</f>
        <v/>
      </c>
      <c r="V105" s="44">
        <f>IF($A105="",0,$B105*(TSOFR3M+$H$12/10000+$F105)*$G105/DayBasis)</f>
        <v/>
      </c>
      <c r="W105" s="44">
        <f>IF(OR($A105="",$M$6&lt;&gt;"Y",$O$6=""),0,IF($H105&gt;=$O$6,$B105*(TSOFR3M+$H$6/10000+$F105)*$N$6/DayBasis,0))</f>
        <v/>
      </c>
      <c r="X105" s="44">
        <f>IF(OR($A105="",$M$7&lt;&gt;"Y",$O$7=""),0,IF($H105&gt;=$O$7,$B105*(TSOFR3M+$H$7/10000+$F105)*$N$7/DayBasis,0))</f>
        <v/>
      </c>
      <c r="Y105" s="44">
        <f>IF(OR($A105="",$M$8&lt;&gt;"Y",$O$8=""),0,IF($H105&gt;=$O$8,$B105*(TSOFR3M+$H$8/10000+$F105)*$N$8/DayBasis,0))</f>
        <v/>
      </c>
      <c r="Z105" s="44">
        <f>IF(OR($A105="",$M$9&lt;&gt;"Y",$O$9=""),0,IF($H105&gt;=$O$9,$B105*(TSOFR3M+$H$9/10000+$F105)*$N$9/DayBasis,0))</f>
        <v/>
      </c>
      <c r="AA105" s="44">
        <f>IF(OR($A105="",$M$10&lt;&gt;"Y",$O$10=""),0,IF($H105&gt;=$O$10,$B105*(TSOFR3M+$H$10/10000+$F105)*$N$10/DayBasis,0))</f>
        <v/>
      </c>
      <c r="AB105" s="44">
        <f>IF(OR($A105="",$M$12&lt;&gt;"Y",$O$12=""),0,IF($H105&gt;=$O$12,$B105*(TSOFR3M+$H$12/10000+$F105)*$N$12/DayBasis,0))</f>
        <v/>
      </c>
      <c r="AC105" s="50">
        <f>IF($A105="",0,MIN(1,$C105*$C$39))</f>
        <v/>
      </c>
      <c r="AD105" s="44">
        <f>IF($A105="",0,$B105*IF($I105=1,LGD_LC,MIN(1,LGD+$C$40))*(1-$E105))</f>
        <v/>
      </c>
      <c r="AE105" s="44">
        <f>IF(OR($A105="",$B105&lt;=0,$AC105&lt;=0),0,IF($AC105&gt;=1,$AD105,IF(_xlfn.NORM.S.INV(RAND())*SQRT(1-Rho)+$C$41*SQRT(Rho)&lt;_xlfn.NORM.S.INV($AC105),$AD105,0)))</f>
        <v/>
      </c>
      <c r="AG105" t="n">
        <v>99</v>
      </c>
      <c r="AH105" s="35" t="n">
        <v>0</v>
      </c>
    </row>
    <row r="106">
      <c r="A106" s="7">
        <f>IF('02_Buyers'!$A43="","",'02_Buyers'!$A43)</f>
        <v/>
      </c>
      <c r="B106" s="44">
        <f>IF($A106="",0,'02_Buyers'!$Z43)</f>
        <v/>
      </c>
      <c r="C106" s="50">
        <f>IF($A106="",0,'02_Buyers'!$AM43)</f>
        <v/>
      </c>
      <c r="D106" s="50">
        <f>IF($A106="",0,'02_Buyers'!$AN43)</f>
        <v/>
      </c>
      <c r="E106" s="50">
        <f>IF($A106="",0,'02_Buyers'!$AO43)</f>
        <v/>
      </c>
      <c r="F106" s="50">
        <f>IF($A106="",0,'02_Buyers'!$AP43)</f>
        <v/>
      </c>
      <c r="G106" s="45">
        <f>IF($A106="",0,'02_Buyers'!$V43)</f>
        <v/>
      </c>
      <c r="H106" s="45">
        <f>IF(OR($A106="",'02_Buyers'!$AC43=""),0,'02_Buyers'!$AC43)</f>
        <v/>
      </c>
      <c r="I106" s="45">
        <f>IF($A106="",0,IF(OR('02_Buyers'!$U43="LC_SIGHT",'02_Buyers'!$U43="LC_USANCE"),1,0))</f>
        <v/>
      </c>
      <c r="J106" s="7">
        <f>IF($A106="","",'02_Buyers'!$T43)</f>
        <v/>
      </c>
      <c r="K106" s="44">
        <f>IF($A106="",0,$B106*MIN(1,$C106*$J$6)*IF($I106=1,LGD_LC,MIN(1,LGD+$K$6))*(1-$E106))</f>
        <v/>
      </c>
      <c r="L106" s="44">
        <f>IF($A106="",0,$B106*MIN(1,$C106*$J$7)*IF($I106=1,LGD_LC,MIN(1,LGD+$K$7))*(1-$E106))</f>
        <v/>
      </c>
      <c r="M106" s="44">
        <f>IF($A106="",0,$B106*MIN(1,$C106*$J$8)*IF($I106=1,LGD_LC,MIN(1,LGD+$K$8))*(1-$E106))</f>
        <v/>
      </c>
      <c r="N106" s="44">
        <f>IF($A106="",0,$B106*MIN(1,$C106*$J$9)*IF($I106=1,LGD_LC,MIN(1,LGD+$K$9))*(1-$E106))</f>
        <v/>
      </c>
      <c r="O106" s="44">
        <f>IF($A106="",0,$B106*MIN(1,$C106*$J$10)*IF($I106=1,LGD_LC,MIN(1,LGD+$K$10))*(1-$E106))</f>
        <v/>
      </c>
      <c r="P106" s="44">
        <f>IF($A106="",0,$B106*MIN(1,$C106*$J$12)*IF($I106=1,LGD_LC,MIN(1,LGD+$K$12))*(1-$E106))</f>
        <v/>
      </c>
      <c r="Q106" s="44">
        <f>IF($A106="",0,$B106*(TSOFR3M+$H$6/10000+$F106)*$G106/DayBasis)</f>
        <v/>
      </c>
      <c r="R106" s="44">
        <f>IF($A106="",0,$B106*(TSOFR3M+$H$7/10000+$F106)*$G106/DayBasis)</f>
        <v/>
      </c>
      <c r="S106" s="44">
        <f>IF($A106="",0,$B106*(TSOFR3M+$H$8/10000+$F106)*$G106/DayBasis)</f>
        <v/>
      </c>
      <c r="T106" s="44">
        <f>IF($A106="",0,$B106*(TSOFR3M+$H$9/10000+$F106)*$G106/DayBasis)</f>
        <v/>
      </c>
      <c r="U106" s="44">
        <f>IF($A106="",0,$B106*(TSOFR3M+$H$10/10000+$F106)*$G106/DayBasis)</f>
        <v/>
      </c>
      <c r="V106" s="44">
        <f>IF($A106="",0,$B106*(TSOFR3M+$H$12/10000+$F106)*$G106/DayBasis)</f>
        <v/>
      </c>
      <c r="W106" s="44">
        <f>IF(OR($A106="",$M$6&lt;&gt;"Y",$O$6=""),0,IF($H106&gt;=$O$6,$B106*(TSOFR3M+$H$6/10000+$F106)*$N$6/DayBasis,0))</f>
        <v/>
      </c>
      <c r="X106" s="44">
        <f>IF(OR($A106="",$M$7&lt;&gt;"Y",$O$7=""),0,IF($H106&gt;=$O$7,$B106*(TSOFR3M+$H$7/10000+$F106)*$N$7/DayBasis,0))</f>
        <v/>
      </c>
      <c r="Y106" s="44">
        <f>IF(OR($A106="",$M$8&lt;&gt;"Y",$O$8=""),0,IF($H106&gt;=$O$8,$B106*(TSOFR3M+$H$8/10000+$F106)*$N$8/DayBasis,0))</f>
        <v/>
      </c>
      <c r="Z106" s="44">
        <f>IF(OR($A106="",$M$9&lt;&gt;"Y",$O$9=""),0,IF($H106&gt;=$O$9,$B106*(TSOFR3M+$H$9/10000+$F106)*$N$9/DayBasis,0))</f>
        <v/>
      </c>
      <c r="AA106" s="44">
        <f>IF(OR($A106="",$M$10&lt;&gt;"Y",$O$10=""),0,IF($H106&gt;=$O$10,$B106*(TSOFR3M+$H$10/10000+$F106)*$N$10/DayBasis,0))</f>
        <v/>
      </c>
      <c r="AB106" s="44">
        <f>IF(OR($A106="",$M$12&lt;&gt;"Y",$O$12=""),0,IF($H106&gt;=$O$12,$B106*(TSOFR3M+$H$12/10000+$F106)*$N$12/DayBasis,0))</f>
        <v/>
      </c>
      <c r="AC106" s="50">
        <f>IF($A106="",0,MIN(1,$C106*$C$39))</f>
        <v/>
      </c>
      <c r="AD106" s="44">
        <f>IF($A106="",0,$B106*IF($I106=1,LGD_LC,MIN(1,LGD+$C$40))*(1-$E106))</f>
        <v/>
      </c>
      <c r="AE106" s="44">
        <f>IF(OR($A106="",$B106&lt;=0,$AC106&lt;=0),0,IF($AC106&gt;=1,$AD106,IF(_xlfn.NORM.S.INV(RAND())*SQRT(1-Rho)+$C$41*SQRT(Rho)&lt;_xlfn.NORM.S.INV($AC106),$AD106,0)))</f>
        <v/>
      </c>
      <c r="AG106" t="n">
        <v>100</v>
      </c>
      <c r="AH106" s="35" t="n">
        <v>0</v>
      </c>
    </row>
    <row r="107">
      <c r="A107" s="7">
        <f>IF('02_Buyers'!$A44="","",'02_Buyers'!$A44)</f>
        <v/>
      </c>
      <c r="B107" s="44">
        <f>IF($A107="",0,'02_Buyers'!$Z44)</f>
        <v/>
      </c>
      <c r="C107" s="50">
        <f>IF($A107="",0,'02_Buyers'!$AM44)</f>
        <v/>
      </c>
      <c r="D107" s="50">
        <f>IF($A107="",0,'02_Buyers'!$AN44)</f>
        <v/>
      </c>
      <c r="E107" s="50">
        <f>IF($A107="",0,'02_Buyers'!$AO44)</f>
        <v/>
      </c>
      <c r="F107" s="50">
        <f>IF($A107="",0,'02_Buyers'!$AP44)</f>
        <v/>
      </c>
      <c r="G107" s="45">
        <f>IF($A107="",0,'02_Buyers'!$V44)</f>
        <v/>
      </c>
      <c r="H107" s="45">
        <f>IF(OR($A107="",'02_Buyers'!$AC44=""),0,'02_Buyers'!$AC44)</f>
        <v/>
      </c>
      <c r="I107" s="45">
        <f>IF($A107="",0,IF(OR('02_Buyers'!$U44="LC_SIGHT",'02_Buyers'!$U44="LC_USANCE"),1,0))</f>
        <v/>
      </c>
      <c r="J107" s="7">
        <f>IF($A107="","",'02_Buyers'!$T44)</f>
        <v/>
      </c>
      <c r="K107" s="44">
        <f>IF($A107="",0,$B107*MIN(1,$C107*$J$6)*IF($I107=1,LGD_LC,MIN(1,LGD+$K$6))*(1-$E107))</f>
        <v/>
      </c>
      <c r="L107" s="44">
        <f>IF($A107="",0,$B107*MIN(1,$C107*$J$7)*IF($I107=1,LGD_LC,MIN(1,LGD+$K$7))*(1-$E107))</f>
        <v/>
      </c>
      <c r="M107" s="44">
        <f>IF($A107="",0,$B107*MIN(1,$C107*$J$8)*IF($I107=1,LGD_LC,MIN(1,LGD+$K$8))*(1-$E107))</f>
        <v/>
      </c>
      <c r="N107" s="44">
        <f>IF($A107="",0,$B107*MIN(1,$C107*$J$9)*IF($I107=1,LGD_LC,MIN(1,LGD+$K$9))*(1-$E107))</f>
        <v/>
      </c>
      <c r="O107" s="44">
        <f>IF($A107="",0,$B107*MIN(1,$C107*$J$10)*IF($I107=1,LGD_LC,MIN(1,LGD+$K$10))*(1-$E107))</f>
        <v/>
      </c>
      <c r="P107" s="44">
        <f>IF($A107="",0,$B107*MIN(1,$C107*$J$12)*IF($I107=1,LGD_LC,MIN(1,LGD+$K$12))*(1-$E107))</f>
        <v/>
      </c>
      <c r="Q107" s="44">
        <f>IF($A107="",0,$B107*(TSOFR3M+$H$6/10000+$F107)*$G107/DayBasis)</f>
        <v/>
      </c>
      <c r="R107" s="44">
        <f>IF($A107="",0,$B107*(TSOFR3M+$H$7/10000+$F107)*$G107/DayBasis)</f>
        <v/>
      </c>
      <c r="S107" s="44">
        <f>IF($A107="",0,$B107*(TSOFR3M+$H$8/10000+$F107)*$G107/DayBasis)</f>
        <v/>
      </c>
      <c r="T107" s="44">
        <f>IF($A107="",0,$B107*(TSOFR3M+$H$9/10000+$F107)*$G107/DayBasis)</f>
        <v/>
      </c>
      <c r="U107" s="44">
        <f>IF($A107="",0,$B107*(TSOFR3M+$H$10/10000+$F107)*$G107/DayBasis)</f>
        <v/>
      </c>
      <c r="V107" s="44">
        <f>IF($A107="",0,$B107*(TSOFR3M+$H$12/10000+$F107)*$G107/DayBasis)</f>
        <v/>
      </c>
      <c r="W107" s="44">
        <f>IF(OR($A107="",$M$6&lt;&gt;"Y",$O$6=""),0,IF($H107&gt;=$O$6,$B107*(TSOFR3M+$H$6/10000+$F107)*$N$6/DayBasis,0))</f>
        <v/>
      </c>
      <c r="X107" s="44">
        <f>IF(OR($A107="",$M$7&lt;&gt;"Y",$O$7=""),0,IF($H107&gt;=$O$7,$B107*(TSOFR3M+$H$7/10000+$F107)*$N$7/DayBasis,0))</f>
        <v/>
      </c>
      <c r="Y107" s="44">
        <f>IF(OR($A107="",$M$8&lt;&gt;"Y",$O$8=""),0,IF($H107&gt;=$O$8,$B107*(TSOFR3M+$H$8/10000+$F107)*$N$8/DayBasis,0))</f>
        <v/>
      </c>
      <c r="Z107" s="44">
        <f>IF(OR($A107="",$M$9&lt;&gt;"Y",$O$9=""),0,IF($H107&gt;=$O$9,$B107*(TSOFR3M+$H$9/10000+$F107)*$N$9/DayBasis,0))</f>
        <v/>
      </c>
      <c r="AA107" s="44">
        <f>IF(OR($A107="",$M$10&lt;&gt;"Y",$O$10=""),0,IF($H107&gt;=$O$10,$B107*(TSOFR3M+$H$10/10000+$F107)*$N$10/DayBasis,0))</f>
        <v/>
      </c>
      <c r="AB107" s="44">
        <f>IF(OR($A107="",$M$12&lt;&gt;"Y",$O$12=""),0,IF($H107&gt;=$O$12,$B107*(TSOFR3M+$H$12/10000+$F107)*$N$12/DayBasis,0))</f>
        <v/>
      </c>
      <c r="AC107" s="50">
        <f>IF($A107="",0,MIN(1,$C107*$C$39))</f>
        <v/>
      </c>
      <c r="AD107" s="44">
        <f>IF($A107="",0,$B107*IF($I107=1,LGD_LC,MIN(1,LGD+$C$40))*(1-$E107))</f>
        <v/>
      </c>
      <c r="AE107" s="44">
        <f>IF(OR($A107="",$B107&lt;=0,$AC107&lt;=0),0,IF($AC107&gt;=1,$AD107,IF(_xlfn.NORM.S.INV(RAND())*SQRT(1-Rho)+$C$41*SQRT(Rho)&lt;_xlfn.NORM.S.INV($AC107),$AD107,0)))</f>
        <v/>
      </c>
      <c r="AG107" t="n">
        <v>101</v>
      </c>
      <c r="AH107" s="35" t="n">
        <v>0</v>
      </c>
    </row>
    <row r="108">
      <c r="A108" s="7">
        <f>IF('02_Buyers'!$A45="","",'02_Buyers'!$A45)</f>
        <v/>
      </c>
      <c r="B108" s="44">
        <f>IF($A108="",0,'02_Buyers'!$Z45)</f>
        <v/>
      </c>
      <c r="C108" s="50">
        <f>IF($A108="",0,'02_Buyers'!$AM45)</f>
        <v/>
      </c>
      <c r="D108" s="50">
        <f>IF($A108="",0,'02_Buyers'!$AN45)</f>
        <v/>
      </c>
      <c r="E108" s="50">
        <f>IF($A108="",0,'02_Buyers'!$AO45)</f>
        <v/>
      </c>
      <c r="F108" s="50">
        <f>IF($A108="",0,'02_Buyers'!$AP45)</f>
        <v/>
      </c>
      <c r="G108" s="45">
        <f>IF($A108="",0,'02_Buyers'!$V45)</f>
        <v/>
      </c>
      <c r="H108" s="45">
        <f>IF(OR($A108="",'02_Buyers'!$AC45=""),0,'02_Buyers'!$AC45)</f>
        <v/>
      </c>
      <c r="I108" s="45">
        <f>IF($A108="",0,IF(OR('02_Buyers'!$U45="LC_SIGHT",'02_Buyers'!$U45="LC_USANCE"),1,0))</f>
        <v/>
      </c>
      <c r="J108" s="7">
        <f>IF($A108="","",'02_Buyers'!$T45)</f>
        <v/>
      </c>
      <c r="K108" s="44">
        <f>IF($A108="",0,$B108*MIN(1,$C108*$J$6)*IF($I108=1,LGD_LC,MIN(1,LGD+$K$6))*(1-$E108))</f>
        <v/>
      </c>
      <c r="L108" s="44">
        <f>IF($A108="",0,$B108*MIN(1,$C108*$J$7)*IF($I108=1,LGD_LC,MIN(1,LGD+$K$7))*(1-$E108))</f>
        <v/>
      </c>
      <c r="M108" s="44">
        <f>IF($A108="",0,$B108*MIN(1,$C108*$J$8)*IF($I108=1,LGD_LC,MIN(1,LGD+$K$8))*(1-$E108))</f>
        <v/>
      </c>
      <c r="N108" s="44">
        <f>IF($A108="",0,$B108*MIN(1,$C108*$J$9)*IF($I108=1,LGD_LC,MIN(1,LGD+$K$9))*(1-$E108))</f>
        <v/>
      </c>
      <c r="O108" s="44">
        <f>IF($A108="",0,$B108*MIN(1,$C108*$J$10)*IF($I108=1,LGD_LC,MIN(1,LGD+$K$10))*(1-$E108))</f>
        <v/>
      </c>
      <c r="P108" s="44">
        <f>IF($A108="",0,$B108*MIN(1,$C108*$J$12)*IF($I108=1,LGD_LC,MIN(1,LGD+$K$12))*(1-$E108))</f>
        <v/>
      </c>
      <c r="Q108" s="44">
        <f>IF($A108="",0,$B108*(TSOFR3M+$H$6/10000+$F108)*$G108/DayBasis)</f>
        <v/>
      </c>
      <c r="R108" s="44">
        <f>IF($A108="",0,$B108*(TSOFR3M+$H$7/10000+$F108)*$G108/DayBasis)</f>
        <v/>
      </c>
      <c r="S108" s="44">
        <f>IF($A108="",0,$B108*(TSOFR3M+$H$8/10000+$F108)*$G108/DayBasis)</f>
        <v/>
      </c>
      <c r="T108" s="44">
        <f>IF($A108="",0,$B108*(TSOFR3M+$H$9/10000+$F108)*$G108/DayBasis)</f>
        <v/>
      </c>
      <c r="U108" s="44">
        <f>IF($A108="",0,$B108*(TSOFR3M+$H$10/10000+$F108)*$G108/DayBasis)</f>
        <v/>
      </c>
      <c r="V108" s="44">
        <f>IF($A108="",0,$B108*(TSOFR3M+$H$12/10000+$F108)*$G108/DayBasis)</f>
        <v/>
      </c>
      <c r="W108" s="44">
        <f>IF(OR($A108="",$M$6&lt;&gt;"Y",$O$6=""),0,IF($H108&gt;=$O$6,$B108*(TSOFR3M+$H$6/10000+$F108)*$N$6/DayBasis,0))</f>
        <v/>
      </c>
      <c r="X108" s="44">
        <f>IF(OR($A108="",$M$7&lt;&gt;"Y",$O$7=""),0,IF($H108&gt;=$O$7,$B108*(TSOFR3M+$H$7/10000+$F108)*$N$7/DayBasis,0))</f>
        <v/>
      </c>
      <c r="Y108" s="44">
        <f>IF(OR($A108="",$M$8&lt;&gt;"Y",$O$8=""),0,IF($H108&gt;=$O$8,$B108*(TSOFR3M+$H$8/10000+$F108)*$N$8/DayBasis,0))</f>
        <v/>
      </c>
      <c r="Z108" s="44">
        <f>IF(OR($A108="",$M$9&lt;&gt;"Y",$O$9=""),0,IF($H108&gt;=$O$9,$B108*(TSOFR3M+$H$9/10000+$F108)*$N$9/DayBasis,0))</f>
        <v/>
      </c>
      <c r="AA108" s="44">
        <f>IF(OR($A108="",$M$10&lt;&gt;"Y",$O$10=""),0,IF($H108&gt;=$O$10,$B108*(TSOFR3M+$H$10/10000+$F108)*$N$10/DayBasis,0))</f>
        <v/>
      </c>
      <c r="AB108" s="44">
        <f>IF(OR($A108="",$M$12&lt;&gt;"Y",$O$12=""),0,IF($H108&gt;=$O$12,$B108*(TSOFR3M+$H$12/10000+$F108)*$N$12/DayBasis,0))</f>
        <v/>
      </c>
      <c r="AC108" s="50">
        <f>IF($A108="",0,MIN(1,$C108*$C$39))</f>
        <v/>
      </c>
      <c r="AD108" s="44">
        <f>IF($A108="",0,$B108*IF($I108=1,LGD_LC,MIN(1,LGD+$C$40))*(1-$E108))</f>
        <v/>
      </c>
      <c r="AE108" s="44">
        <f>IF(OR($A108="",$B108&lt;=0,$AC108&lt;=0),0,IF($AC108&gt;=1,$AD108,IF(_xlfn.NORM.S.INV(RAND())*SQRT(1-Rho)+$C$41*SQRT(Rho)&lt;_xlfn.NORM.S.INV($AC108),$AD108,0)))</f>
        <v/>
      </c>
      <c r="AG108" t="n">
        <v>102</v>
      </c>
      <c r="AH108" s="35" t="n">
        <v>0</v>
      </c>
    </row>
    <row r="109">
      <c r="A109" s="7">
        <f>IF('02_Buyers'!$A46="","",'02_Buyers'!$A46)</f>
        <v/>
      </c>
      <c r="B109" s="44">
        <f>IF($A109="",0,'02_Buyers'!$Z46)</f>
        <v/>
      </c>
      <c r="C109" s="50">
        <f>IF($A109="",0,'02_Buyers'!$AM46)</f>
        <v/>
      </c>
      <c r="D109" s="50">
        <f>IF($A109="",0,'02_Buyers'!$AN46)</f>
        <v/>
      </c>
      <c r="E109" s="50">
        <f>IF($A109="",0,'02_Buyers'!$AO46)</f>
        <v/>
      </c>
      <c r="F109" s="50">
        <f>IF($A109="",0,'02_Buyers'!$AP46)</f>
        <v/>
      </c>
      <c r="G109" s="45">
        <f>IF($A109="",0,'02_Buyers'!$V46)</f>
        <v/>
      </c>
      <c r="H109" s="45">
        <f>IF(OR($A109="",'02_Buyers'!$AC46=""),0,'02_Buyers'!$AC46)</f>
        <v/>
      </c>
      <c r="I109" s="45">
        <f>IF($A109="",0,IF(OR('02_Buyers'!$U46="LC_SIGHT",'02_Buyers'!$U46="LC_USANCE"),1,0))</f>
        <v/>
      </c>
      <c r="J109" s="7">
        <f>IF($A109="","",'02_Buyers'!$T46)</f>
        <v/>
      </c>
      <c r="K109" s="44">
        <f>IF($A109="",0,$B109*MIN(1,$C109*$J$6)*IF($I109=1,LGD_LC,MIN(1,LGD+$K$6))*(1-$E109))</f>
        <v/>
      </c>
      <c r="L109" s="44">
        <f>IF($A109="",0,$B109*MIN(1,$C109*$J$7)*IF($I109=1,LGD_LC,MIN(1,LGD+$K$7))*(1-$E109))</f>
        <v/>
      </c>
      <c r="M109" s="44">
        <f>IF($A109="",0,$B109*MIN(1,$C109*$J$8)*IF($I109=1,LGD_LC,MIN(1,LGD+$K$8))*(1-$E109))</f>
        <v/>
      </c>
      <c r="N109" s="44">
        <f>IF($A109="",0,$B109*MIN(1,$C109*$J$9)*IF($I109=1,LGD_LC,MIN(1,LGD+$K$9))*(1-$E109))</f>
        <v/>
      </c>
      <c r="O109" s="44">
        <f>IF($A109="",0,$B109*MIN(1,$C109*$J$10)*IF($I109=1,LGD_LC,MIN(1,LGD+$K$10))*(1-$E109))</f>
        <v/>
      </c>
      <c r="P109" s="44">
        <f>IF($A109="",0,$B109*MIN(1,$C109*$J$12)*IF($I109=1,LGD_LC,MIN(1,LGD+$K$12))*(1-$E109))</f>
        <v/>
      </c>
      <c r="Q109" s="44">
        <f>IF($A109="",0,$B109*(TSOFR3M+$H$6/10000+$F109)*$G109/DayBasis)</f>
        <v/>
      </c>
      <c r="R109" s="44">
        <f>IF($A109="",0,$B109*(TSOFR3M+$H$7/10000+$F109)*$G109/DayBasis)</f>
        <v/>
      </c>
      <c r="S109" s="44">
        <f>IF($A109="",0,$B109*(TSOFR3M+$H$8/10000+$F109)*$G109/DayBasis)</f>
        <v/>
      </c>
      <c r="T109" s="44">
        <f>IF($A109="",0,$B109*(TSOFR3M+$H$9/10000+$F109)*$G109/DayBasis)</f>
        <v/>
      </c>
      <c r="U109" s="44">
        <f>IF($A109="",0,$B109*(TSOFR3M+$H$10/10000+$F109)*$G109/DayBasis)</f>
        <v/>
      </c>
      <c r="V109" s="44">
        <f>IF($A109="",0,$B109*(TSOFR3M+$H$12/10000+$F109)*$G109/DayBasis)</f>
        <v/>
      </c>
      <c r="W109" s="44">
        <f>IF(OR($A109="",$M$6&lt;&gt;"Y",$O$6=""),0,IF($H109&gt;=$O$6,$B109*(TSOFR3M+$H$6/10000+$F109)*$N$6/DayBasis,0))</f>
        <v/>
      </c>
      <c r="X109" s="44">
        <f>IF(OR($A109="",$M$7&lt;&gt;"Y",$O$7=""),0,IF($H109&gt;=$O$7,$B109*(TSOFR3M+$H$7/10000+$F109)*$N$7/DayBasis,0))</f>
        <v/>
      </c>
      <c r="Y109" s="44">
        <f>IF(OR($A109="",$M$8&lt;&gt;"Y",$O$8=""),0,IF($H109&gt;=$O$8,$B109*(TSOFR3M+$H$8/10000+$F109)*$N$8/DayBasis,0))</f>
        <v/>
      </c>
      <c r="Z109" s="44">
        <f>IF(OR($A109="",$M$9&lt;&gt;"Y",$O$9=""),0,IF($H109&gt;=$O$9,$B109*(TSOFR3M+$H$9/10000+$F109)*$N$9/DayBasis,0))</f>
        <v/>
      </c>
      <c r="AA109" s="44">
        <f>IF(OR($A109="",$M$10&lt;&gt;"Y",$O$10=""),0,IF($H109&gt;=$O$10,$B109*(TSOFR3M+$H$10/10000+$F109)*$N$10/DayBasis,0))</f>
        <v/>
      </c>
      <c r="AB109" s="44">
        <f>IF(OR($A109="",$M$12&lt;&gt;"Y",$O$12=""),0,IF($H109&gt;=$O$12,$B109*(TSOFR3M+$H$12/10000+$F109)*$N$12/DayBasis,0))</f>
        <v/>
      </c>
      <c r="AC109" s="50">
        <f>IF($A109="",0,MIN(1,$C109*$C$39))</f>
        <v/>
      </c>
      <c r="AD109" s="44">
        <f>IF($A109="",0,$B109*IF($I109=1,LGD_LC,MIN(1,LGD+$C$40))*(1-$E109))</f>
        <v/>
      </c>
      <c r="AE109" s="44">
        <f>IF(OR($A109="",$B109&lt;=0,$AC109&lt;=0),0,IF($AC109&gt;=1,$AD109,IF(_xlfn.NORM.S.INV(RAND())*SQRT(1-Rho)+$C$41*SQRT(Rho)&lt;_xlfn.NORM.S.INV($AC109),$AD109,0)))</f>
        <v/>
      </c>
      <c r="AG109" t="n">
        <v>103</v>
      </c>
      <c r="AH109" s="35" t="n">
        <v>0</v>
      </c>
    </row>
    <row r="110">
      <c r="A110" s="7">
        <f>IF('02_Buyers'!$A47="","",'02_Buyers'!$A47)</f>
        <v/>
      </c>
      <c r="B110" s="44">
        <f>IF($A110="",0,'02_Buyers'!$Z47)</f>
        <v/>
      </c>
      <c r="C110" s="50">
        <f>IF($A110="",0,'02_Buyers'!$AM47)</f>
        <v/>
      </c>
      <c r="D110" s="50">
        <f>IF($A110="",0,'02_Buyers'!$AN47)</f>
        <v/>
      </c>
      <c r="E110" s="50">
        <f>IF($A110="",0,'02_Buyers'!$AO47)</f>
        <v/>
      </c>
      <c r="F110" s="50">
        <f>IF($A110="",0,'02_Buyers'!$AP47)</f>
        <v/>
      </c>
      <c r="G110" s="45">
        <f>IF($A110="",0,'02_Buyers'!$V47)</f>
        <v/>
      </c>
      <c r="H110" s="45">
        <f>IF(OR($A110="",'02_Buyers'!$AC47=""),0,'02_Buyers'!$AC47)</f>
        <v/>
      </c>
      <c r="I110" s="45">
        <f>IF($A110="",0,IF(OR('02_Buyers'!$U47="LC_SIGHT",'02_Buyers'!$U47="LC_USANCE"),1,0))</f>
        <v/>
      </c>
      <c r="J110" s="7">
        <f>IF($A110="","",'02_Buyers'!$T47)</f>
        <v/>
      </c>
      <c r="K110" s="44">
        <f>IF($A110="",0,$B110*MIN(1,$C110*$J$6)*IF($I110=1,LGD_LC,MIN(1,LGD+$K$6))*(1-$E110))</f>
        <v/>
      </c>
      <c r="L110" s="44">
        <f>IF($A110="",0,$B110*MIN(1,$C110*$J$7)*IF($I110=1,LGD_LC,MIN(1,LGD+$K$7))*(1-$E110))</f>
        <v/>
      </c>
      <c r="M110" s="44">
        <f>IF($A110="",0,$B110*MIN(1,$C110*$J$8)*IF($I110=1,LGD_LC,MIN(1,LGD+$K$8))*(1-$E110))</f>
        <v/>
      </c>
      <c r="N110" s="44">
        <f>IF($A110="",0,$B110*MIN(1,$C110*$J$9)*IF($I110=1,LGD_LC,MIN(1,LGD+$K$9))*(1-$E110))</f>
        <v/>
      </c>
      <c r="O110" s="44">
        <f>IF($A110="",0,$B110*MIN(1,$C110*$J$10)*IF($I110=1,LGD_LC,MIN(1,LGD+$K$10))*(1-$E110))</f>
        <v/>
      </c>
      <c r="P110" s="44">
        <f>IF($A110="",0,$B110*MIN(1,$C110*$J$12)*IF($I110=1,LGD_LC,MIN(1,LGD+$K$12))*(1-$E110))</f>
        <v/>
      </c>
      <c r="Q110" s="44">
        <f>IF($A110="",0,$B110*(TSOFR3M+$H$6/10000+$F110)*$G110/DayBasis)</f>
        <v/>
      </c>
      <c r="R110" s="44">
        <f>IF($A110="",0,$B110*(TSOFR3M+$H$7/10000+$F110)*$G110/DayBasis)</f>
        <v/>
      </c>
      <c r="S110" s="44">
        <f>IF($A110="",0,$B110*(TSOFR3M+$H$8/10000+$F110)*$G110/DayBasis)</f>
        <v/>
      </c>
      <c r="T110" s="44">
        <f>IF($A110="",0,$B110*(TSOFR3M+$H$9/10000+$F110)*$G110/DayBasis)</f>
        <v/>
      </c>
      <c r="U110" s="44">
        <f>IF($A110="",0,$B110*(TSOFR3M+$H$10/10000+$F110)*$G110/DayBasis)</f>
        <v/>
      </c>
      <c r="V110" s="44">
        <f>IF($A110="",0,$B110*(TSOFR3M+$H$12/10000+$F110)*$G110/DayBasis)</f>
        <v/>
      </c>
      <c r="W110" s="44">
        <f>IF(OR($A110="",$M$6&lt;&gt;"Y",$O$6=""),0,IF($H110&gt;=$O$6,$B110*(TSOFR3M+$H$6/10000+$F110)*$N$6/DayBasis,0))</f>
        <v/>
      </c>
      <c r="X110" s="44">
        <f>IF(OR($A110="",$M$7&lt;&gt;"Y",$O$7=""),0,IF($H110&gt;=$O$7,$B110*(TSOFR3M+$H$7/10000+$F110)*$N$7/DayBasis,0))</f>
        <v/>
      </c>
      <c r="Y110" s="44">
        <f>IF(OR($A110="",$M$8&lt;&gt;"Y",$O$8=""),0,IF($H110&gt;=$O$8,$B110*(TSOFR3M+$H$8/10000+$F110)*$N$8/DayBasis,0))</f>
        <v/>
      </c>
      <c r="Z110" s="44">
        <f>IF(OR($A110="",$M$9&lt;&gt;"Y",$O$9=""),0,IF($H110&gt;=$O$9,$B110*(TSOFR3M+$H$9/10000+$F110)*$N$9/DayBasis,0))</f>
        <v/>
      </c>
      <c r="AA110" s="44">
        <f>IF(OR($A110="",$M$10&lt;&gt;"Y",$O$10=""),0,IF($H110&gt;=$O$10,$B110*(TSOFR3M+$H$10/10000+$F110)*$N$10/DayBasis,0))</f>
        <v/>
      </c>
      <c r="AB110" s="44">
        <f>IF(OR($A110="",$M$12&lt;&gt;"Y",$O$12=""),0,IF($H110&gt;=$O$12,$B110*(TSOFR3M+$H$12/10000+$F110)*$N$12/DayBasis,0))</f>
        <v/>
      </c>
      <c r="AC110" s="50">
        <f>IF($A110="",0,MIN(1,$C110*$C$39))</f>
        <v/>
      </c>
      <c r="AD110" s="44">
        <f>IF($A110="",0,$B110*IF($I110=1,LGD_LC,MIN(1,LGD+$C$40))*(1-$E110))</f>
        <v/>
      </c>
      <c r="AE110" s="44">
        <f>IF(OR($A110="",$B110&lt;=0,$AC110&lt;=0),0,IF($AC110&gt;=1,$AD110,IF(_xlfn.NORM.S.INV(RAND())*SQRT(1-Rho)+$C$41*SQRT(Rho)&lt;_xlfn.NORM.S.INV($AC110),$AD110,0)))</f>
        <v/>
      </c>
      <c r="AG110" t="n">
        <v>104</v>
      </c>
      <c r="AH110" s="35" t="n">
        <v>0</v>
      </c>
    </row>
    <row r="111">
      <c r="A111" s="7">
        <f>IF('02_Buyers'!$A48="","",'02_Buyers'!$A48)</f>
        <v/>
      </c>
      <c r="B111" s="44">
        <f>IF($A111="",0,'02_Buyers'!$Z48)</f>
        <v/>
      </c>
      <c r="C111" s="50">
        <f>IF($A111="",0,'02_Buyers'!$AM48)</f>
        <v/>
      </c>
      <c r="D111" s="50">
        <f>IF($A111="",0,'02_Buyers'!$AN48)</f>
        <v/>
      </c>
      <c r="E111" s="50">
        <f>IF($A111="",0,'02_Buyers'!$AO48)</f>
        <v/>
      </c>
      <c r="F111" s="50">
        <f>IF($A111="",0,'02_Buyers'!$AP48)</f>
        <v/>
      </c>
      <c r="G111" s="45">
        <f>IF($A111="",0,'02_Buyers'!$V48)</f>
        <v/>
      </c>
      <c r="H111" s="45">
        <f>IF(OR($A111="",'02_Buyers'!$AC48=""),0,'02_Buyers'!$AC48)</f>
        <v/>
      </c>
      <c r="I111" s="45">
        <f>IF($A111="",0,IF(OR('02_Buyers'!$U48="LC_SIGHT",'02_Buyers'!$U48="LC_USANCE"),1,0))</f>
        <v/>
      </c>
      <c r="J111" s="7">
        <f>IF($A111="","",'02_Buyers'!$T48)</f>
        <v/>
      </c>
      <c r="K111" s="44">
        <f>IF($A111="",0,$B111*MIN(1,$C111*$J$6)*IF($I111=1,LGD_LC,MIN(1,LGD+$K$6))*(1-$E111))</f>
        <v/>
      </c>
      <c r="L111" s="44">
        <f>IF($A111="",0,$B111*MIN(1,$C111*$J$7)*IF($I111=1,LGD_LC,MIN(1,LGD+$K$7))*(1-$E111))</f>
        <v/>
      </c>
      <c r="M111" s="44">
        <f>IF($A111="",0,$B111*MIN(1,$C111*$J$8)*IF($I111=1,LGD_LC,MIN(1,LGD+$K$8))*(1-$E111))</f>
        <v/>
      </c>
      <c r="N111" s="44">
        <f>IF($A111="",0,$B111*MIN(1,$C111*$J$9)*IF($I111=1,LGD_LC,MIN(1,LGD+$K$9))*(1-$E111))</f>
        <v/>
      </c>
      <c r="O111" s="44">
        <f>IF($A111="",0,$B111*MIN(1,$C111*$J$10)*IF($I111=1,LGD_LC,MIN(1,LGD+$K$10))*(1-$E111))</f>
        <v/>
      </c>
      <c r="P111" s="44">
        <f>IF($A111="",0,$B111*MIN(1,$C111*$J$12)*IF($I111=1,LGD_LC,MIN(1,LGD+$K$12))*(1-$E111))</f>
        <v/>
      </c>
      <c r="Q111" s="44">
        <f>IF($A111="",0,$B111*(TSOFR3M+$H$6/10000+$F111)*$G111/DayBasis)</f>
        <v/>
      </c>
      <c r="R111" s="44">
        <f>IF($A111="",0,$B111*(TSOFR3M+$H$7/10000+$F111)*$G111/DayBasis)</f>
        <v/>
      </c>
      <c r="S111" s="44">
        <f>IF($A111="",0,$B111*(TSOFR3M+$H$8/10000+$F111)*$G111/DayBasis)</f>
        <v/>
      </c>
      <c r="T111" s="44">
        <f>IF($A111="",0,$B111*(TSOFR3M+$H$9/10000+$F111)*$G111/DayBasis)</f>
        <v/>
      </c>
      <c r="U111" s="44">
        <f>IF($A111="",0,$B111*(TSOFR3M+$H$10/10000+$F111)*$G111/DayBasis)</f>
        <v/>
      </c>
      <c r="V111" s="44">
        <f>IF($A111="",0,$B111*(TSOFR3M+$H$12/10000+$F111)*$G111/DayBasis)</f>
        <v/>
      </c>
      <c r="W111" s="44">
        <f>IF(OR($A111="",$M$6&lt;&gt;"Y",$O$6=""),0,IF($H111&gt;=$O$6,$B111*(TSOFR3M+$H$6/10000+$F111)*$N$6/DayBasis,0))</f>
        <v/>
      </c>
      <c r="X111" s="44">
        <f>IF(OR($A111="",$M$7&lt;&gt;"Y",$O$7=""),0,IF($H111&gt;=$O$7,$B111*(TSOFR3M+$H$7/10000+$F111)*$N$7/DayBasis,0))</f>
        <v/>
      </c>
      <c r="Y111" s="44">
        <f>IF(OR($A111="",$M$8&lt;&gt;"Y",$O$8=""),0,IF($H111&gt;=$O$8,$B111*(TSOFR3M+$H$8/10000+$F111)*$N$8/DayBasis,0))</f>
        <v/>
      </c>
      <c r="Z111" s="44">
        <f>IF(OR($A111="",$M$9&lt;&gt;"Y",$O$9=""),0,IF($H111&gt;=$O$9,$B111*(TSOFR3M+$H$9/10000+$F111)*$N$9/DayBasis,0))</f>
        <v/>
      </c>
      <c r="AA111" s="44">
        <f>IF(OR($A111="",$M$10&lt;&gt;"Y",$O$10=""),0,IF($H111&gt;=$O$10,$B111*(TSOFR3M+$H$10/10000+$F111)*$N$10/DayBasis,0))</f>
        <v/>
      </c>
      <c r="AB111" s="44">
        <f>IF(OR($A111="",$M$12&lt;&gt;"Y",$O$12=""),0,IF($H111&gt;=$O$12,$B111*(TSOFR3M+$H$12/10000+$F111)*$N$12/DayBasis,0))</f>
        <v/>
      </c>
      <c r="AC111" s="50">
        <f>IF($A111="",0,MIN(1,$C111*$C$39))</f>
        <v/>
      </c>
      <c r="AD111" s="44">
        <f>IF($A111="",0,$B111*IF($I111=1,LGD_LC,MIN(1,LGD+$C$40))*(1-$E111))</f>
        <v/>
      </c>
      <c r="AE111" s="44">
        <f>IF(OR($A111="",$B111&lt;=0,$AC111&lt;=0),0,IF($AC111&gt;=1,$AD111,IF(_xlfn.NORM.S.INV(RAND())*SQRT(1-Rho)+$C$41*SQRT(Rho)&lt;_xlfn.NORM.S.INV($AC111),$AD111,0)))</f>
        <v/>
      </c>
      <c r="AG111" t="n">
        <v>105</v>
      </c>
      <c r="AH111" s="35" t="n">
        <v>0</v>
      </c>
    </row>
    <row r="112">
      <c r="A112" s="7">
        <f>IF('02_Buyers'!$A49="","",'02_Buyers'!$A49)</f>
        <v/>
      </c>
      <c r="B112" s="44">
        <f>IF($A112="",0,'02_Buyers'!$Z49)</f>
        <v/>
      </c>
      <c r="C112" s="50">
        <f>IF($A112="",0,'02_Buyers'!$AM49)</f>
        <v/>
      </c>
      <c r="D112" s="50">
        <f>IF($A112="",0,'02_Buyers'!$AN49)</f>
        <v/>
      </c>
      <c r="E112" s="50">
        <f>IF($A112="",0,'02_Buyers'!$AO49)</f>
        <v/>
      </c>
      <c r="F112" s="50">
        <f>IF($A112="",0,'02_Buyers'!$AP49)</f>
        <v/>
      </c>
      <c r="G112" s="45">
        <f>IF($A112="",0,'02_Buyers'!$V49)</f>
        <v/>
      </c>
      <c r="H112" s="45">
        <f>IF(OR($A112="",'02_Buyers'!$AC49=""),0,'02_Buyers'!$AC49)</f>
        <v/>
      </c>
      <c r="I112" s="45">
        <f>IF($A112="",0,IF(OR('02_Buyers'!$U49="LC_SIGHT",'02_Buyers'!$U49="LC_USANCE"),1,0))</f>
        <v/>
      </c>
      <c r="J112" s="7">
        <f>IF($A112="","",'02_Buyers'!$T49)</f>
        <v/>
      </c>
      <c r="K112" s="44">
        <f>IF($A112="",0,$B112*MIN(1,$C112*$J$6)*IF($I112=1,LGD_LC,MIN(1,LGD+$K$6))*(1-$E112))</f>
        <v/>
      </c>
      <c r="L112" s="44">
        <f>IF($A112="",0,$B112*MIN(1,$C112*$J$7)*IF($I112=1,LGD_LC,MIN(1,LGD+$K$7))*(1-$E112))</f>
        <v/>
      </c>
      <c r="M112" s="44">
        <f>IF($A112="",0,$B112*MIN(1,$C112*$J$8)*IF($I112=1,LGD_LC,MIN(1,LGD+$K$8))*(1-$E112))</f>
        <v/>
      </c>
      <c r="N112" s="44">
        <f>IF($A112="",0,$B112*MIN(1,$C112*$J$9)*IF($I112=1,LGD_LC,MIN(1,LGD+$K$9))*(1-$E112))</f>
        <v/>
      </c>
      <c r="O112" s="44">
        <f>IF($A112="",0,$B112*MIN(1,$C112*$J$10)*IF($I112=1,LGD_LC,MIN(1,LGD+$K$10))*(1-$E112))</f>
        <v/>
      </c>
      <c r="P112" s="44">
        <f>IF($A112="",0,$B112*MIN(1,$C112*$J$12)*IF($I112=1,LGD_LC,MIN(1,LGD+$K$12))*(1-$E112))</f>
        <v/>
      </c>
      <c r="Q112" s="44">
        <f>IF($A112="",0,$B112*(TSOFR3M+$H$6/10000+$F112)*$G112/DayBasis)</f>
        <v/>
      </c>
      <c r="R112" s="44">
        <f>IF($A112="",0,$B112*(TSOFR3M+$H$7/10000+$F112)*$G112/DayBasis)</f>
        <v/>
      </c>
      <c r="S112" s="44">
        <f>IF($A112="",0,$B112*(TSOFR3M+$H$8/10000+$F112)*$G112/DayBasis)</f>
        <v/>
      </c>
      <c r="T112" s="44">
        <f>IF($A112="",0,$B112*(TSOFR3M+$H$9/10000+$F112)*$G112/DayBasis)</f>
        <v/>
      </c>
      <c r="U112" s="44">
        <f>IF($A112="",0,$B112*(TSOFR3M+$H$10/10000+$F112)*$G112/DayBasis)</f>
        <v/>
      </c>
      <c r="V112" s="44">
        <f>IF($A112="",0,$B112*(TSOFR3M+$H$12/10000+$F112)*$G112/DayBasis)</f>
        <v/>
      </c>
      <c r="W112" s="44">
        <f>IF(OR($A112="",$M$6&lt;&gt;"Y",$O$6=""),0,IF($H112&gt;=$O$6,$B112*(TSOFR3M+$H$6/10000+$F112)*$N$6/DayBasis,0))</f>
        <v/>
      </c>
      <c r="X112" s="44">
        <f>IF(OR($A112="",$M$7&lt;&gt;"Y",$O$7=""),0,IF($H112&gt;=$O$7,$B112*(TSOFR3M+$H$7/10000+$F112)*$N$7/DayBasis,0))</f>
        <v/>
      </c>
      <c r="Y112" s="44">
        <f>IF(OR($A112="",$M$8&lt;&gt;"Y",$O$8=""),0,IF($H112&gt;=$O$8,$B112*(TSOFR3M+$H$8/10000+$F112)*$N$8/DayBasis,0))</f>
        <v/>
      </c>
      <c r="Z112" s="44">
        <f>IF(OR($A112="",$M$9&lt;&gt;"Y",$O$9=""),0,IF($H112&gt;=$O$9,$B112*(TSOFR3M+$H$9/10000+$F112)*$N$9/DayBasis,0))</f>
        <v/>
      </c>
      <c r="AA112" s="44">
        <f>IF(OR($A112="",$M$10&lt;&gt;"Y",$O$10=""),0,IF($H112&gt;=$O$10,$B112*(TSOFR3M+$H$10/10000+$F112)*$N$10/DayBasis,0))</f>
        <v/>
      </c>
      <c r="AB112" s="44">
        <f>IF(OR($A112="",$M$12&lt;&gt;"Y",$O$12=""),0,IF($H112&gt;=$O$12,$B112*(TSOFR3M+$H$12/10000+$F112)*$N$12/DayBasis,0))</f>
        <v/>
      </c>
      <c r="AC112" s="50">
        <f>IF($A112="",0,MIN(1,$C112*$C$39))</f>
        <v/>
      </c>
      <c r="AD112" s="44">
        <f>IF($A112="",0,$B112*IF($I112=1,LGD_LC,MIN(1,LGD+$C$40))*(1-$E112))</f>
        <v/>
      </c>
      <c r="AE112" s="44">
        <f>IF(OR($A112="",$B112&lt;=0,$AC112&lt;=0),0,IF($AC112&gt;=1,$AD112,IF(_xlfn.NORM.S.INV(RAND())*SQRT(1-Rho)+$C$41*SQRT(Rho)&lt;_xlfn.NORM.S.INV($AC112),$AD112,0)))</f>
        <v/>
      </c>
      <c r="AG112" t="n">
        <v>106</v>
      </c>
      <c r="AH112" s="35" t="n">
        <v>0</v>
      </c>
    </row>
    <row r="113">
      <c r="A113" s="7">
        <f>IF('02_Buyers'!$A50="","",'02_Buyers'!$A50)</f>
        <v/>
      </c>
      <c r="B113" s="44">
        <f>IF($A113="",0,'02_Buyers'!$Z50)</f>
        <v/>
      </c>
      <c r="C113" s="50">
        <f>IF($A113="",0,'02_Buyers'!$AM50)</f>
        <v/>
      </c>
      <c r="D113" s="50">
        <f>IF($A113="",0,'02_Buyers'!$AN50)</f>
        <v/>
      </c>
      <c r="E113" s="50">
        <f>IF($A113="",0,'02_Buyers'!$AO50)</f>
        <v/>
      </c>
      <c r="F113" s="50">
        <f>IF($A113="",0,'02_Buyers'!$AP50)</f>
        <v/>
      </c>
      <c r="G113" s="45">
        <f>IF($A113="",0,'02_Buyers'!$V50)</f>
        <v/>
      </c>
      <c r="H113" s="45">
        <f>IF(OR($A113="",'02_Buyers'!$AC50=""),0,'02_Buyers'!$AC50)</f>
        <v/>
      </c>
      <c r="I113" s="45">
        <f>IF($A113="",0,IF(OR('02_Buyers'!$U50="LC_SIGHT",'02_Buyers'!$U50="LC_USANCE"),1,0))</f>
        <v/>
      </c>
      <c r="J113" s="7">
        <f>IF($A113="","",'02_Buyers'!$T50)</f>
        <v/>
      </c>
      <c r="K113" s="44">
        <f>IF($A113="",0,$B113*MIN(1,$C113*$J$6)*IF($I113=1,LGD_LC,MIN(1,LGD+$K$6))*(1-$E113))</f>
        <v/>
      </c>
      <c r="L113" s="44">
        <f>IF($A113="",0,$B113*MIN(1,$C113*$J$7)*IF($I113=1,LGD_LC,MIN(1,LGD+$K$7))*(1-$E113))</f>
        <v/>
      </c>
      <c r="M113" s="44">
        <f>IF($A113="",0,$B113*MIN(1,$C113*$J$8)*IF($I113=1,LGD_LC,MIN(1,LGD+$K$8))*(1-$E113))</f>
        <v/>
      </c>
      <c r="N113" s="44">
        <f>IF($A113="",0,$B113*MIN(1,$C113*$J$9)*IF($I113=1,LGD_LC,MIN(1,LGD+$K$9))*(1-$E113))</f>
        <v/>
      </c>
      <c r="O113" s="44">
        <f>IF($A113="",0,$B113*MIN(1,$C113*$J$10)*IF($I113=1,LGD_LC,MIN(1,LGD+$K$10))*(1-$E113))</f>
        <v/>
      </c>
      <c r="P113" s="44">
        <f>IF($A113="",0,$B113*MIN(1,$C113*$J$12)*IF($I113=1,LGD_LC,MIN(1,LGD+$K$12))*(1-$E113))</f>
        <v/>
      </c>
      <c r="Q113" s="44">
        <f>IF($A113="",0,$B113*(TSOFR3M+$H$6/10000+$F113)*$G113/DayBasis)</f>
        <v/>
      </c>
      <c r="R113" s="44">
        <f>IF($A113="",0,$B113*(TSOFR3M+$H$7/10000+$F113)*$G113/DayBasis)</f>
        <v/>
      </c>
      <c r="S113" s="44">
        <f>IF($A113="",0,$B113*(TSOFR3M+$H$8/10000+$F113)*$G113/DayBasis)</f>
        <v/>
      </c>
      <c r="T113" s="44">
        <f>IF($A113="",0,$B113*(TSOFR3M+$H$9/10000+$F113)*$G113/DayBasis)</f>
        <v/>
      </c>
      <c r="U113" s="44">
        <f>IF($A113="",0,$B113*(TSOFR3M+$H$10/10000+$F113)*$G113/DayBasis)</f>
        <v/>
      </c>
      <c r="V113" s="44">
        <f>IF($A113="",0,$B113*(TSOFR3M+$H$12/10000+$F113)*$G113/DayBasis)</f>
        <v/>
      </c>
      <c r="W113" s="44">
        <f>IF(OR($A113="",$M$6&lt;&gt;"Y",$O$6=""),0,IF($H113&gt;=$O$6,$B113*(TSOFR3M+$H$6/10000+$F113)*$N$6/DayBasis,0))</f>
        <v/>
      </c>
      <c r="X113" s="44">
        <f>IF(OR($A113="",$M$7&lt;&gt;"Y",$O$7=""),0,IF($H113&gt;=$O$7,$B113*(TSOFR3M+$H$7/10000+$F113)*$N$7/DayBasis,0))</f>
        <v/>
      </c>
      <c r="Y113" s="44">
        <f>IF(OR($A113="",$M$8&lt;&gt;"Y",$O$8=""),0,IF($H113&gt;=$O$8,$B113*(TSOFR3M+$H$8/10000+$F113)*$N$8/DayBasis,0))</f>
        <v/>
      </c>
      <c r="Z113" s="44">
        <f>IF(OR($A113="",$M$9&lt;&gt;"Y",$O$9=""),0,IF($H113&gt;=$O$9,$B113*(TSOFR3M+$H$9/10000+$F113)*$N$9/DayBasis,0))</f>
        <v/>
      </c>
      <c r="AA113" s="44">
        <f>IF(OR($A113="",$M$10&lt;&gt;"Y",$O$10=""),0,IF($H113&gt;=$O$10,$B113*(TSOFR3M+$H$10/10000+$F113)*$N$10/DayBasis,0))</f>
        <v/>
      </c>
      <c r="AB113" s="44">
        <f>IF(OR($A113="",$M$12&lt;&gt;"Y",$O$12=""),0,IF($H113&gt;=$O$12,$B113*(TSOFR3M+$H$12/10000+$F113)*$N$12/DayBasis,0))</f>
        <v/>
      </c>
      <c r="AC113" s="50">
        <f>IF($A113="",0,MIN(1,$C113*$C$39))</f>
        <v/>
      </c>
      <c r="AD113" s="44">
        <f>IF($A113="",0,$B113*IF($I113=1,LGD_LC,MIN(1,LGD+$C$40))*(1-$E113))</f>
        <v/>
      </c>
      <c r="AE113" s="44">
        <f>IF(OR($A113="",$B113&lt;=0,$AC113&lt;=0),0,IF($AC113&gt;=1,$AD113,IF(_xlfn.NORM.S.INV(RAND())*SQRT(1-Rho)+$C$41*SQRT(Rho)&lt;_xlfn.NORM.S.INV($AC113),$AD113,0)))</f>
        <v/>
      </c>
      <c r="AG113" t="n">
        <v>107</v>
      </c>
      <c r="AH113" s="35" t="n">
        <v>0</v>
      </c>
    </row>
    <row r="114">
      <c r="A114" s="7">
        <f>IF('02_Buyers'!$A51="","",'02_Buyers'!$A51)</f>
        <v/>
      </c>
      <c r="B114" s="44">
        <f>IF($A114="",0,'02_Buyers'!$Z51)</f>
        <v/>
      </c>
      <c r="C114" s="50">
        <f>IF($A114="",0,'02_Buyers'!$AM51)</f>
        <v/>
      </c>
      <c r="D114" s="50">
        <f>IF($A114="",0,'02_Buyers'!$AN51)</f>
        <v/>
      </c>
      <c r="E114" s="50">
        <f>IF($A114="",0,'02_Buyers'!$AO51)</f>
        <v/>
      </c>
      <c r="F114" s="50">
        <f>IF($A114="",0,'02_Buyers'!$AP51)</f>
        <v/>
      </c>
      <c r="G114" s="45">
        <f>IF($A114="",0,'02_Buyers'!$V51)</f>
        <v/>
      </c>
      <c r="H114" s="45">
        <f>IF(OR($A114="",'02_Buyers'!$AC51=""),0,'02_Buyers'!$AC51)</f>
        <v/>
      </c>
      <c r="I114" s="45">
        <f>IF($A114="",0,IF(OR('02_Buyers'!$U51="LC_SIGHT",'02_Buyers'!$U51="LC_USANCE"),1,0))</f>
        <v/>
      </c>
      <c r="J114" s="7">
        <f>IF($A114="","",'02_Buyers'!$T51)</f>
        <v/>
      </c>
      <c r="K114" s="44">
        <f>IF($A114="",0,$B114*MIN(1,$C114*$J$6)*IF($I114=1,LGD_LC,MIN(1,LGD+$K$6))*(1-$E114))</f>
        <v/>
      </c>
      <c r="L114" s="44">
        <f>IF($A114="",0,$B114*MIN(1,$C114*$J$7)*IF($I114=1,LGD_LC,MIN(1,LGD+$K$7))*(1-$E114))</f>
        <v/>
      </c>
      <c r="M114" s="44">
        <f>IF($A114="",0,$B114*MIN(1,$C114*$J$8)*IF($I114=1,LGD_LC,MIN(1,LGD+$K$8))*(1-$E114))</f>
        <v/>
      </c>
      <c r="N114" s="44">
        <f>IF($A114="",0,$B114*MIN(1,$C114*$J$9)*IF($I114=1,LGD_LC,MIN(1,LGD+$K$9))*(1-$E114))</f>
        <v/>
      </c>
      <c r="O114" s="44">
        <f>IF($A114="",0,$B114*MIN(1,$C114*$J$10)*IF($I114=1,LGD_LC,MIN(1,LGD+$K$10))*(1-$E114))</f>
        <v/>
      </c>
      <c r="P114" s="44">
        <f>IF($A114="",0,$B114*MIN(1,$C114*$J$12)*IF($I114=1,LGD_LC,MIN(1,LGD+$K$12))*(1-$E114))</f>
        <v/>
      </c>
      <c r="Q114" s="44">
        <f>IF($A114="",0,$B114*(TSOFR3M+$H$6/10000+$F114)*$G114/DayBasis)</f>
        <v/>
      </c>
      <c r="R114" s="44">
        <f>IF($A114="",0,$B114*(TSOFR3M+$H$7/10000+$F114)*$G114/DayBasis)</f>
        <v/>
      </c>
      <c r="S114" s="44">
        <f>IF($A114="",0,$B114*(TSOFR3M+$H$8/10000+$F114)*$G114/DayBasis)</f>
        <v/>
      </c>
      <c r="T114" s="44">
        <f>IF($A114="",0,$B114*(TSOFR3M+$H$9/10000+$F114)*$G114/DayBasis)</f>
        <v/>
      </c>
      <c r="U114" s="44">
        <f>IF($A114="",0,$B114*(TSOFR3M+$H$10/10000+$F114)*$G114/DayBasis)</f>
        <v/>
      </c>
      <c r="V114" s="44">
        <f>IF($A114="",0,$B114*(TSOFR3M+$H$12/10000+$F114)*$G114/DayBasis)</f>
        <v/>
      </c>
      <c r="W114" s="44">
        <f>IF(OR($A114="",$M$6&lt;&gt;"Y",$O$6=""),0,IF($H114&gt;=$O$6,$B114*(TSOFR3M+$H$6/10000+$F114)*$N$6/DayBasis,0))</f>
        <v/>
      </c>
      <c r="X114" s="44">
        <f>IF(OR($A114="",$M$7&lt;&gt;"Y",$O$7=""),0,IF($H114&gt;=$O$7,$B114*(TSOFR3M+$H$7/10000+$F114)*$N$7/DayBasis,0))</f>
        <v/>
      </c>
      <c r="Y114" s="44">
        <f>IF(OR($A114="",$M$8&lt;&gt;"Y",$O$8=""),0,IF($H114&gt;=$O$8,$B114*(TSOFR3M+$H$8/10000+$F114)*$N$8/DayBasis,0))</f>
        <v/>
      </c>
      <c r="Z114" s="44">
        <f>IF(OR($A114="",$M$9&lt;&gt;"Y",$O$9=""),0,IF($H114&gt;=$O$9,$B114*(TSOFR3M+$H$9/10000+$F114)*$N$9/DayBasis,0))</f>
        <v/>
      </c>
      <c r="AA114" s="44">
        <f>IF(OR($A114="",$M$10&lt;&gt;"Y",$O$10=""),0,IF($H114&gt;=$O$10,$B114*(TSOFR3M+$H$10/10000+$F114)*$N$10/DayBasis,0))</f>
        <v/>
      </c>
      <c r="AB114" s="44">
        <f>IF(OR($A114="",$M$12&lt;&gt;"Y",$O$12=""),0,IF($H114&gt;=$O$12,$B114*(TSOFR3M+$H$12/10000+$F114)*$N$12/DayBasis,0))</f>
        <v/>
      </c>
      <c r="AC114" s="50">
        <f>IF($A114="",0,MIN(1,$C114*$C$39))</f>
        <v/>
      </c>
      <c r="AD114" s="44">
        <f>IF($A114="",0,$B114*IF($I114=1,LGD_LC,MIN(1,LGD+$C$40))*(1-$E114))</f>
        <v/>
      </c>
      <c r="AE114" s="44">
        <f>IF(OR($A114="",$B114&lt;=0,$AC114&lt;=0),0,IF($AC114&gt;=1,$AD114,IF(_xlfn.NORM.S.INV(RAND())*SQRT(1-Rho)+$C$41*SQRT(Rho)&lt;_xlfn.NORM.S.INV($AC114),$AD114,0)))</f>
        <v/>
      </c>
      <c r="AG114" t="n">
        <v>108</v>
      </c>
      <c r="AH114" s="35" t="n">
        <v>0</v>
      </c>
    </row>
    <row r="115">
      <c r="A115" s="7">
        <f>IF('02_Buyers'!$A52="","",'02_Buyers'!$A52)</f>
        <v/>
      </c>
      <c r="B115" s="44">
        <f>IF($A115="",0,'02_Buyers'!$Z52)</f>
        <v/>
      </c>
      <c r="C115" s="50">
        <f>IF($A115="",0,'02_Buyers'!$AM52)</f>
        <v/>
      </c>
      <c r="D115" s="50">
        <f>IF($A115="",0,'02_Buyers'!$AN52)</f>
        <v/>
      </c>
      <c r="E115" s="50">
        <f>IF($A115="",0,'02_Buyers'!$AO52)</f>
        <v/>
      </c>
      <c r="F115" s="50">
        <f>IF($A115="",0,'02_Buyers'!$AP52)</f>
        <v/>
      </c>
      <c r="G115" s="45">
        <f>IF($A115="",0,'02_Buyers'!$V52)</f>
        <v/>
      </c>
      <c r="H115" s="45">
        <f>IF(OR($A115="",'02_Buyers'!$AC52=""),0,'02_Buyers'!$AC52)</f>
        <v/>
      </c>
      <c r="I115" s="45">
        <f>IF($A115="",0,IF(OR('02_Buyers'!$U52="LC_SIGHT",'02_Buyers'!$U52="LC_USANCE"),1,0))</f>
        <v/>
      </c>
      <c r="J115" s="7">
        <f>IF($A115="","",'02_Buyers'!$T52)</f>
        <v/>
      </c>
      <c r="K115" s="44">
        <f>IF($A115="",0,$B115*MIN(1,$C115*$J$6)*IF($I115=1,LGD_LC,MIN(1,LGD+$K$6))*(1-$E115))</f>
        <v/>
      </c>
      <c r="L115" s="44">
        <f>IF($A115="",0,$B115*MIN(1,$C115*$J$7)*IF($I115=1,LGD_LC,MIN(1,LGD+$K$7))*(1-$E115))</f>
        <v/>
      </c>
      <c r="M115" s="44">
        <f>IF($A115="",0,$B115*MIN(1,$C115*$J$8)*IF($I115=1,LGD_LC,MIN(1,LGD+$K$8))*(1-$E115))</f>
        <v/>
      </c>
      <c r="N115" s="44">
        <f>IF($A115="",0,$B115*MIN(1,$C115*$J$9)*IF($I115=1,LGD_LC,MIN(1,LGD+$K$9))*(1-$E115))</f>
        <v/>
      </c>
      <c r="O115" s="44">
        <f>IF($A115="",0,$B115*MIN(1,$C115*$J$10)*IF($I115=1,LGD_LC,MIN(1,LGD+$K$10))*(1-$E115))</f>
        <v/>
      </c>
      <c r="P115" s="44">
        <f>IF($A115="",0,$B115*MIN(1,$C115*$J$12)*IF($I115=1,LGD_LC,MIN(1,LGD+$K$12))*(1-$E115))</f>
        <v/>
      </c>
      <c r="Q115" s="44">
        <f>IF($A115="",0,$B115*(TSOFR3M+$H$6/10000+$F115)*$G115/DayBasis)</f>
        <v/>
      </c>
      <c r="R115" s="44">
        <f>IF($A115="",0,$B115*(TSOFR3M+$H$7/10000+$F115)*$G115/DayBasis)</f>
        <v/>
      </c>
      <c r="S115" s="44">
        <f>IF($A115="",0,$B115*(TSOFR3M+$H$8/10000+$F115)*$G115/DayBasis)</f>
        <v/>
      </c>
      <c r="T115" s="44">
        <f>IF($A115="",0,$B115*(TSOFR3M+$H$9/10000+$F115)*$G115/DayBasis)</f>
        <v/>
      </c>
      <c r="U115" s="44">
        <f>IF($A115="",0,$B115*(TSOFR3M+$H$10/10000+$F115)*$G115/DayBasis)</f>
        <v/>
      </c>
      <c r="V115" s="44">
        <f>IF($A115="",0,$B115*(TSOFR3M+$H$12/10000+$F115)*$G115/DayBasis)</f>
        <v/>
      </c>
      <c r="W115" s="44">
        <f>IF(OR($A115="",$M$6&lt;&gt;"Y",$O$6=""),0,IF($H115&gt;=$O$6,$B115*(TSOFR3M+$H$6/10000+$F115)*$N$6/DayBasis,0))</f>
        <v/>
      </c>
      <c r="X115" s="44">
        <f>IF(OR($A115="",$M$7&lt;&gt;"Y",$O$7=""),0,IF($H115&gt;=$O$7,$B115*(TSOFR3M+$H$7/10000+$F115)*$N$7/DayBasis,0))</f>
        <v/>
      </c>
      <c r="Y115" s="44">
        <f>IF(OR($A115="",$M$8&lt;&gt;"Y",$O$8=""),0,IF($H115&gt;=$O$8,$B115*(TSOFR3M+$H$8/10000+$F115)*$N$8/DayBasis,0))</f>
        <v/>
      </c>
      <c r="Z115" s="44">
        <f>IF(OR($A115="",$M$9&lt;&gt;"Y",$O$9=""),0,IF($H115&gt;=$O$9,$B115*(TSOFR3M+$H$9/10000+$F115)*$N$9/DayBasis,0))</f>
        <v/>
      </c>
      <c r="AA115" s="44">
        <f>IF(OR($A115="",$M$10&lt;&gt;"Y",$O$10=""),0,IF($H115&gt;=$O$10,$B115*(TSOFR3M+$H$10/10000+$F115)*$N$10/DayBasis,0))</f>
        <v/>
      </c>
      <c r="AB115" s="44">
        <f>IF(OR($A115="",$M$12&lt;&gt;"Y",$O$12=""),0,IF($H115&gt;=$O$12,$B115*(TSOFR3M+$H$12/10000+$F115)*$N$12/DayBasis,0))</f>
        <v/>
      </c>
      <c r="AC115" s="50">
        <f>IF($A115="",0,MIN(1,$C115*$C$39))</f>
        <v/>
      </c>
      <c r="AD115" s="44">
        <f>IF($A115="",0,$B115*IF($I115=1,LGD_LC,MIN(1,LGD+$C$40))*(1-$E115))</f>
        <v/>
      </c>
      <c r="AE115" s="44">
        <f>IF(OR($A115="",$B115&lt;=0,$AC115&lt;=0),0,IF($AC115&gt;=1,$AD115,IF(_xlfn.NORM.S.INV(RAND())*SQRT(1-Rho)+$C$41*SQRT(Rho)&lt;_xlfn.NORM.S.INV($AC115),$AD115,0)))</f>
        <v/>
      </c>
      <c r="AG115" t="n">
        <v>109</v>
      </c>
      <c r="AH115" s="35" t="n">
        <v>0</v>
      </c>
    </row>
    <row r="116">
      <c r="A116" s="7">
        <f>IF('02_Buyers'!$A53="","",'02_Buyers'!$A53)</f>
        <v/>
      </c>
      <c r="B116" s="44">
        <f>IF($A116="",0,'02_Buyers'!$Z53)</f>
        <v/>
      </c>
      <c r="C116" s="50">
        <f>IF($A116="",0,'02_Buyers'!$AM53)</f>
        <v/>
      </c>
      <c r="D116" s="50">
        <f>IF($A116="",0,'02_Buyers'!$AN53)</f>
        <v/>
      </c>
      <c r="E116" s="50">
        <f>IF($A116="",0,'02_Buyers'!$AO53)</f>
        <v/>
      </c>
      <c r="F116" s="50">
        <f>IF($A116="",0,'02_Buyers'!$AP53)</f>
        <v/>
      </c>
      <c r="G116" s="45">
        <f>IF($A116="",0,'02_Buyers'!$V53)</f>
        <v/>
      </c>
      <c r="H116" s="45">
        <f>IF(OR($A116="",'02_Buyers'!$AC53=""),0,'02_Buyers'!$AC53)</f>
        <v/>
      </c>
      <c r="I116" s="45">
        <f>IF($A116="",0,IF(OR('02_Buyers'!$U53="LC_SIGHT",'02_Buyers'!$U53="LC_USANCE"),1,0))</f>
        <v/>
      </c>
      <c r="J116" s="7">
        <f>IF($A116="","",'02_Buyers'!$T53)</f>
        <v/>
      </c>
      <c r="K116" s="44">
        <f>IF($A116="",0,$B116*MIN(1,$C116*$J$6)*IF($I116=1,LGD_LC,MIN(1,LGD+$K$6))*(1-$E116))</f>
        <v/>
      </c>
      <c r="L116" s="44">
        <f>IF($A116="",0,$B116*MIN(1,$C116*$J$7)*IF($I116=1,LGD_LC,MIN(1,LGD+$K$7))*(1-$E116))</f>
        <v/>
      </c>
      <c r="M116" s="44">
        <f>IF($A116="",0,$B116*MIN(1,$C116*$J$8)*IF($I116=1,LGD_LC,MIN(1,LGD+$K$8))*(1-$E116))</f>
        <v/>
      </c>
      <c r="N116" s="44">
        <f>IF($A116="",0,$B116*MIN(1,$C116*$J$9)*IF($I116=1,LGD_LC,MIN(1,LGD+$K$9))*(1-$E116))</f>
        <v/>
      </c>
      <c r="O116" s="44">
        <f>IF($A116="",0,$B116*MIN(1,$C116*$J$10)*IF($I116=1,LGD_LC,MIN(1,LGD+$K$10))*(1-$E116))</f>
        <v/>
      </c>
      <c r="P116" s="44">
        <f>IF($A116="",0,$B116*MIN(1,$C116*$J$12)*IF($I116=1,LGD_LC,MIN(1,LGD+$K$12))*(1-$E116))</f>
        <v/>
      </c>
      <c r="Q116" s="44">
        <f>IF($A116="",0,$B116*(TSOFR3M+$H$6/10000+$F116)*$G116/DayBasis)</f>
        <v/>
      </c>
      <c r="R116" s="44">
        <f>IF($A116="",0,$B116*(TSOFR3M+$H$7/10000+$F116)*$G116/DayBasis)</f>
        <v/>
      </c>
      <c r="S116" s="44">
        <f>IF($A116="",0,$B116*(TSOFR3M+$H$8/10000+$F116)*$G116/DayBasis)</f>
        <v/>
      </c>
      <c r="T116" s="44">
        <f>IF($A116="",0,$B116*(TSOFR3M+$H$9/10000+$F116)*$G116/DayBasis)</f>
        <v/>
      </c>
      <c r="U116" s="44">
        <f>IF($A116="",0,$B116*(TSOFR3M+$H$10/10000+$F116)*$G116/DayBasis)</f>
        <v/>
      </c>
      <c r="V116" s="44">
        <f>IF($A116="",0,$B116*(TSOFR3M+$H$12/10000+$F116)*$G116/DayBasis)</f>
        <v/>
      </c>
      <c r="W116" s="44">
        <f>IF(OR($A116="",$M$6&lt;&gt;"Y",$O$6=""),0,IF($H116&gt;=$O$6,$B116*(TSOFR3M+$H$6/10000+$F116)*$N$6/DayBasis,0))</f>
        <v/>
      </c>
      <c r="X116" s="44">
        <f>IF(OR($A116="",$M$7&lt;&gt;"Y",$O$7=""),0,IF($H116&gt;=$O$7,$B116*(TSOFR3M+$H$7/10000+$F116)*$N$7/DayBasis,0))</f>
        <v/>
      </c>
      <c r="Y116" s="44">
        <f>IF(OR($A116="",$M$8&lt;&gt;"Y",$O$8=""),0,IF($H116&gt;=$O$8,$B116*(TSOFR3M+$H$8/10000+$F116)*$N$8/DayBasis,0))</f>
        <v/>
      </c>
      <c r="Z116" s="44">
        <f>IF(OR($A116="",$M$9&lt;&gt;"Y",$O$9=""),0,IF($H116&gt;=$O$9,$B116*(TSOFR3M+$H$9/10000+$F116)*$N$9/DayBasis,0))</f>
        <v/>
      </c>
      <c r="AA116" s="44">
        <f>IF(OR($A116="",$M$10&lt;&gt;"Y",$O$10=""),0,IF($H116&gt;=$O$10,$B116*(TSOFR3M+$H$10/10000+$F116)*$N$10/DayBasis,0))</f>
        <v/>
      </c>
      <c r="AB116" s="44">
        <f>IF(OR($A116="",$M$12&lt;&gt;"Y",$O$12=""),0,IF($H116&gt;=$O$12,$B116*(TSOFR3M+$H$12/10000+$F116)*$N$12/DayBasis,0))</f>
        <v/>
      </c>
      <c r="AC116" s="50">
        <f>IF($A116="",0,MIN(1,$C116*$C$39))</f>
        <v/>
      </c>
      <c r="AD116" s="44">
        <f>IF($A116="",0,$B116*IF($I116=1,LGD_LC,MIN(1,LGD+$C$40))*(1-$E116))</f>
        <v/>
      </c>
      <c r="AE116" s="44">
        <f>IF(OR($A116="",$B116&lt;=0,$AC116&lt;=0),0,IF($AC116&gt;=1,$AD116,IF(_xlfn.NORM.S.INV(RAND())*SQRT(1-Rho)+$C$41*SQRT(Rho)&lt;_xlfn.NORM.S.INV($AC116),$AD116,0)))</f>
        <v/>
      </c>
      <c r="AG116" t="n">
        <v>110</v>
      </c>
      <c r="AH116" s="35" t="n">
        <v>0</v>
      </c>
    </row>
    <row r="117">
      <c r="A117" s="7">
        <f>IF('02_Buyers'!$A54="","",'02_Buyers'!$A54)</f>
        <v/>
      </c>
      <c r="B117" s="44">
        <f>IF($A117="",0,'02_Buyers'!$Z54)</f>
        <v/>
      </c>
      <c r="C117" s="50">
        <f>IF($A117="",0,'02_Buyers'!$AM54)</f>
        <v/>
      </c>
      <c r="D117" s="50">
        <f>IF($A117="",0,'02_Buyers'!$AN54)</f>
        <v/>
      </c>
      <c r="E117" s="50">
        <f>IF($A117="",0,'02_Buyers'!$AO54)</f>
        <v/>
      </c>
      <c r="F117" s="50">
        <f>IF($A117="",0,'02_Buyers'!$AP54)</f>
        <v/>
      </c>
      <c r="G117" s="45">
        <f>IF($A117="",0,'02_Buyers'!$V54)</f>
        <v/>
      </c>
      <c r="H117" s="45">
        <f>IF(OR($A117="",'02_Buyers'!$AC54=""),0,'02_Buyers'!$AC54)</f>
        <v/>
      </c>
      <c r="I117" s="45">
        <f>IF($A117="",0,IF(OR('02_Buyers'!$U54="LC_SIGHT",'02_Buyers'!$U54="LC_USANCE"),1,0))</f>
        <v/>
      </c>
      <c r="J117" s="7">
        <f>IF($A117="","",'02_Buyers'!$T54)</f>
        <v/>
      </c>
      <c r="K117" s="44">
        <f>IF($A117="",0,$B117*MIN(1,$C117*$J$6)*IF($I117=1,LGD_LC,MIN(1,LGD+$K$6))*(1-$E117))</f>
        <v/>
      </c>
      <c r="L117" s="44">
        <f>IF($A117="",0,$B117*MIN(1,$C117*$J$7)*IF($I117=1,LGD_LC,MIN(1,LGD+$K$7))*(1-$E117))</f>
        <v/>
      </c>
      <c r="M117" s="44">
        <f>IF($A117="",0,$B117*MIN(1,$C117*$J$8)*IF($I117=1,LGD_LC,MIN(1,LGD+$K$8))*(1-$E117))</f>
        <v/>
      </c>
      <c r="N117" s="44">
        <f>IF($A117="",0,$B117*MIN(1,$C117*$J$9)*IF($I117=1,LGD_LC,MIN(1,LGD+$K$9))*(1-$E117))</f>
        <v/>
      </c>
      <c r="O117" s="44">
        <f>IF($A117="",0,$B117*MIN(1,$C117*$J$10)*IF($I117=1,LGD_LC,MIN(1,LGD+$K$10))*(1-$E117))</f>
        <v/>
      </c>
      <c r="P117" s="44">
        <f>IF($A117="",0,$B117*MIN(1,$C117*$J$12)*IF($I117=1,LGD_LC,MIN(1,LGD+$K$12))*(1-$E117))</f>
        <v/>
      </c>
      <c r="Q117" s="44">
        <f>IF($A117="",0,$B117*(TSOFR3M+$H$6/10000+$F117)*$G117/DayBasis)</f>
        <v/>
      </c>
      <c r="R117" s="44">
        <f>IF($A117="",0,$B117*(TSOFR3M+$H$7/10000+$F117)*$G117/DayBasis)</f>
        <v/>
      </c>
      <c r="S117" s="44">
        <f>IF($A117="",0,$B117*(TSOFR3M+$H$8/10000+$F117)*$G117/DayBasis)</f>
        <v/>
      </c>
      <c r="T117" s="44">
        <f>IF($A117="",0,$B117*(TSOFR3M+$H$9/10000+$F117)*$G117/DayBasis)</f>
        <v/>
      </c>
      <c r="U117" s="44">
        <f>IF($A117="",0,$B117*(TSOFR3M+$H$10/10000+$F117)*$G117/DayBasis)</f>
        <v/>
      </c>
      <c r="V117" s="44">
        <f>IF($A117="",0,$B117*(TSOFR3M+$H$12/10000+$F117)*$G117/DayBasis)</f>
        <v/>
      </c>
      <c r="W117" s="44">
        <f>IF(OR($A117="",$M$6&lt;&gt;"Y",$O$6=""),0,IF($H117&gt;=$O$6,$B117*(TSOFR3M+$H$6/10000+$F117)*$N$6/DayBasis,0))</f>
        <v/>
      </c>
      <c r="X117" s="44">
        <f>IF(OR($A117="",$M$7&lt;&gt;"Y",$O$7=""),0,IF($H117&gt;=$O$7,$B117*(TSOFR3M+$H$7/10000+$F117)*$N$7/DayBasis,0))</f>
        <v/>
      </c>
      <c r="Y117" s="44">
        <f>IF(OR($A117="",$M$8&lt;&gt;"Y",$O$8=""),0,IF($H117&gt;=$O$8,$B117*(TSOFR3M+$H$8/10000+$F117)*$N$8/DayBasis,0))</f>
        <v/>
      </c>
      <c r="Z117" s="44">
        <f>IF(OR($A117="",$M$9&lt;&gt;"Y",$O$9=""),0,IF($H117&gt;=$O$9,$B117*(TSOFR3M+$H$9/10000+$F117)*$N$9/DayBasis,0))</f>
        <v/>
      </c>
      <c r="AA117" s="44">
        <f>IF(OR($A117="",$M$10&lt;&gt;"Y",$O$10=""),0,IF($H117&gt;=$O$10,$B117*(TSOFR3M+$H$10/10000+$F117)*$N$10/DayBasis,0))</f>
        <v/>
      </c>
      <c r="AB117" s="44">
        <f>IF(OR($A117="",$M$12&lt;&gt;"Y",$O$12=""),0,IF($H117&gt;=$O$12,$B117*(TSOFR3M+$H$12/10000+$F117)*$N$12/DayBasis,0))</f>
        <v/>
      </c>
      <c r="AC117" s="50">
        <f>IF($A117="",0,MIN(1,$C117*$C$39))</f>
        <v/>
      </c>
      <c r="AD117" s="44">
        <f>IF($A117="",0,$B117*IF($I117=1,LGD_LC,MIN(1,LGD+$C$40))*(1-$E117))</f>
        <v/>
      </c>
      <c r="AE117" s="44">
        <f>IF(OR($A117="",$B117&lt;=0,$AC117&lt;=0),0,IF($AC117&gt;=1,$AD117,IF(_xlfn.NORM.S.INV(RAND())*SQRT(1-Rho)+$C$41*SQRT(Rho)&lt;_xlfn.NORM.S.INV($AC117),$AD117,0)))</f>
        <v/>
      </c>
      <c r="AG117" t="n">
        <v>111</v>
      </c>
      <c r="AH117" s="35" t="n">
        <v>0</v>
      </c>
    </row>
    <row r="118">
      <c r="A118" s="7">
        <f>IF('02_Buyers'!$A55="","",'02_Buyers'!$A55)</f>
        <v/>
      </c>
      <c r="B118" s="44">
        <f>IF($A118="",0,'02_Buyers'!$Z55)</f>
        <v/>
      </c>
      <c r="C118" s="50">
        <f>IF($A118="",0,'02_Buyers'!$AM55)</f>
        <v/>
      </c>
      <c r="D118" s="50">
        <f>IF($A118="",0,'02_Buyers'!$AN55)</f>
        <v/>
      </c>
      <c r="E118" s="50">
        <f>IF($A118="",0,'02_Buyers'!$AO55)</f>
        <v/>
      </c>
      <c r="F118" s="50">
        <f>IF($A118="",0,'02_Buyers'!$AP55)</f>
        <v/>
      </c>
      <c r="G118" s="45">
        <f>IF($A118="",0,'02_Buyers'!$V55)</f>
        <v/>
      </c>
      <c r="H118" s="45">
        <f>IF(OR($A118="",'02_Buyers'!$AC55=""),0,'02_Buyers'!$AC55)</f>
        <v/>
      </c>
      <c r="I118" s="45">
        <f>IF($A118="",0,IF(OR('02_Buyers'!$U55="LC_SIGHT",'02_Buyers'!$U55="LC_USANCE"),1,0))</f>
        <v/>
      </c>
      <c r="J118" s="7">
        <f>IF($A118="","",'02_Buyers'!$T55)</f>
        <v/>
      </c>
      <c r="K118" s="44">
        <f>IF($A118="",0,$B118*MIN(1,$C118*$J$6)*IF($I118=1,LGD_LC,MIN(1,LGD+$K$6))*(1-$E118))</f>
        <v/>
      </c>
      <c r="L118" s="44">
        <f>IF($A118="",0,$B118*MIN(1,$C118*$J$7)*IF($I118=1,LGD_LC,MIN(1,LGD+$K$7))*(1-$E118))</f>
        <v/>
      </c>
      <c r="M118" s="44">
        <f>IF($A118="",0,$B118*MIN(1,$C118*$J$8)*IF($I118=1,LGD_LC,MIN(1,LGD+$K$8))*(1-$E118))</f>
        <v/>
      </c>
      <c r="N118" s="44">
        <f>IF($A118="",0,$B118*MIN(1,$C118*$J$9)*IF($I118=1,LGD_LC,MIN(1,LGD+$K$9))*(1-$E118))</f>
        <v/>
      </c>
      <c r="O118" s="44">
        <f>IF($A118="",0,$B118*MIN(1,$C118*$J$10)*IF($I118=1,LGD_LC,MIN(1,LGD+$K$10))*(1-$E118))</f>
        <v/>
      </c>
      <c r="P118" s="44">
        <f>IF($A118="",0,$B118*MIN(1,$C118*$J$12)*IF($I118=1,LGD_LC,MIN(1,LGD+$K$12))*(1-$E118))</f>
        <v/>
      </c>
      <c r="Q118" s="44">
        <f>IF($A118="",0,$B118*(TSOFR3M+$H$6/10000+$F118)*$G118/DayBasis)</f>
        <v/>
      </c>
      <c r="R118" s="44">
        <f>IF($A118="",0,$B118*(TSOFR3M+$H$7/10000+$F118)*$G118/DayBasis)</f>
        <v/>
      </c>
      <c r="S118" s="44">
        <f>IF($A118="",0,$B118*(TSOFR3M+$H$8/10000+$F118)*$G118/DayBasis)</f>
        <v/>
      </c>
      <c r="T118" s="44">
        <f>IF($A118="",0,$B118*(TSOFR3M+$H$9/10000+$F118)*$G118/DayBasis)</f>
        <v/>
      </c>
      <c r="U118" s="44">
        <f>IF($A118="",0,$B118*(TSOFR3M+$H$10/10000+$F118)*$G118/DayBasis)</f>
        <v/>
      </c>
      <c r="V118" s="44">
        <f>IF($A118="",0,$B118*(TSOFR3M+$H$12/10000+$F118)*$G118/DayBasis)</f>
        <v/>
      </c>
      <c r="W118" s="44">
        <f>IF(OR($A118="",$M$6&lt;&gt;"Y",$O$6=""),0,IF($H118&gt;=$O$6,$B118*(TSOFR3M+$H$6/10000+$F118)*$N$6/DayBasis,0))</f>
        <v/>
      </c>
      <c r="X118" s="44">
        <f>IF(OR($A118="",$M$7&lt;&gt;"Y",$O$7=""),0,IF($H118&gt;=$O$7,$B118*(TSOFR3M+$H$7/10000+$F118)*$N$7/DayBasis,0))</f>
        <v/>
      </c>
      <c r="Y118" s="44">
        <f>IF(OR($A118="",$M$8&lt;&gt;"Y",$O$8=""),0,IF($H118&gt;=$O$8,$B118*(TSOFR3M+$H$8/10000+$F118)*$N$8/DayBasis,0))</f>
        <v/>
      </c>
      <c r="Z118" s="44">
        <f>IF(OR($A118="",$M$9&lt;&gt;"Y",$O$9=""),0,IF($H118&gt;=$O$9,$B118*(TSOFR3M+$H$9/10000+$F118)*$N$9/DayBasis,0))</f>
        <v/>
      </c>
      <c r="AA118" s="44">
        <f>IF(OR($A118="",$M$10&lt;&gt;"Y",$O$10=""),0,IF($H118&gt;=$O$10,$B118*(TSOFR3M+$H$10/10000+$F118)*$N$10/DayBasis,0))</f>
        <v/>
      </c>
      <c r="AB118" s="44">
        <f>IF(OR($A118="",$M$12&lt;&gt;"Y",$O$12=""),0,IF($H118&gt;=$O$12,$B118*(TSOFR3M+$H$12/10000+$F118)*$N$12/DayBasis,0))</f>
        <v/>
      </c>
      <c r="AC118" s="50">
        <f>IF($A118="",0,MIN(1,$C118*$C$39))</f>
        <v/>
      </c>
      <c r="AD118" s="44">
        <f>IF($A118="",0,$B118*IF($I118=1,LGD_LC,MIN(1,LGD+$C$40))*(1-$E118))</f>
        <v/>
      </c>
      <c r="AE118" s="44">
        <f>IF(OR($A118="",$B118&lt;=0,$AC118&lt;=0),0,IF($AC118&gt;=1,$AD118,IF(_xlfn.NORM.S.INV(RAND())*SQRT(1-Rho)+$C$41*SQRT(Rho)&lt;_xlfn.NORM.S.INV($AC118),$AD118,0)))</f>
        <v/>
      </c>
      <c r="AG118" t="n">
        <v>112</v>
      </c>
      <c r="AH118" s="35" t="n">
        <v>0</v>
      </c>
    </row>
    <row r="119">
      <c r="A119" s="7">
        <f>IF('02_Buyers'!$A56="","",'02_Buyers'!$A56)</f>
        <v/>
      </c>
      <c r="B119" s="44">
        <f>IF($A119="",0,'02_Buyers'!$Z56)</f>
        <v/>
      </c>
      <c r="C119" s="50">
        <f>IF($A119="",0,'02_Buyers'!$AM56)</f>
        <v/>
      </c>
      <c r="D119" s="50">
        <f>IF($A119="",0,'02_Buyers'!$AN56)</f>
        <v/>
      </c>
      <c r="E119" s="50">
        <f>IF($A119="",0,'02_Buyers'!$AO56)</f>
        <v/>
      </c>
      <c r="F119" s="50">
        <f>IF($A119="",0,'02_Buyers'!$AP56)</f>
        <v/>
      </c>
      <c r="G119" s="45">
        <f>IF($A119="",0,'02_Buyers'!$V56)</f>
        <v/>
      </c>
      <c r="H119" s="45">
        <f>IF(OR($A119="",'02_Buyers'!$AC56=""),0,'02_Buyers'!$AC56)</f>
        <v/>
      </c>
      <c r="I119" s="45">
        <f>IF($A119="",0,IF(OR('02_Buyers'!$U56="LC_SIGHT",'02_Buyers'!$U56="LC_USANCE"),1,0))</f>
        <v/>
      </c>
      <c r="J119" s="7">
        <f>IF($A119="","",'02_Buyers'!$T56)</f>
        <v/>
      </c>
      <c r="K119" s="44">
        <f>IF($A119="",0,$B119*MIN(1,$C119*$J$6)*IF($I119=1,LGD_LC,MIN(1,LGD+$K$6))*(1-$E119))</f>
        <v/>
      </c>
      <c r="L119" s="44">
        <f>IF($A119="",0,$B119*MIN(1,$C119*$J$7)*IF($I119=1,LGD_LC,MIN(1,LGD+$K$7))*(1-$E119))</f>
        <v/>
      </c>
      <c r="M119" s="44">
        <f>IF($A119="",0,$B119*MIN(1,$C119*$J$8)*IF($I119=1,LGD_LC,MIN(1,LGD+$K$8))*(1-$E119))</f>
        <v/>
      </c>
      <c r="N119" s="44">
        <f>IF($A119="",0,$B119*MIN(1,$C119*$J$9)*IF($I119=1,LGD_LC,MIN(1,LGD+$K$9))*(1-$E119))</f>
        <v/>
      </c>
      <c r="O119" s="44">
        <f>IF($A119="",0,$B119*MIN(1,$C119*$J$10)*IF($I119=1,LGD_LC,MIN(1,LGD+$K$10))*(1-$E119))</f>
        <v/>
      </c>
      <c r="P119" s="44">
        <f>IF($A119="",0,$B119*MIN(1,$C119*$J$12)*IF($I119=1,LGD_LC,MIN(1,LGD+$K$12))*(1-$E119))</f>
        <v/>
      </c>
      <c r="Q119" s="44">
        <f>IF($A119="",0,$B119*(TSOFR3M+$H$6/10000+$F119)*$G119/DayBasis)</f>
        <v/>
      </c>
      <c r="R119" s="44">
        <f>IF($A119="",0,$B119*(TSOFR3M+$H$7/10000+$F119)*$G119/DayBasis)</f>
        <v/>
      </c>
      <c r="S119" s="44">
        <f>IF($A119="",0,$B119*(TSOFR3M+$H$8/10000+$F119)*$G119/DayBasis)</f>
        <v/>
      </c>
      <c r="T119" s="44">
        <f>IF($A119="",0,$B119*(TSOFR3M+$H$9/10000+$F119)*$G119/DayBasis)</f>
        <v/>
      </c>
      <c r="U119" s="44">
        <f>IF($A119="",0,$B119*(TSOFR3M+$H$10/10000+$F119)*$G119/DayBasis)</f>
        <v/>
      </c>
      <c r="V119" s="44">
        <f>IF($A119="",0,$B119*(TSOFR3M+$H$12/10000+$F119)*$G119/DayBasis)</f>
        <v/>
      </c>
      <c r="W119" s="44">
        <f>IF(OR($A119="",$M$6&lt;&gt;"Y",$O$6=""),0,IF($H119&gt;=$O$6,$B119*(TSOFR3M+$H$6/10000+$F119)*$N$6/DayBasis,0))</f>
        <v/>
      </c>
      <c r="X119" s="44">
        <f>IF(OR($A119="",$M$7&lt;&gt;"Y",$O$7=""),0,IF($H119&gt;=$O$7,$B119*(TSOFR3M+$H$7/10000+$F119)*$N$7/DayBasis,0))</f>
        <v/>
      </c>
      <c r="Y119" s="44">
        <f>IF(OR($A119="",$M$8&lt;&gt;"Y",$O$8=""),0,IF($H119&gt;=$O$8,$B119*(TSOFR3M+$H$8/10000+$F119)*$N$8/DayBasis,0))</f>
        <v/>
      </c>
      <c r="Z119" s="44">
        <f>IF(OR($A119="",$M$9&lt;&gt;"Y",$O$9=""),0,IF($H119&gt;=$O$9,$B119*(TSOFR3M+$H$9/10000+$F119)*$N$9/DayBasis,0))</f>
        <v/>
      </c>
      <c r="AA119" s="44">
        <f>IF(OR($A119="",$M$10&lt;&gt;"Y",$O$10=""),0,IF($H119&gt;=$O$10,$B119*(TSOFR3M+$H$10/10000+$F119)*$N$10/DayBasis,0))</f>
        <v/>
      </c>
      <c r="AB119" s="44">
        <f>IF(OR($A119="",$M$12&lt;&gt;"Y",$O$12=""),0,IF($H119&gt;=$O$12,$B119*(TSOFR3M+$H$12/10000+$F119)*$N$12/DayBasis,0))</f>
        <v/>
      </c>
      <c r="AC119" s="50">
        <f>IF($A119="",0,MIN(1,$C119*$C$39))</f>
        <v/>
      </c>
      <c r="AD119" s="44">
        <f>IF($A119="",0,$B119*IF($I119=1,LGD_LC,MIN(1,LGD+$C$40))*(1-$E119))</f>
        <v/>
      </c>
      <c r="AE119" s="44">
        <f>IF(OR($A119="",$B119&lt;=0,$AC119&lt;=0),0,IF($AC119&gt;=1,$AD119,IF(_xlfn.NORM.S.INV(RAND())*SQRT(1-Rho)+$C$41*SQRT(Rho)&lt;_xlfn.NORM.S.INV($AC119),$AD119,0)))</f>
        <v/>
      </c>
      <c r="AG119" t="n">
        <v>113</v>
      </c>
      <c r="AH119" s="35" t="n">
        <v>0</v>
      </c>
    </row>
    <row r="120">
      <c r="A120" s="7">
        <f>IF('02_Buyers'!$A57="","",'02_Buyers'!$A57)</f>
        <v/>
      </c>
      <c r="B120" s="44">
        <f>IF($A120="",0,'02_Buyers'!$Z57)</f>
        <v/>
      </c>
      <c r="C120" s="50">
        <f>IF($A120="",0,'02_Buyers'!$AM57)</f>
        <v/>
      </c>
      <c r="D120" s="50">
        <f>IF($A120="",0,'02_Buyers'!$AN57)</f>
        <v/>
      </c>
      <c r="E120" s="50">
        <f>IF($A120="",0,'02_Buyers'!$AO57)</f>
        <v/>
      </c>
      <c r="F120" s="50">
        <f>IF($A120="",0,'02_Buyers'!$AP57)</f>
        <v/>
      </c>
      <c r="G120" s="45">
        <f>IF($A120="",0,'02_Buyers'!$V57)</f>
        <v/>
      </c>
      <c r="H120" s="45">
        <f>IF(OR($A120="",'02_Buyers'!$AC57=""),0,'02_Buyers'!$AC57)</f>
        <v/>
      </c>
      <c r="I120" s="45">
        <f>IF($A120="",0,IF(OR('02_Buyers'!$U57="LC_SIGHT",'02_Buyers'!$U57="LC_USANCE"),1,0))</f>
        <v/>
      </c>
      <c r="J120" s="7">
        <f>IF($A120="","",'02_Buyers'!$T57)</f>
        <v/>
      </c>
      <c r="K120" s="44">
        <f>IF($A120="",0,$B120*MIN(1,$C120*$J$6)*IF($I120=1,LGD_LC,MIN(1,LGD+$K$6))*(1-$E120))</f>
        <v/>
      </c>
      <c r="L120" s="44">
        <f>IF($A120="",0,$B120*MIN(1,$C120*$J$7)*IF($I120=1,LGD_LC,MIN(1,LGD+$K$7))*(1-$E120))</f>
        <v/>
      </c>
      <c r="M120" s="44">
        <f>IF($A120="",0,$B120*MIN(1,$C120*$J$8)*IF($I120=1,LGD_LC,MIN(1,LGD+$K$8))*(1-$E120))</f>
        <v/>
      </c>
      <c r="N120" s="44">
        <f>IF($A120="",0,$B120*MIN(1,$C120*$J$9)*IF($I120=1,LGD_LC,MIN(1,LGD+$K$9))*(1-$E120))</f>
        <v/>
      </c>
      <c r="O120" s="44">
        <f>IF($A120="",0,$B120*MIN(1,$C120*$J$10)*IF($I120=1,LGD_LC,MIN(1,LGD+$K$10))*(1-$E120))</f>
        <v/>
      </c>
      <c r="P120" s="44">
        <f>IF($A120="",0,$B120*MIN(1,$C120*$J$12)*IF($I120=1,LGD_LC,MIN(1,LGD+$K$12))*(1-$E120))</f>
        <v/>
      </c>
      <c r="Q120" s="44">
        <f>IF($A120="",0,$B120*(TSOFR3M+$H$6/10000+$F120)*$G120/DayBasis)</f>
        <v/>
      </c>
      <c r="R120" s="44">
        <f>IF($A120="",0,$B120*(TSOFR3M+$H$7/10000+$F120)*$G120/DayBasis)</f>
        <v/>
      </c>
      <c r="S120" s="44">
        <f>IF($A120="",0,$B120*(TSOFR3M+$H$8/10000+$F120)*$G120/DayBasis)</f>
        <v/>
      </c>
      <c r="T120" s="44">
        <f>IF($A120="",0,$B120*(TSOFR3M+$H$9/10000+$F120)*$G120/DayBasis)</f>
        <v/>
      </c>
      <c r="U120" s="44">
        <f>IF($A120="",0,$B120*(TSOFR3M+$H$10/10000+$F120)*$G120/DayBasis)</f>
        <v/>
      </c>
      <c r="V120" s="44">
        <f>IF($A120="",0,$B120*(TSOFR3M+$H$12/10000+$F120)*$G120/DayBasis)</f>
        <v/>
      </c>
      <c r="W120" s="44">
        <f>IF(OR($A120="",$M$6&lt;&gt;"Y",$O$6=""),0,IF($H120&gt;=$O$6,$B120*(TSOFR3M+$H$6/10000+$F120)*$N$6/DayBasis,0))</f>
        <v/>
      </c>
      <c r="X120" s="44">
        <f>IF(OR($A120="",$M$7&lt;&gt;"Y",$O$7=""),0,IF($H120&gt;=$O$7,$B120*(TSOFR3M+$H$7/10000+$F120)*$N$7/DayBasis,0))</f>
        <v/>
      </c>
      <c r="Y120" s="44">
        <f>IF(OR($A120="",$M$8&lt;&gt;"Y",$O$8=""),0,IF($H120&gt;=$O$8,$B120*(TSOFR3M+$H$8/10000+$F120)*$N$8/DayBasis,0))</f>
        <v/>
      </c>
      <c r="Z120" s="44">
        <f>IF(OR($A120="",$M$9&lt;&gt;"Y",$O$9=""),0,IF($H120&gt;=$O$9,$B120*(TSOFR3M+$H$9/10000+$F120)*$N$9/DayBasis,0))</f>
        <v/>
      </c>
      <c r="AA120" s="44">
        <f>IF(OR($A120="",$M$10&lt;&gt;"Y",$O$10=""),0,IF($H120&gt;=$O$10,$B120*(TSOFR3M+$H$10/10000+$F120)*$N$10/DayBasis,0))</f>
        <v/>
      </c>
      <c r="AB120" s="44">
        <f>IF(OR($A120="",$M$12&lt;&gt;"Y",$O$12=""),0,IF($H120&gt;=$O$12,$B120*(TSOFR3M+$H$12/10000+$F120)*$N$12/DayBasis,0))</f>
        <v/>
      </c>
      <c r="AC120" s="50">
        <f>IF($A120="",0,MIN(1,$C120*$C$39))</f>
        <v/>
      </c>
      <c r="AD120" s="44">
        <f>IF($A120="",0,$B120*IF($I120=1,LGD_LC,MIN(1,LGD+$C$40))*(1-$E120))</f>
        <v/>
      </c>
      <c r="AE120" s="44">
        <f>IF(OR($A120="",$B120&lt;=0,$AC120&lt;=0),0,IF($AC120&gt;=1,$AD120,IF(_xlfn.NORM.S.INV(RAND())*SQRT(1-Rho)+$C$41*SQRT(Rho)&lt;_xlfn.NORM.S.INV($AC120),$AD120,0)))</f>
        <v/>
      </c>
      <c r="AG120" t="n">
        <v>114</v>
      </c>
      <c r="AH120" s="35" t="n">
        <v>0</v>
      </c>
    </row>
    <row r="121">
      <c r="A121" s="7">
        <f>IF('02_Buyers'!$A58="","",'02_Buyers'!$A58)</f>
        <v/>
      </c>
      <c r="B121" s="44">
        <f>IF($A121="",0,'02_Buyers'!$Z58)</f>
        <v/>
      </c>
      <c r="C121" s="50">
        <f>IF($A121="",0,'02_Buyers'!$AM58)</f>
        <v/>
      </c>
      <c r="D121" s="50">
        <f>IF($A121="",0,'02_Buyers'!$AN58)</f>
        <v/>
      </c>
      <c r="E121" s="50">
        <f>IF($A121="",0,'02_Buyers'!$AO58)</f>
        <v/>
      </c>
      <c r="F121" s="50">
        <f>IF($A121="",0,'02_Buyers'!$AP58)</f>
        <v/>
      </c>
      <c r="G121" s="45">
        <f>IF($A121="",0,'02_Buyers'!$V58)</f>
        <v/>
      </c>
      <c r="H121" s="45">
        <f>IF(OR($A121="",'02_Buyers'!$AC58=""),0,'02_Buyers'!$AC58)</f>
        <v/>
      </c>
      <c r="I121" s="45">
        <f>IF($A121="",0,IF(OR('02_Buyers'!$U58="LC_SIGHT",'02_Buyers'!$U58="LC_USANCE"),1,0))</f>
        <v/>
      </c>
      <c r="J121" s="7">
        <f>IF($A121="","",'02_Buyers'!$T58)</f>
        <v/>
      </c>
      <c r="K121" s="44">
        <f>IF($A121="",0,$B121*MIN(1,$C121*$J$6)*IF($I121=1,LGD_LC,MIN(1,LGD+$K$6))*(1-$E121))</f>
        <v/>
      </c>
      <c r="L121" s="44">
        <f>IF($A121="",0,$B121*MIN(1,$C121*$J$7)*IF($I121=1,LGD_LC,MIN(1,LGD+$K$7))*(1-$E121))</f>
        <v/>
      </c>
      <c r="M121" s="44">
        <f>IF($A121="",0,$B121*MIN(1,$C121*$J$8)*IF($I121=1,LGD_LC,MIN(1,LGD+$K$8))*(1-$E121))</f>
        <v/>
      </c>
      <c r="N121" s="44">
        <f>IF($A121="",0,$B121*MIN(1,$C121*$J$9)*IF($I121=1,LGD_LC,MIN(1,LGD+$K$9))*(1-$E121))</f>
        <v/>
      </c>
      <c r="O121" s="44">
        <f>IF($A121="",0,$B121*MIN(1,$C121*$J$10)*IF($I121=1,LGD_LC,MIN(1,LGD+$K$10))*(1-$E121))</f>
        <v/>
      </c>
      <c r="P121" s="44">
        <f>IF($A121="",0,$B121*MIN(1,$C121*$J$12)*IF($I121=1,LGD_LC,MIN(1,LGD+$K$12))*(1-$E121))</f>
        <v/>
      </c>
      <c r="Q121" s="44">
        <f>IF($A121="",0,$B121*(TSOFR3M+$H$6/10000+$F121)*$G121/DayBasis)</f>
        <v/>
      </c>
      <c r="R121" s="44">
        <f>IF($A121="",0,$B121*(TSOFR3M+$H$7/10000+$F121)*$G121/DayBasis)</f>
        <v/>
      </c>
      <c r="S121" s="44">
        <f>IF($A121="",0,$B121*(TSOFR3M+$H$8/10000+$F121)*$G121/DayBasis)</f>
        <v/>
      </c>
      <c r="T121" s="44">
        <f>IF($A121="",0,$B121*(TSOFR3M+$H$9/10000+$F121)*$G121/DayBasis)</f>
        <v/>
      </c>
      <c r="U121" s="44">
        <f>IF($A121="",0,$B121*(TSOFR3M+$H$10/10000+$F121)*$G121/DayBasis)</f>
        <v/>
      </c>
      <c r="V121" s="44">
        <f>IF($A121="",0,$B121*(TSOFR3M+$H$12/10000+$F121)*$G121/DayBasis)</f>
        <v/>
      </c>
      <c r="W121" s="44">
        <f>IF(OR($A121="",$M$6&lt;&gt;"Y",$O$6=""),0,IF($H121&gt;=$O$6,$B121*(TSOFR3M+$H$6/10000+$F121)*$N$6/DayBasis,0))</f>
        <v/>
      </c>
      <c r="X121" s="44">
        <f>IF(OR($A121="",$M$7&lt;&gt;"Y",$O$7=""),0,IF($H121&gt;=$O$7,$B121*(TSOFR3M+$H$7/10000+$F121)*$N$7/DayBasis,0))</f>
        <v/>
      </c>
      <c r="Y121" s="44">
        <f>IF(OR($A121="",$M$8&lt;&gt;"Y",$O$8=""),0,IF($H121&gt;=$O$8,$B121*(TSOFR3M+$H$8/10000+$F121)*$N$8/DayBasis,0))</f>
        <v/>
      </c>
      <c r="Z121" s="44">
        <f>IF(OR($A121="",$M$9&lt;&gt;"Y",$O$9=""),0,IF($H121&gt;=$O$9,$B121*(TSOFR3M+$H$9/10000+$F121)*$N$9/DayBasis,0))</f>
        <v/>
      </c>
      <c r="AA121" s="44">
        <f>IF(OR($A121="",$M$10&lt;&gt;"Y",$O$10=""),0,IF($H121&gt;=$O$10,$B121*(TSOFR3M+$H$10/10000+$F121)*$N$10/DayBasis,0))</f>
        <v/>
      </c>
      <c r="AB121" s="44">
        <f>IF(OR($A121="",$M$12&lt;&gt;"Y",$O$12=""),0,IF($H121&gt;=$O$12,$B121*(TSOFR3M+$H$12/10000+$F121)*$N$12/DayBasis,0))</f>
        <v/>
      </c>
      <c r="AC121" s="50">
        <f>IF($A121="",0,MIN(1,$C121*$C$39))</f>
        <v/>
      </c>
      <c r="AD121" s="44">
        <f>IF($A121="",0,$B121*IF($I121=1,LGD_LC,MIN(1,LGD+$C$40))*(1-$E121))</f>
        <v/>
      </c>
      <c r="AE121" s="44">
        <f>IF(OR($A121="",$B121&lt;=0,$AC121&lt;=0),0,IF($AC121&gt;=1,$AD121,IF(_xlfn.NORM.S.INV(RAND())*SQRT(1-Rho)+$C$41*SQRT(Rho)&lt;_xlfn.NORM.S.INV($AC121),$AD121,0)))</f>
        <v/>
      </c>
      <c r="AG121" t="n">
        <v>115</v>
      </c>
      <c r="AH121" s="35" t="n">
        <v>0</v>
      </c>
    </row>
    <row r="122">
      <c r="A122" s="7">
        <f>IF('02_Buyers'!$A59="","",'02_Buyers'!$A59)</f>
        <v/>
      </c>
      <c r="B122" s="44">
        <f>IF($A122="",0,'02_Buyers'!$Z59)</f>
        <v/>
      </c>
      <c r="C122" s="50">
        <f>IF($A122="",0,'02_Buyers'!$AM59)</f>
        <v/>
      </c>
      <c r="D122" s="50">
        <f>IF($A122="",0,'02_Buyers'!$AN59)</f>
        <v/>
      </c>
      <c r="E122" s="50">
        <f>IF($A122="",0,'02_Buyers'!$AO59)</f>
        <v/>
      </c>
      <c r="F122" s="50">
        <f>IF($A122="",0,'02_Buyers'!$AP59)</f>
        <v/>
      </c>
      <c r="G122" s="45">
        <f>IF($A122="",0,'02_Buyers'!$V59)</f>
        <v/>
      </c>
      <c r="H122" s="45">
        <f>IF(OR($A122="",'02_Buyers'!$AC59=""),0,'02_Buyers'!$AC59)</f>
        <v/>
      </c>
      <c r="I122" s="45">
        <f>IF($A122="",0,IF(OR('02_Buyers'!$U59="LC_SIGHT",'02_Buyers'!$U59="LC_USANCE"),1,0))</f>
        <v/>
      </c>
      <c r="J122" s="7">
        <f>IF($A122="","",'02_Buyers'!$T59)</f>
        <v/>
      </c>
      <c r="K122" s="44">
        <f>IF($A122="",0,$B122*MIN(1,$C122*$J$6)*IF($I122=1,LGD_LC,MIN(1,LGD+$K$6))*(1-$E122))</f>
        <v/>
      </c>
      <c r="L122" s="44">
        <f>IF($A122="",0,$B122*MIN(1,$C122*$J$7)*IF($I122=1,LGD_LC,MIN(1,LGD+$K$7))*(1-$E122))</f>
        <v/>
      </c>
      <c r="M122" s="44">
        <f>IF($A122="",0,$B122*MIN(1,$C122*$J$8)*IF($I122=1,LGD_LC,MIN(1,LGD+$K$8))*(1-$E122))</f>
        <v/>
      </c>
      <c r="N122" s="44">
        <f>IF($A122="",0,$B122*MIN(1,$C122*$J$9)*IF($I122=1,LGD_LC,MIN(1,LGD+$K$9))*(1-$E122))</f>
        <v/>
      </c>
      <c r="O122" s="44">
        <f>IF($A122="",0,$B122*MIN(1,$C122*$J$10)*IF($I122=1,LGD_LC,MIN(1,LGD+$K$10))*(1-$E122))</f>
        <v/>
      </c>
      <c r="P122" s="44">
        <f>IF($A122="",0,$B122*MIN(1,$C122*$J$12)*IF($I122=1,LGD_LC,MIN(1,LGD+$K$12))*(1-$E122))</f>
        <v/>
      </c>
      <c r="Q122" s="44">
        <f>IF($A122="",0,$B122*(TSOFR3M+$H$6/10000+$F122)*$G122/DayBasis)</f>
        <v/>
      </c>
      <c r="R122" s="44">
        <f>IF($A122="",0,$B122*(TSOFR3M+$H$7/10000+$F122)*$G122/DayBasis)</f>
        <v/>
      </c>
      <c r="S122" s="44">
        <f>IF($A122="",0,$B122*(TSOFR3M+$H$8/10000+$F122)*$G122/DayBasis)</f>
        <v/>
      </c>
      <c r="T122" s="44">
        <f>IF($A122="",0,$B122*(TSOFR3M+$H$9/10000+$F122)*$G122/DayBasis)</f>
        <v/>
      </c>
      <c r="U122" s="44">
        <f>IF($A122="",0,$B122*(TSOFR3M+$H$10/10000+$F122)*$G122/DayBasis)</f>
        <v/>
      </c>
      <c r="V122" s="44">
        <f>IF($A122="",0,$B122*(TSOFR3M+$H$12/10000+$F122)*$G122/DayBasis)</f>
        <v/>
      </c>
      <c r="W122" s="44">
        <f>IF(OR($A122="",$M$6&lt;&gt;"Y",$O$6=""),0,IF($H122&gt;=$O$6,$B122*(TSOFR3M+$H$6/10000+$F122)*$N$6/DayBasis,0))</f>
        <v/>
      </c>
      <c r="X122" s="44">
        <f>IF(OR($A122="",$M$7&lt;&gt;"Y",$O$7=""),0,IF($H122&gt;=$O$7,$B122*(TSOFR3M+$H$7/10000+$F122)*$N$7/DayBasis,0))</f>
        <v/>
      </c>
      <c r="Y122" s="44">
        <f>IF(OR($A122="",$M$8&lt;&gt;"Y",$O$8=""),0,IF($H122&gt;=$O$8,$B122*(TSOFR3M+$H$8/10000+$F122)*$N$8/DayBasis,0))</f>
        <v/>
      </c>
      <c r="Z122" s="44">
        <f>IF(OR($A122="",$M$9&lt;&gt;"Y",$O$9=""),0,IF($H122&gt;=$O$9,$B122*(TSOFR3M+$H$9/10000+$F122)*$N$9/DayBasis,0))</f>
        <v/>
      </c>
      <c r="AA122" s="44">
        <f>IF(OR($A122="",$M$10&lt;&gt;"Y",$O$10=""),0,IF($H122&gt;=$O$10,$B122*(TSOFR3M+$H$10/10000+$F122)*$N$10/DayBasis,0))</f>
        <v/>
      </c>
      <c r="AB122" s="44">
        <f>IF(OR($A122="",$M$12&lt;&gt;"Y",$O$12=""),0,IF($H122&gt;=$O$12,$B122*(TSOFR3M+$H$12/10000+$F122)*$N$12/DayBasis,0))</f>
        <v/>
      </c>
      <c r="AC122" s="50">
        <f>IF($A122="",0,MIN(1,$C122*$C$39))</f>
        <v/>
      </c>
      <c r="AD122" s="44">
        <f>IF($A122="",0,$B122*IF($I122=1,LGD_LC,MIN(1,LGD+$C$40))*(1-$E122))</f>
        <v/>
      </c>
      <c r="AE122" s="44">
        <f>IF(OR($A122="",$B122&lt;=0,$AC122&lt;=0),0,IF($AC122&gt;=1,$AD122,IF(_xlfn.NORM.S.INV(RAND())*SQRT(1-Rho)+$C$41*SQRT(Rho)&lt;_xlfn.NORM.S.INV($AC122),$AD122,0)))</f>
        <v/>
      </c>
      <c r="AG122" t="n">
        <v>116</v>
      </c>
      <c r="AH122" s="35" t="n">
        <v>0</v>
      </c>
    </row>
    <row r="123">
      <c r="A123" s="7">
        <f>IF('02_Buyers'!$A60="","",'02_Buyers'!$A60)</f>
        <v/>
      </c>
      <c r="B123" s="44">
        <f>IF($A123="",0,'02_Buyers'!$Z60)</f>
        <v/>
      </c>
      <c r="C123" s="50">
        <f>IF($A123="",0,'02_Buyers'!$AM60)</f>
        <v/>
      </c>
      <c r="D123" s="50">
        <f>IF($A123="",0,'02_Buyers'!$AN60)</f>
        <v/>
      </c>
      <c r="E123" s="50">
        <f>IF($A123="",0,'02_Buyers'!$AO60)</f>
        <v/>
      </c>
      <c r="F123" s="50">
        <f>IF($A123="",0,'02_Buyers'!$AP60)</f>
        <v/>
      </c>
      <c r="G123" s="45">
        <f>IF($A123="",0,'02_Buyers'!$V60)</f>
        <v/>
      </c>
      <c r="H123" s="45">
        <f>IF(OR($A123="",'02_Buyers'!$AC60=""),0,'02_Buyers'!$AC60)</f>
        <v/>
      </c>
      <c r="I123" s="45">
        <f>IF($A123="",0,IF(OR('02_Buyers'!$U60="LC_SIGHT",'02_Buyers'!$U60="LC_USANCE"),1,0))</f>
        <v/>
      </c>
      <c r="J123" s="7">
        <f>IF($A123="","",'02_Buyers'!$T60)</f>
        <v/>
      </c>
      <c r="K123" s="44">
        <f>IF($A123="",0,$B123*MIN(1,$C123*$J$6)*IF($I123=1,LGD_LC,MIN(1,LGD+$K$6))*(1-$E123))</f>
        <v/>
      </c>
      <c r="L123" s="44">
        <f>IF($A123="",0,$B123*MIN(1,$C123*$J$7)*IF($I123=1,LGD_LC,MIN(1,LGD+$K$7))*(1-$E123))</f>
        <v/>
      </c>
      <c r="M123" s="44">
        <f>IF($A123="",0,$B123*MIN(1,$C123*$J$8)*IF($I123=1,LGD_LC,MIN(1,LGD+$K$8))*(1-$E123))</f>
        <v/>
      </c>
      <c r="N123" s="44">
        <f>IF($A123="",0,$B123*MIN(1,$C123*$J$9)*IF($I123=1,LGD_LC,MIN(1,LGD+$K$9))*(1-$E123))</f>
        <v/>
      </c>
      <c r="O123" s="44">
        <f>IF($A123="",0,$B123*MIN(1,$C123*$J$10)*IF($I123=1,LGD_LC,MIN(1,LGD+$K$10))*(1-$E123))</f>
        <v/>
      </c>
      <c r="P123" s="44">
        <f>IF($A123="",0,$B123*MIN(1,$C123*$J$12)*IF($I123=1,LGD_LC,MIN(1,LGD+$K$12))*(1-$E123))</f>
        <v/>
      </c>
      <c r="Q123" s="44">
        <f>IF($A123="",0,$B123*(TSOFR3M+$H$6/10000+$F123)*$G123/DayBasis)</f>
        <v/>
      </c>
      <c r="R123" s="44">
        <f>IF($A123="",0,$B123*(TSOFR3M+$H$7/10000+$F123)*$G123/DayBasis)</f>
        <v/>
      </c>
      <c r="S123" s="44">
        <f>IF($A123="",0,$B123*(TSOFR3M+$H$8/10000+$F123)*$G123/DayBasis)</f>
        <v/>
      </c>
      <c r="T123" s="44">
        <f>IF($A123="",0,$B123*(TSOFR3M+$H$9/10000+$F123)*$G123/DayBasis)</f>
        <v/>
      </c>
      <c r="U123" s="44">
        <f>IF($A123="",0,$B123*(TSOFR3M+$H$10/10000+$F123)*$G123/DayBasis)</f>
        <v/>
      </c>
      <c r="V123" s="44">
        <f>IF($A123="",0,$B123*(TSOFR3M+$H$12/10000+$F123)*$G123/DayBasis)</f>
        <v/>
      </c>
      <c r="W123" s="44">
        <f>IF(OR($A123="",$M$6&lt;&gt;"Y",$O$6=""),0,IF($H123&gt;=$O$6,$B123*(TSOFR3M+$H$6/10000+$F123)*$N$6/DayBasis,0))</f>
        <v/>
      </c>
      <c r="X123" s="44">
        <f>IF(OR($A123="",$M$7&lt;&gt;"Y",$O$7=""),0,IF($H123&gt;=$O$7,$B123*(TSOFR3M+$H$7/10000+$F123)*$N$7/DayBasis,0))</f>
        <v/>
      </c>
      <c r="Y123" s="44">
        <f>IF(OR($A123="",$M$8&lt;&gt;"Y",$O$8=""),0,IF($H123&gt;=$O$8,$B123*(TSOFR3M+$H$8/10000+$F123)*$N$8/DayBasis,0))</f>
        <v/>
      </c>
      <c r="Z123" s="44">
        <f>IF(OR($A123="",$M$9&lt;&gt;"Y",$O$9=""),0,IF($H123&gt;=$O$9,$B123*(TSOFR3M+$H$9/10000+$F123)*$N$9/DayBasis,0))</f>
        <v/>
      </c>
      <c r="AA123" s="44">
        <f>IF(OR($A123="",$M$10&lt;&gt;"Y",$O$10=""),0,IF($H123&gt;=$O$10,$B123*(TSOFR3M+$H$10/10000+$F123)*$N$10/DayBasis,0))</f>
        <v/>
      </c>
      <c r="AB123" s="44">
        <f>IF(OR($A123="",$M$12&lt;&gt;"Y",$O$12=""),0,IF($H123&gt;=$O$12,$B123*(TSOFR3M+$H$12/10000+$F123)*$N$12/DayBasis,0))</f>
        <v/>
      </c>
      <c r="AC123" s="50">
        <f>IF($A123="",0,MIN(1,$C123*$C$39))</f>
        <v/>
      </c>
      <c r="AD123" s="44">
        <f>IF($A123="",0,$B123*IF($I123=1,LGD_LC,MIN(1,LGD+$C$40))*(1-$E123))</f>
        <v/>
      </c>
      <c r="AE123" s="44">
        <f>IF(OR($A123="",$B123&lt;=0,$AC123&lt;=0),0,IF($AC123&gt;=1,$AD123,IF(_xlfn.NORM.S.INV(RAND())*SQRT(1-Rho)+$C$41*SQRT(Rho)&lt;_xlfn.NORM.S.INV($AC123),$AD123,0)))</f>
        <v/>
      </c>
      <c r="AG123" t="n">
        <v>117</v>
      </c>
      <c r="AH123" s="35" t="n">
        <v>0</v>
      </c>
    </row>
    <row r="124">
      <c r="A124" s="7">
        <f>IF('02_Buyers'!$A61="","",'02_Buyers'!$A61)</f>
        <v/>
      </c>
      <c r="B124" s="44">
        <f>IF($A124="",0,'02_Buyers'!$Z61)</f>
        <v/>
      </c>
      <c r="C124" s="50">
        <f>IF($A124="",0,'02_Buyers'!$AM61)</f>
        <v/>
      </c>
      <c r="D124" s="50">
        <f>IF($A124="",0,'02_Buyers'!$AN61)</f>
        <v/>
      </c>
      <c r="E124" s="50">
        <f>IF($A124="",0,'02_Buyers'!$AO61)</f>
        <v/>
      </c>
      <c r="F124" s="50">
        <f>IF($A124="",0,'02_Buyers'!$AP61)</f>
        <v/>
      </c>
      <c r="G124" s="45">
        <f>IF($A124="",0,'02_Buyers'!$V61)</f>
        <v/>
      </c>
      <c r="H124" s="45">
        <f>IF(OR($A124="",'02_Buyers'!$AC61=""),0,'02_Buyers'!$AC61)</f>
        <v/>
      </c>
      <c r="I124" s="45">
        <f>IF($A124="",0,IF(OR('02_Buyers'!$U61="LC_SIGHT",'02_Buyers'!$U61="LC_USANCE"),1,0))</f>
        <v/>
      </c>
      <c r="J124" s="7">
        <f>IF($A124="","",'02_Buyers'!$T61)</f>
        <v/>
      </c>
      <c r="K124" s="44">
        <f>IF($A124="",0,$B124*MIN(1,$C124*$J$6)*IF($I124=1,LGD_LC,MIN(1,LGD+$K$6))*(1-$E124))</f>
        <v/>
      </c>
      <c r="L124" s="44">
        <f>IF($A124="",0,$B124*MIN(1,$C124*$J$7)*IF($I124=1,LGD_LC,MIN(1,LGD+$K$7))*(1-$E124))</f>
        <v/>
      </c>
      <c r="M124" s="44">
        <f>IF($A124="",0,$B124*MIN(1,$C124*$J$8)*IF($I124=1,LGD_LC,MIN(1,LGD+$K$8))*(1-$E124))</f>
        <v/>
      </c>
      <c r="N124" s="44">
        <f>IF($A124="",0,$B124*MIN(1,$C124*$J$9)*IF($I124=1,LGD_LC,MIN(1,LGD+$K$9))*(1-$E124))</f>
        <v/>
      </c>
      <c r="O124" s="44">
        <f>IF($A124="",0,$B124*MIN(1,$C124*$J$10)*IF($I124=1,LGD_LC,MIN(1,LGD+$K$10))*(1-$E124))</f>
        <v/>
      </c>
      <c r="P124" s="44">
        <f>IF($A124="",0,$B124*MIN(1,$C124*$J$12)*IF($I124=1,LGD_LC,MIN(1,LGD+$K$12))*(1-$E124))</f>
        <v/>
      </c>
      <c r="Q124" s="44">
        <f>IF($A124="",0,$B124*(TSOFR3M+$H$6/10000+$F124)*$G124/DayBasis)</f>
        <v/>
      </c>
      <c r="R124" s="44">
        <f>IF($A124="",0,$B124*(TSOFR3M+$H$7/10000+$F124)*$G124/DayBasis)</f>
        <v/>
      </c>
      <c r="S124" s="44">
        <f>IF($A124="",0,$B124*(TSOFR3M+$H$8/10000+$F124)*$G124/DayBasis)</f>
        <v/>
      </c>
      <c r="T124" s="44">
        <f>IF($A124="",0,$B124*(TSOFR3M+$H$9/10000+$F124)*$G124/DayBasis)</f>
        <v/>
      </c>
      <c r="U124" s="44">
        <f>IF($A124="",0,$B124*(TSOFR3M+$H$10/10000+$F124)*$G124/DayBasis)</f>
        <v/>
      </c>
      <c r="V124" s="44">
        <f>IF($A124="",0,$B124*(TSOFR3M+$H$12/10000+$F124)*$G124/DayBasis)</f>
        <v/>
      </c>
      <c r="W124" s="44">
        <f>IF(OR($A124="",$M$6&lt;&gt;"Y",$O$6=""),0,IF($H124&gt;=$O$6,$B124*(TSOFR3M+$H$6/10000+$F124)*$N$6/DayBasis,0))</f>
        <v/>
      </c>
      <c r="X124" s="44">
        <f>IF(OR($A124="",$M$7&lt;&gt;"Y",$O$7=""),0,IF($H124&gt;=$O$7,$B124*(TSOFR3M+$H$7/10000+$F124)*$N$7/DayBasis,0))</f>
        <v/>
      </c>
      <c r="Y124" s="44">
        <f>IF(OR($A124="",$M$8&lt;&gt;"Y",$O$8=""),0,IF($H124&gt;=$O$8,$B124*(TSOFR3M+$H$8/10000+$F124)*$N$8/DayBasis,0))</f>
        <v/>
      </c>
      <c r="Z124" s="44">
        <f>IF(OR($A124="",$M$9&lt;&gt;"Y",$O$9=""),0,IF($H124&gt;=$O$9,$B124*(TSOFR3M+$H$9/10000+$F124)*$N$9/DayBasis,0))</f>
        <v/>
      </c>
      <c r="AA124" s="44">
        <f>IF(OR($A124="",$M$10&lt;&gt;"Y",$O$10=""),0,IF($H124&gt;=$O$10,$B124*(TSOFR3M+$H$10/10000+$F124)*$N$10/DayBasis,0))</f>
        <v/>
      </c>
      <c r="AB124" s="44">
        <f>IF(OR($A124="",$M$12&lt;&gt;"Y",$O$12=""),0,IF($H124&gt;=$O$12,$B124*(TSOFR3M+$H$12/10000+$F124)*$N$12/DayBasis,0))</f>
        <v/>
      </c>
      <c r="AC124" s="50">
        <f>IF($A124="",0,MIN(1,$C124*$C$39))</f>
        <v/>
      </c>
      <c r="AD124" s="44">
        <f>IF($A124="",0,$B124*IF($I124=1,LGD_LC,MIN(1,LGD+$C$40))*(1-$E124))</f>
        <v/>
      </c>
      <c r="AE124" s="44">
        <f>IF(OR($A124="",$B124&lt;=0,$AC124&lt;=0),0,IF($AC124&gt;=1,$AD124,IF(_xlfn.NORM.S.INV(RAND())*SQRT(1-Rho)+$C$41*SQRT(Rho)&lt;_xlfn.NORM.S.INV($AC124),$AD124,0)))</f>
        <v/>
      </c>
      <c r="AG124" t="n">
        <v>118</v>
      </c>
      <c r="AH124" s="35" t="n">
        <v>0</v>
      </c>
    </row>
    <row r="125">
      <c r="A125" s="7">
        <f>IF('02_Buyers'!$A62="","",'02_Buyers'!$A62)</f>
        <v/>
      </c>
      <c r="B125" s="44">
        <f>IF($A125="",0,'02_Buyers'!$Z62)</f>
        <v/>
      </c>
      <c r="C125" s="50">
        <f>IF($A125="",0,'02_Buyers'!$AM62)</f>
        <v/>
      </c>
      <c r="D125" s="50">
        <f>IF($A125="",0,'02_Buyers'!$AN62)</f>
        <v/>
      </c>
      <c r="E125" s="50">
        <f>IF($A125="",0,'02_Buyers'!$AO62)</f>
        <v/>
      </c>
      <c r="F125" s="50">
        <f>IF($A125="",0,'02_Buyers'!$AP62)</f>
        <v/>
      </c>
      <c r="G125" s="45">
        <f>IF($A125="",0,'02_Buyers'!$V62)</f>
        <v/>
      </c>
      <c r="H125" s="45">
        <f>IF(OR($A125="",'02_Buyers'!$AC62=""),0,'02_Buyers'!$AC62)</f>
        <v/>
      </c>
      <c r="I125" s="45">
        <f>IF($A125="",0,IF(OR('02_Buyers'!$U62="LC_SIGHT",'02_Buyers'!$U62="LC_USANCE"),1,0))</f>
        <v/>
      </c>
      <c r="J125" s="7">
        <f>IF($A125="","",'02_Buyers'!$T62)</f>
        <v/>
      </c>
      <c r="K125" s="44">
        <f>IF($A125="",0,$B125*MIN(1,$C125*$J$6)*IF($I125=1,LGD_LC,MIN(1,LGD+$K$6))*(1-$E125))</f>
        <v/>
      </c>
      <c r="L125" s="44">
        <f>IF($A125="",0,$B125*MIN(1,$C125*$J$7)*IF($I125=1,LGD_LC,MIN(1,LGD+$K$7))*(1-$E125))</f>
        <v/>
      </c>
      <c r="M125" s="44">
        <f>IF($A125="",0,$B125*MIN(1,$C125*$J$8)*IF($I125=1,LGD_LC,MIN(1,LGD+$K$8))*(1-$E125))</f>
        <v/>
      </c>
      <c r="N125" s="44">
        <f>IF($A125="",0,$B125*MIN(1,$C125*$J$9)*IF($I125=1,LGD_LC,MIN(1,LGD+$K$9))*(1-$E125))</f>
        <v/>
      </c>
      <c r="O125" s="44">
        <f>IF($A125="",0,$B125*MIN(1,$C125*$J$10)*IF($I125=1,LGD_LC,MIN(1,LGD+$K$10))*(1-$E125))</f>
        <v/>
      </c>
      <c r="P125" s="44">
        <f>IF($A125="",0,$B125*MIN(1,$C125*$J$12)*IF($I125=1,LGD_LC,MIN(1,LGD+$K$12))*(1-$E125))</f>
        <v/>
      </c>
      <c r="Q125" s="44">
        <f>IF($A125="",0,$B125*(TSOFR3M+$H$6/10000+$F125)*$G125/DayBasis)</f>
        <v/>
      </c>
      <c r="R125" s="44">
        <f>IF($A125="",0,$B125*(TSOFR3M+$H$7/10000+$F125)*$G125/DayBasis)</f>
        <v/>
      </c>
      <c r="S125" s="44">
        <f>IF($A125="",0,$B125*(TSOFR3M+$H$8/10000+$F125)*$G125/DayBasis)</f>
        <v/>
      </c>
      <c r="T125" s="44">
        <f>IF($A125="",0,$B125*(TSOFR3M+$H$9/10000+$F125)*$G125/DayBasis)</f>
        <v/>
      </c>
      <c r="U125" s="44">
        <f>IF($A125="",0,$B125*(TSOFR3M+$H$10/10000+$F125)*$G125/DayBasis)</f>
        <v/>
      </c>
      <c r="V125" s="44">
        <f>IF($A125="",0,$B125*(TSOFR3M+$H$12/10000+$F125)*$G125/DayBasis)</f>
        <v/>
      </c>
      <c r="W125" s="44">
        <f>IF(OR($A125="",$M$6&lt;&gt;"Y",$O$6=""),0,IF($H125&gt;=$O$6,$B125*(TSOFR3M+$H$6/10000+$F125)*$N$6/DayBasis,0))</f>
        <v/>
      </c>
      <c r="X125" s="44">
        <f>IF(OR($A125="",$M$7&lt;&gt;"Y",$O$7=""),0,IF($H125&gt;=$O$7,$B125*(TSOFR3M+$H$7/10000+$F125)*$N$7/DayBasis,0))</f>
        <v/>
      </c>
      <c r="Y125" s="44">
        <f>IF(OR($A125="",$M$8&lt;&gt;"Y",$O$8=""),0,IF($H125&gt;=$O$8,$B125*(TSOFR3M+$H$8/10000+$F125)*$N$8/DayBasis,0))</f>
        <v/>
      </c>
      <c r="Z125" s="44">
        <f>IF(OR($A125="",$M$9&lt;&gt;"Y",$O$9=""),0,IF($H125&gt;=$O$9,$B125*(TSOFR3M+$H$9/10000+$F125)*$N$9/DayBasis,0))</f>
        <v/>
      </c>
      <c r="AA125" s="44">
        <f>IF(OR($A125="",$M$10&lt;&gt;"Y",$O$10=""),0,IF($H125&gt;=$O$10,$B125*(TSOFR3M+$H$10/10000+$F125)*$N$10/DayBasis,0))</f>
        <v/>
      </c>
      <c r="AB125" s="44">
        <f>IF(OR($A125="",$M$12&lt;&gt;"Y",$O$12=""),0,IF($H125&gt;=$O$12,$B125*(TSOFR3M+$H$12/10000+$F125)*$N$12/DayBasis,0))</f>
        <v/>
      </c>
      <c r="AC125" s="50">
        <f>IF($A125="",0,MIN(1,$C125*$C$39))</f>
        <v/>
      </c>
      <c r="AD125" s="44">
        <f>IF($A125="",0,$B125*IF($I125=1,LGD_LC,MIN(1,LGD+$C$40))*(1-$E125))</f>
        <v/>
      </c>
      <c r="AE125" s="44">
        <f>IF(OR($A125="",$B125&lt;=0,$AC125&lt;=0),0,IF($AC125&gt;=1,$AD125,IF(_xlfn.NORM.S.INV(RAND())*SQRT(1-Rho)+$C$41*SQRT(Rho)&lt;_xlfn.NORM.S.INV($AC125),$AD125,0)))</f>
        <v/>
      </c>
      <c r="AG125" t="n">
        <v>119</v>
      </c>
      <c r="AH125" s="35" t="n">
        <v>0</v>
      </c>
    </row>
    <row r="126">
      <c r="A126" s="7">
        <f>IF('02_Buyers'!$A63="","",'02_Buyers'!$A63)</f>
        <v/>
      </c>
      <c r="B126" s="44">
        <f>IF($A126="",0,'02_Buyers'!$Z63)</f>
        <v/>
      </c>
      <c r="C126" s="50">
        <f>IF($A126="",0,'02_Buyers'!$AM63)</f>
        <v/>
      </c>
      <c r="D126" s="50">
        <f>IF($A126="",0,'02_Buyers'!$AN63)</f>
        <v/>
      </c>
      <c r="E126" s="50">
        <f>IF($A126="",0,'02_Buyers'!$AO63)</f>
        <v/>
      </c>
      <c r="F126" s="50">
        <f>IF($A126="",0,'02_Buyers'!$AP63)</f>
        <v/>
      </c>
      <c r="G126" s="45">
        <f>IF($A126="",0,'02_Buyers'!$V63)</f>
        <v/>
      </c>
      <c r="H126" s="45">
        <f>IF(OR($A126="",'02_Buyers'!$AC63=""),0,'02_Buyers'!$AC63)</f>
        <v/>
      </c>
      <c r="I126" s="45">
        <f>IF($A126="",0,IF(OR('02_Buyers'!$U63="LC_SIGHT",'02_Buyers'!$U63="LC_USANCE"),1,0))</f>
        <v/>
      </c>
      <c r="J126" s="7">
        <f>IF($A126="","",'02_Buyers'!$T63)</f>
        <v/>
      </c>
      <c r="K126" s="44">
        <f>IF($A126="",0,$B126*MIN(1,$C126*$J$6)*IF($I126=1,LGD_LC,MIN(1,LGD+$K$6))*(1-$E126))</f>
        <v/>
      </c>
      <c r="L126" s="44">
        <f>IF($A126="",0,$B126*MIN(1,$C126*$J$7)*IF($I126=1,LGD_LC,MIN(1,LGD+$K$7))*(1-$E126))</f>
        <v/>
      </c>
      <c r="M126" s="44">
        <f>IF($A126="",0,$B126*MIN(1,$C126*$J$8)*IF($I126=1,LGD_LC,MIN(1,LGD+$K$8))*(1-$E126))</f>
        <v/>
      </c>
      <c r="N126" s="44">
        <f>IF($A126="",0,$B126*MIN(1,$C126*$J$9)*IF($I126=1,LGD_LC,MIN(1,LGD+$K$9))*(1-$E126))</f>
        <v/>
      </c>
      <c r="O126" s="44">
        <f>IF($A126="",0,$B126*MIN(1,$C126*$J$10)*IF($I126=1,LGD_LC,MIN(1,LGD+$K$10))*(1-$E126))</f>
        <v/>
      </c>
      <c r="P126" s="44">
        <f>IF($A126="",0,$B126*MIN(1,$C126*$J$12)*IF($I126=1,LGD_LC,MIN(1,LGD+$K$12))*(1-$E126))</f>
        <v/>
      </c>
      <c r="Q126" s="44">
        <f>IF($A126="",0,$B126*(TSOFR3M+$H$6/10000+$F126)*$G126/DayBasis)</f>
        <v/>
      </c>
      <c r="R126" s="44">
        <f>IF($A126="",0,$B126*(TSOFR3M+$H$7/10000+$F126)*$G126/DayBasis)</f>
        <v/>
      </c>
      <c r="S126" s="44">
        <f>IF($A126="",0,$B126*(TSOFR3M+$H$8/10000+$F126)*$G126/DayBasis)</f>
        <v/>
      </c>
      <c r="T126" s="44">
        <f>IF($A126="",0,$B126*(TSOFR3M+$H$9/10000+$F126)*$G126/DayBasis)</f>
        <v/>
      </c>
      <c r="U126" s="44">
        <f>IF($A126="",0,$B126*(TSOFR3M+$H$10/10000+$F126)*$G126/DayBasis)</f>
        <v/>
      </c>
      <c r="V126" s="44">
        <f>IF($A126="",0,$B126*(TSOFR3M+$H$12/10000+$F126)*$G126/DayBasis)</f>
        <v/>
      </c>
      <c r="W126" s="44">
        <f>IF(OR($A126="",$M$6&lt;&gt;"Y",$O$6=""),0,IF($H126&gt;=$O$6,$B126*(TSOFR3M+$H$6/10000+$F126)*$N$6/DayBasis,0))</f>
        <v/>
      </c>
      <c r="X126" s="44">
        <f>IF(OR($A126="",$M$7&lt;&gt;"Y",$O$7=""),0,IF($H126&gt;=$O$7,$B126*(TSOFR3M+$H$7/10000+$F126)*$N$7/DayBasis,0))</f>
        <v/>
      </c>
      <c r="Y126" s="44">
        <f>IF(OR($A126="",$M$8&lt;&gt;"Y",$O$8=""),0,IF($H126&gt;=$O$8,$B126*(TSOFR3M+$H$8/10000+$F126)*$N$8/DayBasis,0))</f>
        <v/>
      </c>
      <c r="Z126" s="44">
        <f>IF(OR($A126="",$M$9&lt;&gt;"Y",$O$9=""),0,IF($H126&gt;=$O$9,$B126*(TSOFR3M+$H$9/10000+$F126)*$N$9/DayBasis,0))</f>
        <v/>
      </c>
      <c r="AA126" s="44">
        <f>IF(OR($A126="",$M$10&lt;&gt;"Y",$O$10=""),0,IF($H126&gt;=$O$10,$B126*(TSOFR3M+$H$10/10000+$F126)*$N$10/DayBasis,0))</f>
        <v/>
      </c>
      <c r="AB126" s="44">
        <f>IF(OR($A126="",$M$12&lt;&gt;"Y",$O$12=""),0,IF($H126&gt;=$O$12,$B126*(TSOFR3M+$H$12/10000+$F126)*$N$12/DayBasis,0))</f>
        <v/>
      </c>
      <c r="AC126" s="50">
        <f>IF($A126="",0,MIN(1,$C126*$C$39))</f>
        <v/>
      </c>
      <c r="AD126" s="44">
        <f>IF($A126="",0,$B126*IF($I126=1,LGD_LC,MIN(1,LGD+$C$40))*(1-$E126))</f>
        <v/>
      </c>
      <c r="AE126" s="44">
        <f>IF(OR($A126="",$B126&lt;=0,$AC126&lt;=0),0,IF($AC126&gt;=1,$AD126,IF(_xlfn.NORM.S.INV(RAND())*SQRT(1-Rho)+$C$41*SQRT(Rho)&lt;_xlfn.NORM.S.INV($AC126),$AD126,0)))</f>
        <v/>
      </c>
      <c r="AG126" t="n">
        <v>120</v>
      </c>
      <c r="AH126" s="35" t="n">
        <v>0</v>
      </c>
    </row>
    <row r="127">
      <c r="A127" s="7">
        <f>IF('02_Buyers'!$A64="","",'02_Buyers'!$A64)</f>
        <v/>
      </c>
      <c r="B127" s="44">
        <f>IF($A127="",0,'02_Buyers'!$Z64)</f>
        <v/>
      </c>
      <c r="C127" s="50">
        <f>IF($A127="",0,'02_Buyers'!$AM64)</f>
        <v/>
      </c>
      <c r="D127" s="50">
        <f>IF($A127="",0,'02_Buyers'!$AN64)</f>
        <v/>
      </c>
      <c r="E127" s="50">
        <f>IF($A127="",0,'02_Buyers'!$AO64)</f>
        <v/>
      </c>
      <c r="F127" s="50">
        <f>IF($A127="",0,'02_Buyers'!$AP64)</f>
        <v/>
      </c>
      <c r="G127" s="45">
        <f>IF($A127="",0,'02_Buyers'!$V64)</f>
        <v/>
      </c>
      <c r="H127" s="45">
        <f>IF(OR($A127="",'02_Buyers'!$AC64=""),0,'02_Buyers'!$AC64)</f>
        <v/>
      </c>
      <c r="I127" s="45">
        <f>IF($A127="",0,IF(OR('02_Buyers'!$U64="LC_SIGHT",'02_Buyers'!$U64="LC_USANCE"),1,0))</f>
        <v/>
      </c>
      <c r="J127" s="7">
        <f>IF($A127="","",'02_Buyers'!$T64)</f>
        <v/>
      </c>
      <c r="K127" s="44">
        <f>IF($A127="",0,$B127*MIN(1,$C127*$J$6)*IF($I127=1,LGD_LC,MIN(1,LGD+$K$6))*(1-$E127))</f>
        <v/>
      </c>
      <c r="L127" s="44">
        <f>IF($A127="",0,$B127*MIN(1,$C127*$J$7)*IF($I127=1,LGD_LC,MIN(1,LGD+$K$7))*(1-$E127))</f>
        <v/>
      </c>
      <c r="M127" s="44">
        <f>IF($A127="",0,$B127*MIN(1,$C127*$J$8)*IF($I127=1,LGD_LC,MIN(1,LGD+$K$8))*(1-$E127))</f>
        <v/>
      </c>
      <c r="N127" s="44">
        <f>IF($A127="",0,$B127*MIN(1,$C127*$J$9)*IF($I127=1,LGD_LC,MIN(1,LGD+$K$9))*(1-$E127))</f>
        <v/>
      </c>
      <c r="O127" s="44">
        <f>IF($A127="",0,$B127*MIN(1,$C127*$J$10)*IF($I127=1,LGD_LC,MIN(1,LGD+$K$10))*(1-$E127))</f>
        <v/>
      </c>
      <c r="P127" s="44">
        <f>IF($A127="",0,$B127*MIN(1,$C127*$J$12)*IF($I127=1,LGD_LC,MIN(1,LGD+$K$12))*(1-$E127))</f>
        <v/>
      </c>
      <c r="Q127" s="44">
        <f>IF($A127="",0,$B127*(TSOFR3M+$H$6/10000+$F127)*$G127/DayBasis)</f>
        <v/>
      </c>
      <c r="R127" s="44">
        <f>IF($A127="",0,$B127*(TSOFR3M+$H$7/10000+$F127)*$G127/DayBasis)</f>
        <v/>
      </c>
      <c r="S127" s="44">
        <f>IF($A127="",0,$B127*(TSOFR3M+$H$8/10000+$F127)*$G127/DayBasis)</f>
        <v/>
      </c>
      <c r="T127" s="44">
        <f>IF($A127="",0,$B127*(TSOFR3M+$H$9/10000+$F127)*$G127/DayBasis)</f>
        <v/>
      </c>
      <c r="U127" s="44">
        <f>IF($A127="",0,$B127*(TSOFR3M+$H$10/10000+$F127)*$G127/DayBasis)</f>
        <v/>
      </c>
      <c r="V127" s="44">
        <f>IF($A127="",0,$B127*(TSOFR3M+$H$12/10000+$F127)*$G127/DayBasis)</f>
        <v/>
      </c>
      <c r="W127" s="44">
        <f>IF(OR($A127="",$M$6&lt;&gt;"Y",$O$6=""),0,IF($H127&gt;=$O$6,$B127*(TSOFR3M+$H$6/10000+$F127)*$N$6/DayBasis,0))</f>
        <v/>
      </c>
      <c r="X127" s="44">
        <f>IF(OR($A127="",$M$7&lt;&gt;"Y",$O$7=""),0,IF($H127&gt;=$O$7,$B127*(TSOFR3M+$H$7/10000+$F127)*$N$7/DayBasis,0))</f>
        <v/>
      </c>
      <c r="Y127" s="44">
        <f>IF(OR($A127="",$M$8&lt;&gt;"Y",$O$8=""),0,IF($H127&gt;=$O$8,$B127*(TSOFR3M+$H$8/10000+$F127)*$N$8/DayBasis,0))</f>
        <v/>
      </c>
      <c r="Z127" s="44">
        <f>IF(OR($A127="",$M$9&lt;&gt;"Y",$O$9=""),0,IF($H127&gt;=$O$9,$B127*(TSOFR3M+$H$9/10000+$F127)*$N$9/DayBasis,0))</f>
        <v/>
      </c>
      <c r="AA127" s="44">
        <f>IF(OR($A127="",$M$10&lt;&gt;"Y",$O$10=""),0,IF($H127&gt;=$O$10,$B127*(TSOFR3M+$H$10/10000+$F127)*$N$10/DayBasis,0))</f>
        <v/>
      </c>
      <c r="AB127" s="44">
        <f>IF(OR($A127="",$M$12&lt;&gt;"Y",$O$12=""),0,IF($H127&gt;=$O$12,$B127*(TSOFR3M+$H$12/10000+$F127)*$N$12/DayBasis,0))</f>
        <v/>
      </c>
      <c r="AC127" s="50">
        <f>IF($A127="",0,MIN(1,$C127*$C$39))</f>
        <v/>
      </c>
      <c r="AD127" s="44">
        <f>IF($A127="",0,$B127*IF($I127=1,LGD_LC,MIN(1,LGD+$C$40))*(1-$E127))</f>
        <v/>
      </c>
      <c r="AE127" s="44">
        <f>IF(OR($A127="",$B127&lt;=0,$AC127&lt;=0),0,IF($AC127&gt;=1,$AD127,IF(_xlfn.NORM.S.INV(RAND())*SQRT(1-Rho)+$C$41*SQRT(Rho)&lt;_xlfn.NORM.S.INV($AC127),$AD127,0)))</f>
        <v/>
      </c>
      <c r="AG127" t="n">
        <v>121</v>
      </c>
      <c r="AH127" s="35" t="n">
        <v>0</v>
      </c>
    </row>
    <row r="128">
      <c r="A128" s="7">
        <f>IF('02_Buyers'!$A65="","",'02_Buyers'!$A65)</f>
        <v/>
      </c>
      <c r="B128" s="44">
        <f>IF($A128="",0,'02_Buyers'!$Z65)</f>
        <v/>
      </c>
      <c r="C128" s="50">
        <f>IF($A128="",0,'02_Buyers'!$AM65)</f>
        <v/>
      </c>
      <c r="D128" s="50">
        <f>IF($A128="",0,'02_Buyers'!$AN65)</f>
        <v/>
      </c>
      <c r="E128" s="50">
        <f>IF($A128="",0,'02_Buyers'!$AO65)</f>
        <v/>
      </c>
      <c r="F128" s="50">
        <f>IF($A128="",0,'02_Buyers'!$AP65)</f>
        <v/>
      </c>
      <c r="G128" s="45">
        <f>IF($A128="",0,'02_Buyers'!$V65)</f>
        <v/>
      </c>
      <c r="H128" s="45">
        <f>IF(OR($A128="",'02_Buyers'!$AC65=""),0,'02_Buyers'!$AC65)</f>
        <v/>
      </c>
      <c r="I128" s="45">
        <f>IF($A128="",0,IF(OR('02_Buyers'!$U65="LC_SIGHT",'02_Buyers'!$U65="LC_USANCE"),1,0))</f>
        <v/>
      </c>
      <c r="J128" s="7">
        <f>IF($A128="","",'02_Buyers'!$T65)</f>
        <v/>
      </c>
      <c r="K128" s="44">
        <f>IF($A128="",0,$B128*MIN(1,$C128*$J$6)*IF($I128=1,LGD_LC,MIN(1,LGD+$K$6))*(1-$E128))</f>
        <v/>
      </c>
      <c r="L128" s="44">
        <f>IF($A128="",0,$B128*MIN(1,$C128*$J$7)*IF($I128=1,LGD_LC,MIN(1,LGD+$K$7))*(1-$E128))</f>
        <v/>
      </c>
      <c r="M128" s="44">
        <f>IF($A128="",0,$B128*MIN(1,$C128*$J$8)*IF($I128=1,LGD_LC,MIN(1,LGD+$K$8))*(1-$E128))</f>
        <v/>
      </c>
      <c r="N128" s="44">
        <f>IF($A128="",0,$B128*MIN(1,$C128*$J$9)*IF($I128=1,LGD_LC,MIN(1,LGD+$K$9))*(1-$E128))</f>
        <v/>
      </c>
      <c r="O128" s="44">
        <f>IF($A128="",0,$B128*MIN(1,$C128*$J$10)*IF($I128=1,LGD_LC,MIN(1,LGD+$K$10))*(1-$E128))</f>
        <v/>
      </c>
      <c r="P128" s="44">
        <f>IF($A128="",0,$B128*MIN(1,$C128*$J$12)*IF($I128=1,LGD_LC,MIN(1,LGD+$K$12))*(1-$E128))</f>
        <v/>
      </c>
      <c r="Q128" s="44">
        <f>IF($A128="",0,$B128*(TSOFR3M+$H$6/10000+$F128)*$G128/DayBasis)</f>
        <v/>
      </c>
      <c r="R128" s="44">
        <f>IF($A128="",0,$B128*(TSOFR3M+$H$7/10000+$F128)*$G128/DayBasis)</f>
        <v/>
      </c>
      <c r="S128" s="44">
        <f>IF($A128="",0,$B128*(TSOFR3M+$H$8/10000+$F128)*$G128/DayBasis)</f>
        <v/>
      </c>
      <c r="T128" s="44">
        <f>IF($A128="",0,$B128*(TSOFR3M+$H$9/10000+$F128)*$G128/DayBasis)</f>
        <v/>
      </c>
      <c r="U128" s="44">
        <f>IF($A128="",0,$B128*(TSOFR3M+$H$10/10000+$F128)*$G128/DayBasis)</f>
        <v/>
      </c>
      <c r="V128" s="44">
        <f>IF($A128="",0,$B128*(TSOFR3M+$H$12/10000+$F128)*$G128/DayBasis)</f>
        <v/>
      </c>
      <c r="W128" s="44">
        <f>IF(OR($A128="",$M$6&lt;&gt;"Y",$O$6=""),0,IF($H128&gt;=$O$6,$B128*(TSOFR3M+$H$6/10000+$F128)*$N$6/DayBasis,0))</f>
        <v/>
      </c>
      <c r="X128" s="44">
        <f>IF(OR($A128="",$M$7&lt;&gt;"Y",$O$7=""),0,IF($H128&gt;=$O$7,$B128*(TSOFR3M+$H$7/10000+$F128)*$N$7/DayBasis,0))</f>
        <v/>
      </c>
      <c r="Y128" s="44">
        <f>IF(OR($A128="",$M$8&lt;&gt;"Y",$O$8=""),0,IF($H128&gt;=$O$8,$B128*(TSOFR3M+$H$8/10000+$F128)*$N$8/DayBasis,0))</f>
        <v/>
      </c>
      <c r="Z128" s="44">
        <f>IF(OR($A128="",$M$9&lt;&gt;"Y",$O$9=""),0,IF($H128&gt;=$O$9,$B128*(TSOFR3M+$H$9/10000+$F128)*$N$9/DayBasis,0))</f>
        <v/>
      </c>
      <c r="AA128" s="44">
        <f>IF(OR($A128="",$M$10&lt;&gt;"Y",$O$10=""),0,IF($H128&gt;=$O$10,$B128*(TSOFR3M+$H$10/10000+$F128)*$N$10/DayBasis,0))</f>
        <v/>
      </c>
      <c r="AB128" s="44">
        <f>IF(OR($A128="",$M$12&lt;&gt;"Y",$O$12=""),0,IF($H128&gt;=$O$12,$B128*(TSOFR3M+$H$12/10000+$F128)*$N$12/DayBasis,0))</f>
        <v/>
      </c>
      <c r="AC128" s="50">
        <f>IF($A128="",0,MIN(1,$C128*$C$39))</f>
        <v/>
      </c>
      <c r="AD128" s="44">
        <f>IF($A128="",0,$B128*IF($I128=1,LGD_LC,MIN(1,LGD+$C$40))*(1-$E128))</f>
        <v/>
      </c>
      <c r="AE128" s="44">
        <f>IF(OR($A128="",$B128&lt;=0,$AC128&lt;=0),0,IF($AC128&gt;=1,$AD128,IF(_xlfn.NORM.S.INV(RAND())*SQRT(1-Rho)+$C$41*SQRT(Rho)&lt;_xlfn.NORM.S.INV($AC128),$AD128,0)))</f>
        <v/>
      </c>
      <c r="AG128" t="n">
        <v>122</v>
      </c>
      <c r="AH128" s="35" t="n">
        <v>0</v>
      </c>
    </row>
    <row r="129">
      <c r="A129" s="7">
        <f>IF('02_Buyers'!$A66="","",'02_Buyers'!$A66)</f>
        <v/>
      </c>
      <c r="B129" s="44">
        <f>IF($A129="",0,'02_Buyers'!$Z66)</f>
        <v/>
      </c>
      <c r="C129" s="50">
        <f>IF($A129="",0,'02_Buyers'!$AM66)</f>
        <v/>
      </c>
      <c r="D129" s="50">
        <f>IF($A129="",0,'02_Buyers'!$AN66)</f>
        <v/>
      </c>
      <c r="E129" s="50">
        <f>IF($A129="",0,'02_Buyers'!$AO66)</f>
        <v/>
      </c>
      <c r="F129" s="50">
        <f>IF($A129="",0,'02_Buyers'!$AP66)</f>
        <v/>
      </c>
      <c r="G129" s="45">
        <f>IF($A129="",0,'02_Buyers'!$V66)</f>
        <v/>
      </c>
      <c r="H129" s="45">
        <f>IF(OR($A129="",'02_Buyers'!$AC66=""),0,'02_Buyers'!$AC66)</f>
        <v/>
      </c>
      <c r="I129" s="45">
        <f>IF($A129="",0,IF(OR('02_Buyers'!$U66="LC_SIGHT",'02_Buyers'!$U66="LC_USANCE"),1,0))</f>
        <v/>
      </c>
      <c r="J129" s="7">
        <f>IF($A129="","",'02_Buyers'!$T66)</f>
        <v/>
      </c>
      <c r="K129" s="44">
        <f>IF($A129="",0,$B129*MIN(1,$C129*$J$6)*IF($I129=1,LGD_LC,MIN(1,LGD+$K$6))*(1-$E129))</f>
        <v/>
      </c>
      <c r="L129" s="44">
        <f>IF($A129="",0,$B129*MIN(1,$C129*$J$7)*IF($I129=1,LGD_LC,MIN(1,LGD+$K$7))*(1-$E129))</f>
        <v/>
      </c>
      <c r="M129" s="44">
        <f>IF($A129="",0,$B129*MIN(1,$C129*$J$8)*IF($I129=1,LGD_LC,MIN(1,LGD+$K$8))*(1-$E129))</f>
        <v/>
      </c>
      <c r="N129" s="44">
        <f>IF($A129="",0,$B129*MIN(1,$C129*$J$9)*IF($I129=1,LGD_LC,MIN(1,LGD+$K$9))*(1-$E129))</f>
        <v/>
      </c>
      <c r="O129" s="44">
        <f>IF($A129="",0,$B129*MIN(1,$C129*$J$10)*IF($I129=1,LGD_LC,MIN(1,LGD+$K$10))*(1-$E129))</f>
        <v/>
      </c>
      <c r="P129" s="44">
        <f>IF($A129="",0,$B129*MIN(1,$C129*$J$12)*IF($I129=1,LGD_LC,MIN(1,LGD+$K$12))*(1-$E129))</f>
        <v/>
      </c>
      <c r="Q129" s="44">
        <f>IF($A129="",0,$B129*(TSOFR3M+$H$6/10000+$F129)*$G129/DayBasis)</f>
        <v/>
      </c>
      <c r="R129" s="44">
        <f>IF($A129="",0,$B129*(TSOFR3M+$H$7/10000+$F129)*$G129/DayBasis)</f>
        <v/>
      </c>
      <c r="S129" s="44">
        <f>IF($A129="",0,$B129*(TSOFR3M+$H$8/10000+$F129)*$G129/DayBasis)</f>
        <v/>
      </c>
      <c r="T129" s="44">
        <f>IF($A129="",0,$B129*(TSOFR3M+$H$9/10000+$F129)*$G129/DayBasis)</f>
        <v/>
      </c>
      <c r="U129" s="44">
        <f>IF($A129="",0,$B129*(TSOFR3M+$H$10/10000+$F129)*$G129/DayBasis)</f>
        <v/>
      </c>
      <c r="V129" s="44">
        <f>IF($A129="",0,$B129*(TSOFR3M+$H$12/10000+$F129)*$G129/DayBasis)</f>
        <v/>
      </c>
      <c r="W129" s="44">
        <f>IF(OR($A129="",$M$6&lt;&gt;"Y",$O$6=""),0,IF($H129&gt;=$O$6,$B129*(TSOFR3M+$H$6/10000+$F129)*$N$6/DayBasis,0))</f>
        <v/>
      </c>
      <c r="X129" s="44">
        <f>IF(OR($A129="",$M$7&lt;&gt;"Y",$O$7=""),0,IF($H129&gt;=$O$7,$B129*(TSOFR3M+$H$7/10000+$F129)*$N$7/DayBasis,0))</f>
        <v/>
      </c>
      <c r="Y129" s="44">
        <f>IF(OR($A129="",$M$8&lt;&gt;"Y",$O$8=""),0,IF($H129&gt;=$O$8,$B129*(TSOFR3M+$H$8/10000+$F129)*$N$8/DayBasis,0))</f>
        <v/>
      </c>
      <c r="Z129" s="44">
        <f>IF(OR($A129="",$M$9&lt;&gt;"Y",$O$9=""),0,IF($H129&gt;=$O$9,$B129*(TSOFR3M+$H$9/10000+$F129)*$N$9/DayBasis,0))</f>
        <v/>
      </c>
      <c r="AA129" s="44">
        <f>IF(OR($A129="",$M$10&lt;&gt;"Y",$O$10=""),0,IF($H129&gt;=$O$10,$B129*(TSOFR3M+$H$10/10000+$F129)*$N$10/DayBasis,0))</f>
        <v/>
      </c>
      <c r="AB129" s="44">
        <f>IF(OR($A129="",$M$12&lt;&gt;"Y",$O$12=""),0,IF($H129&gt;=$O$12,$B129*(TSOFR3M+$H$12/10000+$F129)*$N$12/DayBasis,0))</f>
        <v/>
      </c>
      <c r="AC129" s="50">
        <f>IF($A129="",0,MIN(1,$C129*$C$39))</f>
        <v/>
      </c>
      <c r="AD129" s="44">
        <f>IF($A129="",0,$B129*IF($I129=1,LGD_LC,MIN(1,LGD+$C$40))*(1-$E129))</f>
        <v/>
      </c>
      <c r="AE129" s="44">
        <f>IF(OR($A129="",$B129&lt;=0,$AC129&lt;=0),0,IF($AC129&gt;=1,$AD129,IF(_xlfn.NORM.S.INV(RAND())*SQRT(1-Rho)+$C$41*SQRT(Rho)&lt;_xlfn.NORM.S.INV($AC129),$AD129,0)))</f>
        <v/>
      </c>
      <c r="AG129" t="n">
        <v>123</v>
      </c>
      <c r="AH129" s="35" t="n">
        <v>0</v>
      </c>
    </row>
    <row r="130">
      <c r="A130" s="7">
        <f>IF('02_Buyers'!$A67="","",'02_Buyers'!$A67)</f>
        <v/>
      </c>
      <c r="B130" s="44">
        <f>IF($A130="",0,'02_Buyers'!$Z67)</f>
        <v/>
      </c>
      <c r="C130" s="50">
        <f>IF($A130="",0,'02_Buyers'!$AM67)</f>
        <v/>
      </c>
      <c r="D130" s="50">
        <f>IF($A130="",0,'02_Buyers'!$AN67)</f>
        <v/>
      </c>
      <c r="E130" s="50">
        <f>IF($A130="",0,'02_Buyers'!$AO67)</f>
        <v/>
      </c>
      <c r="F130" s="50">
        <f>IF($A130="",0,'02_Buyers'!$AP67)</f>
        <v/>
      </c>
      <c r="G130" s="45">
        <f>IF($A130="",0,'02_Buyers'!$V67)</f>
        <v/>
      </c>
      <c r="H130" s="45">
        <f>IF(OR($A130="",'02_Buyers'!$AC67=""),0,'02_Buyers'!$AC67)</f>
        <v/>
      </c>
      <c r="I130" s="45">
        <f>IF($A130="",0,IF(OR('02_Buyers'!$U67="LC_SIGHT",'02_Buyers'!$U67="LC_USANCE"),1,0))</f>
        <v/>
      </c>
      <c r="J130" s="7">
        <f>IF($A130="","",'02_Buyers'!$T67)</f>
        <v/>
      </c>
      <c r="K130" s="44">
        <f>IF($A130="",0,$B130*MIN(1,$C130*$J$6)*IF($I130=1,LGD_LC,MIN(1,LGD+$K$6))*(1-$E130))</f>
        <v/>
      </c>
      <c r="L130" s="44">
        <f>IF($A130="",0,$B130*MIN(1,$C130*$J$7)*IF($I130=1,LGD_LC,MIN(1,LGD+$K$7))*(1-$E130))</f>
        <v/>
      </c>
      <c r="M130" s="44">
        <f>IF($A130="",0,$B130*MIN(1,$C130*$J$8)*IF($I130=1,LGD_LC,MIN(1,LGD+$K$8))*(1-$E130))</f>
        <v/>
      </c>
      <c r="N130" s="44">
        <f>IF($A130="",0,$B130*MIN(1,$C130*$J$9)*IF($I130=1,LGD_LC,MIN(1,LGD+$K$9))*(1-$E130))</f>
        <v/>
      </c>
      <c r="O130" s="44">
        <f>IF($A130="",0,$B130*MIN(1,$C130*$J$10)*IF($I130=1,LGD_LC,MIN(1,LGD+$K$10))*(1-$E130))</f>
        <v/>
      </c>
      <c r="P130" s="44">
        <f>IF($A130="",0,$B130*MIN(1,$C130*$J$12)*IF($I130=1,LGD_LC,MIN(1,LGD+$K$12))*(1-$E130))</f>
        <v/>
      </c>
      <c r="Q130" s="44">
        <f>IF($A130="",0,$B130*(TSOFR3M+$H$6/10000+$F130)*$G130/DayBasis)</f>
        <v/>
      </c>
      <c r="R130" s="44">
        <f>IF($A130="",0,$B130*(TSOFR3M+$H$7/10000+$F130)*$G130/DayBasis)</f>
        <v/>
      </c>
      <c r="S130" s="44">
        <f>IF($A130="",0,$B130*(TSOFR3M+$H$8/10000+$F130)*$G130/DayBasis)</f>
        <v/>
      </c>
      <c r="T130" s="44">
        <f>IF($A130="",0,$B130*(TSOFR3M+$H$9/10000+$F130)*$G130/DayBasis)</f>
        <v/>
      </c>
      <c r="U130" s="44">
        <f>IF($A130="",0,$B130*(TSOFR3M+$H$10/10000+$F130)*$G130/DayBasis)</f>
        <v/>
      </c>
      <c r="V130" s="44">
        <f>IF($A130="",0,$B130*(TSOFR3M+$H$12/10000+$F130)*$G130/DayBasis)</f>
        <v/>
      </c>
      <c r="W130" s="44">
        <f>IF(OR($A130="",$M$6&lt;&gt;"Y",$O$6=""),0,IF($H130&gt;=$O$6,$B130*(TSOFR3M+$H$6/10000+$F130)*$N$6/DayBasis,0))</f>
        <v/>
      </c>
      <c r="X130" s="44">
        <f>IF(OR($A130="",$M$7&lt;&gt;"Y",$O$7=""),0,IF($H130&gt;=$O$7,$B130*(TSOFR3M+$H$7/10000+$F130)*$N$7/DayBasis,0))</f>
        <v/>
      </c>
      <c r="Y130" s="44">
        <f>IF(OR($A130="",$M$8&lt;&gt;"Y",$O$8=""),0,IF($H130&gt;=$O$8,$B130*(TSOFR3M+$H$8/10000+$F130)*$N$8/DayBasis,0))</f>
        <v/>
      </c>
      <c r="Z130" s="44">
        <f>IF(OR($A130="",$M$9&lt;&gt;"Y",$O$9=""),0,IF($H130&gt;=$O$9,$B130*(TSOFR3M+$H$9/10000+$F130)*$N$9/DayBasis,0))</f>
        <v/>
      </c>
      <c r="AA130" s="44">
        <f>IF(OR($A130="",$M$10&lt;&gt;"Y",$O$10=""),0,IF($H130&gt;=$O$10,$B130*(TSOFR3M+$H$10/10000+$F130)*$N$10/DayBasis,0))</f>
        <v/>
      </c>
      <c r="AB130" s="44">
        <f>IF(OR($A130="",$M$12&lt;&gt;"Y",$O$12=""),0,IF($H130&gt;=$O$12,$B130*(TSOFR3M+$H$12/10000+$F130)*$N$12/DayBasis,0))</f>
        <v/>
      </c>
      <c r="AC130" s="50">
        <f>IF($A130="",0,MIN(1,$C130*$C$39))</f>
        <v/>
      </c>
      <c r="AD130" s="44">
        <f>IF($A130="",0,$B130*IF($I130=1,LGD_LC,MIN(1,LGD+$C$40))*(1-$E130))</f>
        <v/>
      </c>
      <c r="AE130" s="44">
        <f>IF(OR($A130="",$B130&lt;=0,$AC130&lt;=0),0,IF($AC130&gt;=1,$AD130,IF(_xlfn.NORM.S.INV(RAND())*SQRT(1-Rho)+$C$41*SQRT(Rho)&lt;_xlfn.NORM.S.INV($AC130),$AD130,0)))</f>
        <v/>
      </c>
      <c r="AG130" t="n">
        <v>124</v>
      </c>
      <c r="AH130" s="35" t="n">
        <v>0</v>
      </c>
    </row>
    <row r="131">
      <c r="A131" s="7">
        <f>IF('02_Buyers'!$A68="","",'02_Buyers'!$A68)</f>
        <v/>
      </c>
      <c r="B131" s="44">
        <f>IF($A131="",0,'02_Buyers'!$Z68)</f>
        <v/>
      </c>
      <c r="C131" s="50">
        <f>IF($A131="",0,'02_Buyers'!$AM68)</f>
        <v/>
      </c>
      <c r="D131" s="50">
        <f>IF($A131="",0,'02_Buyers'!$AN68)</f>
        <v/>
      </c>
      <c r="E131" s="50">
        <f>IF($A131="",0,'02_Buyers'!$AO68)</f>
        <v/>
      </c>
      <c r="F131" s="50">
        <f>IF($A131="",0,'02_Buyers'!$AP68)</f>
        <v/>
      </c>
      <c r="G131" s="45">
        <f>IF($A131="",0,'02_Buyers'!$V68)</f>
        <v/>
      </c>
      <c r="H131" s="45">
        <f>IF(OR($A131="",'02_Buyers'!$AC68=""),0,'02_Buyers'!$AC68)</f>
        <v/>
      </c>
      <c r="I131" s="45">
        <f>IF($A131="",0,IF(OR('02_Buyers'!$U68="LC_SIGHT",'02_Buyers'!$U68="LC_USANCE"),1,0))</f>
        <v/>
      </c>
      <c r="J131" s="7">
        <f>IF($A131="","",'02_Buyers'!$T68)</f>
        <v/>
      </c>
      <c r="K131" s="44">
        <f>IF($A131="",0,$B131*MIN(1,$C131*$J$6)*IF($I131=1,LGD_LC,MIN(1,LGD+$K$6))*(1-$E131))</f>
        <v/>
      </c>
      <c r="L131" s="44">
        <f>IF($A131="",0,$B131*MIN(1,$C131*$J$7)*IF($I131=1,LGD_LC,MIN(1,LGD+$K$7))*(1-$E131))</f>
        <v/>
      </c>
      <c r="M131" s="44">
        <f>IF($A131="",0,$B131*MIN(1,$C131*$J$8)*IF($I131=1,LGD_LC,MIN(1,LGD+$K$8))*(1-$E131))</f>
        <v/>
      </c>
      <c r="N131" s="44">
        <f>IF($A131="",0,$B131*MIN(1,$C131*$J$9)*IF($I131=1,LGD_LC,MIN(1,LGD+$K$9))*(1-$E131))</f>
        <v/>
      </c>
      <c r="O131" s="44">
        <f>IF($A131="",0,$B131*MIN(1,$C131*$J$10)*IF($I131=1,LGD_LC,MIN(1,LGD+$K$10))*(1-$E131))</f>
        <v/>
      </c>
      <c r="P131" s="44">
        <f>IF($A131="",0,$B131*MIN(1,$C131*$J$12)*IF($I131=1,LGD_LC,MIN(1,LGD+$K$12))*(1-$E131))</f>
        <v/>
      </c>
      <c r="Q131" s="44">
        <f>IF($A131="",0,$B131*(TSOFR3M+$H$6/10000+$F131)*$G131/DayBasis)</f>
        <v/>
      </c>
      <c r="R131" s="44">
        <f>IF($A131="",0,$B131*(TSOFR3M+$H$7/10000+$F131)*$G131/DayBasis)</f>
        <v/>
      </c>
      <c r="S131" s="44">
        <f>IF($A131="",0,$B131*(TSOFR3M+$H$8/10000+$F131)*$G131/DayBasis)</f>
        <v/>
      </c>
      <c r="T131" s="44">
        <f>IF($A131="",0,$B131*(TSOFR3M+$H$9/10000+$F131)*$G131/DayBasis)</f>
        <v/>
      </c>
      <c r="U131" s="44">
        <f>IF($A131="",0,$B131*(TSOFR3M+$H$10/10000+$F131)*$G131/DayBasis)</f>
        <v/>
      </c>
      <c r="V131" s="44">
        <f>IF($A131="",0,$B131*(TSOFR3M+$H$12/10000+$F131)*$G131/DayBasis)</f>
        <v/>
      </c>
      <c r="W131" s="44">
        <f>IF(OR($A131="",$M$6&lt;&gt;"Y",$O$6=""),0,IF($H131&gt;=$O$6,$B131*(TSOFR3M+$H$6/10000+$F131)*$N$6/DayBasis,0))</f>
        <v/>
      </c>
      <c r="X131" s="44">
        <f>IF(OR($A131="",$M$7&lt;&gt;"Y",$O$7=""),0,IF($H131&gt;=$O$7,$B131*(TSOFR3M+$H$7/10000+$F131)*$N$7/DayBasis,0))</f>
        <v/>
      </c>
      <c r="Y131" s="44">
        <f>IF(OR($A131="",$M$8&lt;&gt;"Y",$O$8=""),0,IF($H131&gt;=$O$8,$B131*(TSOFR3M+$H$8/10000+$F131)*$N$8/DayBasis,0))</f>
        <v/>
      </c>
      <c r="Z131" s="44">
        <f>IF(OR($A131="",$M$9&lt;&gt;"Y",$O$9=""),0,IF($H131&gt;=$O$9,$B131*(TSOFR3M+$H$9/10000+$F131)*$N$9/DayBasis,0))</f>
        <v/>
      </c>
      <c r="AA131" s="44">
        <f>IF(OR($A131="",$M$10&lt;&gt;"Y",$O$10=""),0,IF($H131&gt;=$O$10,$B131*(TSOFR3M+$H$10/10000+$F131)*$N$10/DayBasis,0))</f>
        <v/>
      </c>
      <c r="AB131" s="44">
        <f>IF(OR($A131="",$M$12&lt;&gt;"Y",$O$12=""),0,IF($H131&gt;=$O$12,$B131*(TSOFR3M+$H$12/10000+$F131)*$N$12/DayBasis,0))</f>
        <v/>
      </c>
      <c r="AC131" s="50">
        <f>IF($A131="",0,MIN(1,$C131*$C$39))</f>
        <v/>
      </c>
      <c r="AD131" s="44">
        <f>IF($A131="",0,$B131*IF($I131=1,LGD_LC,MIN(1,LGD+$C$40))*(1-$E131))</f>
        <v/>
      </c>
      <c r="AE131" s="44">
        <f>IF(OR($A131="",$B131&lt;=0,$AC131&lt;=0),0,IF($AC131&gt;=1,$AD131,IF(_xlfn.NORM.S.INV(RAND())*SQRT(1-Rho)+$C$41*SQRT(Rho)&lt;_xlfn.NORM.S.INV($AC131),$AD131,0)))</f>
        <v/>
      </c>
      <c r="AG131" t="n">
        <v>125</v>
      </c>
      <c r="AH131" s="35" t="n">
        <v>0</v>
      </c>
    </row>
    <row r="132">
      <c r="A132" s="7">
        <f>IF('02_Buyers'!$A69="","",'02_Buyers'!$A69)</f>
        <v/>
      </c>
      <c r="B132" s="44">
        <f>IF($A132="",0,'02_Buyers'!$Z69)</f>
        <v/>
      </c>
      <c r="C132" s="50">
        <f>IF($A132="",0,'02_Buyers'!$AM69)</f>
        <v/>
      </c>
      <c r="D132" s="50">
        <f>IF($A132="",0,'02_Buyers'!$AN69)</f>
        <v/>
      </c>
      <c r="E132" s="50">
        <f>IF($A132="",0,'02_Buyers'!$AO69)</f>
        <v/>
      </c>
      <c r="F132" s="50">
        <f>IF($A132="",0,'02_Buyers'!$AP69)</f>
        <v/>
      </c>
      <c r="G132" s="45">
        <f>IF($A132="",0,'02_Buyers'!$V69)</f>
        <v/>
      </c>
      <c r="H132" s="45">
        <f>IF(OR($A132="",'02_Buyers'!$AC69=""),0,'02_Buyers'!$AC69)</f>
        <v/>
      </c>
      <c r="I132" s="45">
        <f>IF($A132="",0,IF(OR('02_Buyers'!$U69="LC_SIGHT",'02_Buyers'!$U69="LC_USANCE"),1,0))</f>
        <v/>
      </c>
      <c r="J132" s="7">
        <f>IF($A132="","",'02_Buyers'!$T69)</f>
        <v/>
      </c>
      <c r="K132" s="44">
        <f>IF($A132="",0,$B132*MIN(1,$C132*$J$6)*IF($I132=1,LGD_LC,MIN(1,LGD+$K$6))*(1-$E132))</f>
        <v/>
      </c>
      <c r="L132" s="44">
        <f>IF($A132="",0,$B132*MIN(1,$C132*$J$7)*IF($I132=1,LGD_LC,MIN(1,LGD+$K$7))*(1-$E132))</f>
        <v/>
      </c>
      <c r="M132" s="44">
        <f>IF($A132="",0,$B132*MIN(1,$C132*$J$8)*IF($I132=1,LGD_LC,MIN(1,LGD+$K$8))*(1-$E132))</f>
        <v/>
      </c>
      <c r="N132" s="44">
        <f>IF($A132="",0,$B132*MIN(1,$C132*$J$9)*IF($I132=1,LGD_LC,MIN(1,LGD+$K$9))*(1-$E132))</f>
        <v/>
      </c>
      <c r="O132" s="44">
        <f>IF($A132="",0,$B132*MIN(1,$C132*$J$10)*IF($I132=1,LGD_LC,MIN(1,LGD+$K$10))*(1-$E132))</f>
        <v/>
      </c>
      <c r="P132" s="44">
        <f>IF($A132="",0,$B132*MIN(1,$C132*$J$12)*IF($I132=1,LGD_LC,MIN(1,LGD+$K$12))*(1-$E132))</f>
        <v/>
      </c>
      <c r="Q132" s="44">
        <f>IF($A132="",0,$B132*(TSOFR3M+$H$6/10000+$F132)*$G132/DayBasis)</f>
        <v/>
      </c>
      <c r="R132" s="44">
        <f>IF($A132="",0,$B132*(TSOFR3M+$H$7/10000+$F132)*$G132/DayBasis)</f>
        <v/>
      </c>
      <c r="S132" s="44">
        <f>IF($A132="",0,$B132*(TSOFR3M+$H$8/10000+$F132)*$G132/DayBasis)</f>
        <v/>
      </c>
      <c r="T132" s="44">
        <f>IF($A132="",0,$B132*(TSOFR3M+$H$9/10000+$F132)*$G132/DayBasis)</f>
        <v/>
      </c>
      <c r="U132" s="44">
        <f>IF($A132="",0,$B132*(TSOFR3M+$H$10/10000+$F132)*$G132/DayBasis)</f>
        <v/>
      </c>
      <c r="V132" s="44">
        <f>IF($A132="",0,$B132*(TSOFR3M+$H$12/10000+$F132)*$G132/DayBasis)</f>
        <v/>
      </c>
      <c r="W132" s="44">
        <f>IF(OR($A132="",$M$6&lt;&gt;"Y",$O$6=""),0,IF($H132&gt;=$O$6,$B132*(TSOFR3M+$H$6/10000+$F132)*$N$6/DayBasis,0))</f>
        <v/>
      </c>
      <c r="X132" s="44">
        <f>IF(OR($A132="",$M$7&lt;&gt;"Y",$O$7=""),0,IF($H132&gt;=$O$7,$B132*(TSOFR3M+$H$7/10000+$F132)*$N$7/DayBasis,0))</f>
        <v/>
      </c>
      <c r="Y132" s="44">
        <f>IF(OR($A132="",$M$8&lt;&gt;"Y",$O$8=""),0,IF($H132&gt;=$O$8,$B132*(TSOFR3M+$H$8/10000+$F132)*$N$8/DayBasis,0))</f>
        <v/>
      </c>
      <c r="Z132" s="44">
        <f>IF(OR($A132="",$M$9&lt;&gt;"Y",$O$9=""),0,IF($H132&gt;=$O$9,$B132*(TSOFR3M+$H$9/10000+$F132)*$N$9/DayBasis,0))</f>
        <v/>
      </c>
      <c r="AA132" s="44">
        <f>IF(OR($A132="",$M$10&lt;&gt;"Y",$O$10=""),0,IF($H132&gt;=$O$10,$B132*(TSOFR3M+$H$10/10000+$F132)*$N$10/DayBasis,0))</f>
        <v/>
      </c>
      <c r="AB132" s="44">
        <f>IF(OR($A132="",$M$12&lt;&gt;"Y",$O$12=""),0,IF($H132&gt;=$O$12,$B132*(TSOFR3M+$H$12/10000+$F132)*$N$12/DayBasis,0))</f>
        <v/>
      </c>
      <c r="AC132" s="50">
        <f>IF($A132="",0,MIN(1,$C132*$C$39))</f>
        <v/>
      </c>
      <c r="AD132" s="44">
        <f>IF($A132="",0,$B132*IF($I132=1,LGD_LC,MIN(1,LGD+$C$40))*(1-$E132))</f>
        <v/>
      </c>
      <c r="AE132" s="44">
        <f>IF(OR($A132="",$B132&lt;=0,$AC132&lt;=0),0,IF($AC132&gt;=1,$AD132,IF(_xlfn.NORM.S.INV(RAND())*SQRT(1-Rho)+$C$41*SQRT(Rho)&lt;_xlfn.NORM.S.INV($AC132),$AD132,0)))</f>
        <v/>
      </c>
      <c r="AG132" t="n">
        <v>126</v>
      </c>
      <c r="AH132" s="35" t="n">
        <v>0</v>
      </c>
    </row>
    <row r="133">
      <c r="A133" s="7">
        <f>IF('02_Buyers'!$A70="","",'02_Buyers'!$A70)</f>
        <v/>
      </c>
      <c r="B133" s="44">
        <f>IF($A133="",0,'02_Buyers'!$Z70)</f>
        <v/>
      </c>
      <c r="C133" s="50">
        <f>IF($A133="",0,'02_Buyers'!$AM70)</f>
        <v/>
      </c>
      <c r="D133" s="50">
        <f>IF($A133="",0,'02_Buyers'!$AN70)</f>
        <v/>
      </c>
      <c r="E133" s="50">
        <f>IF($A133="",0,'02_Buyers'!$AO70)</f>
        <v/>
      </c>
      <c r="F133" s="50">
        <f>IF($A133="",0,'02_Buyers'!$AP70)</f>
        <v/>
      </c>
      <c r="G133" s="45">
        <f>IF($A133="",0,'02_Buyers'!$V70)</f>
        <v/>
      </c>
      <c r="H133" s="45">
        <f>IF(OR($A133="",'02_Buyers'!$AC70=""),0,'02_Buyers'!$AC70)</f>
        <v/>
      </c>
      <c r="I133" s="45">
        <f>IF($A133="",0,IF(OR('02_Buyers'!$U70="LC_SIGHT",'02_Buyers'!$U70="LC_USANCE"),1,0))</f>
        <v/>
      </c>
      <c r="J133" s="7">
        <f>IF($A133="","",'02_Buyers'!$T70)</f>
        <v/>
      </c>
      <c r="K133" s="44">
        <f>IF($A133="",0,$B133*MIN(1,$C133*$J$6)*IF($I133=1,LGD_LC,MIN(1,LGD+$K$6))*(1-$E133))</f>
        <v/>
      </c>
      <c r="L133" s="44">
        <f>IF($A133="",0,$B133*MIN(1,$C133*$J$7)*IF($I133=1,LGD_LC,MIN(1,LGD+$K$7))*(1-$E133))</f>
        <v/>
      </c>
      <c r="M133" s="44">
        <f>IF($A133="",0,$B133*MIN(1,$C133*$J$8)*IF($I133=1,LGD_LC,MIN(1,LGD+$K$8))*(1-$E133))</f>
        <v/>
      </c>
      <c r="N133" s="44">
        <f>IF($A133="",0,$B133*MIN(1,$C133*$J$9)*IF($I133=1,LGD_LC,MIN(1,LGD+$K$9))*(1-$E133))</f>
        <v/>
      </c>
      <c r="O133" s="44">
        <f>IF($A133="",0,$B133*MIN(1,$C133*$J$10)*IF($I133=1,LGD_LC,MIN(1,LGD+$K$10))*(1-$E133))</f>
        <v/>
      </c>
      <c r="P133" s="44">
        <f>IF($A133="",0,$B133*MIN(1,$C133*$J$12)*IF($I133=1,LGD_LC,MIN(1,LGD+$K$12))*(1-$E133))</f>
        <v/>
      </c>
      <c r="Q133" s="44">
        <f>IF($A133="",0,$B133*(TSOFR3M+$H$6/10000+$F133)*$G133/DayBasis)</f>
        <v/>
      </c>
      <c r="R133" s="44">
        <f>IF($A133="",0,$B133*(TSOFR3M+$H$7/10000+$F133)*$G133/DayBasis)</f>
        <v/>
      </c>
      <c r="S133" s="44">
        <f>IF($A133="",0,$B133*(TSOFR3M+$H$8/10000+$F133)*$G133/DayBasis)</f>
        <v/>
      </c>
      <c r="T133" s="44">
        <f>IF($A133="",0,$B133*(TSOFR3M+$H$9/10000+$F133)*$G133/DayBasis)</f>
        <v/>
      </c>
      <c r="U133" s="44">
        <f>IF($A133="",0,$B133*(TSOFR3M+$H$10/10000+$F133)*$G133/DayBasis)</f>
        <v/>
      </c>
      <c r="V133" s="44">
        <f>IF($A133="",0,$B133*(TSOFR3M+$H$12/10000+$F133)*$G133/DayBasis)</f>
        <v/>
      </c>
      <c r="W133" s="44">
        <f>IF(OR($A133="",$M$6&lt;&gt;"Y",$O$6=""),0,IF($H133&gt;=$O$6,$B133*(TSOFR3M+$H$6/10000+$F133)*$N$6/DayBasis,0))</f>
        <v/>
      </c>
      <c r="X133" s="44">
        <f>IF(OR($A133="",$M$7&lt;&gt;"Y",$O$7=""),0,IF($H133&gt;=$O$7,$B133*(TSOFR3M+$H$7/10000+$F133)*$N$7/DayBasis,0))</f>
        <v/>
      </c>
      <c r="Y133" s="44">
        <f>IF(OR($A133="",$M$8&lt;&gt;"Y",$O$8=""),0,IF($H133&gt;=$O$8,$B133*(TSOFR3M+$H$8/10000+$F133)*$N$8/DayBasis,0))</f>
        <v/>
      </c>
      <c r="Z133" s="44">
        <f>IF(OR($A133="",$M$9&lt;&gt;"Y",$O$9=""),0,IF($H133&gt;=$O$9,$B133*(TSOFR3M+$H$9/10000+$F133)*$N$9/DayBasis,0))</f>
        <v/>
      </c>
      <c r="AA133" s="44">
        <f>IF(OR($A133="",$M$10&lt;&gt;"Y",$O$10=""),0,IF($H133&gt;=$O$10,$B133*(TSOFR3M+$H$10/10000+$F133)*$N$10/DayBasis,0))</f>
        <v/>
      </c>
      <c r="AB133" s="44">
        <f>IF(OR($A133="",$M$12&lt;&gt;"Y",$O$12=""),0,IF($H133&gt;=$O$12,$B133*(TSOFR3M+$H$12/10000+$F133)*$N$12/DayBasis,0))</f>
        <v/>
      </c>
      <c r="AC133" s="50">
        <f>IF($A133="",0,MIN(1,$C133*$C$39))</f>
        <v/>
      </c>
      <c r="AD133" s="44">
        <f>IF($A133="",0,$B133*IF($I133=1,LGD_LC,MIN(1,LGD+$C$40))*(1-$E133))</f>
        <v/>
      </c>
      <c r="AE133" s="44">
        <f>IF(OR($A133="",$B133&lt;=0,$AC133&lt;=0),0,IF($AC133&gt;=1,$AD133,IF(_xlfn.NORM.S.INV(RAND())*SQRT(1-Rho)+$C$41*SQRT(Rho)&lt;_xlfn.NORM.S.INV($AC133),$AD133,0)))</f>
        <v/>
      </c>
      <c r="AG133" t="n">
        <v>127</v>
      </c>
      <c r="AH133" s="35" t="n">
        <v>0</v>
      </c>
    </row>
    <row r="134">
      <c r="A134" s="7">
        <f>IF('02_Buyers'!$A71="","",'02_Buyers'!$A71)</f>
        <v/>
      </c>
      <c r="B134" s="44">
        <f>IF($A134="",0,'02_Buyers'!$Z71)</f>
        <v/>
      </c>
      <c r="C134" s="50">
        <f>IF($A134="",0,'02_Buyers'!$AM71)</f>
        <v/>
      </c>
      <c r="D134" s="50">
        <f>IF($A134="",0,'02_Buyers'!$AN71)</f>
        <v/>
      </c>
      <c r="E134" s="50">
        <f>IF($A134="",0,'02_Buyers'!$AO71)</f>
        <v/>
      </c>
      <c r="F134" s="50">
        <f>IF($A134="",0,'02_Buyers'!$AP71)</f>
        <v/>
      </c>
      <c r="G134" s="45">
        <f>IF($A134="",0,'02_Buyers'!$V71)</f>
        <v/>
      </c>
      <c r="H134" s="45">
        <f>IF(OR($A134="",'02_Buyers'!$AC71=""),0,'02_Buyers'!$AC71)</f>
        <v/>
      </c>
      <c r="I134" s="45">
        <f>IF($A134="",0,IF(OR('02_Buyers'!$U71="LC_SIGHT",'02_Buyers'!$U71="LC_USANCE"),1,0))</f>
        <v/>
      </c>
      <c r="J134" s="7">
        <f>IF($A134="","",'02_Buyers'!$T71)</f>
        <v/>
      </c>
      <c r="K134" s="44">
        <f>IF($A134="",0,$B134*MIN(1,$C134*$J$6)*IF($I134=1,LGD_LC,MIN(1,LGD+$K$6))*(1-$E134))</f>
        <v/>
      </c>
      <c r="L134" s="44">
        <f>IF($A134="",0,$B134*MIN(1,$C134*$J$7)*IF($I134=1,LGD_LC,MIN(1,LGD+$K$7))*(1-$E134))</f>
        <v/>
      </c>
      <c r="M134" s="44">
        <f>IF($A134="",0,$B134*MIN(1,$C134*$J$8)*IF($I134=1,LGD_LC,MIN(1,LGD+$K$8))*(1-$E134))</f>
        <v/>
      </c>
      <c r="N134" s="44">
        <f>IF($A134="",0,$B134*MIN(1,$C134*$J$9)*IF($I134=1,LGD_LC,MIN(1,LGD+$K$9))*(1-$E134))</f>
        <v/>
      </c>
      <c r="O134" s="44">
        <f>IF($A134="",0,$B134*MIN(1,$C134*$J$10)*IF($I134=1,LGD_LC,MIN(1,LGD+$K$10))*(1-$E134))</f>
        <v/>
      </c>
      <c r="P134" s="44">
        <f>IF($A134="",0,$B134*MIN(1,$C134*$J$12)*IF($I134=1,LGD_LC,MIN(1,LGD+$K$12))*(1-$E134))</f>
        <v/>
      </c>
      <c r="Q134" s="44">
        <f>IF($A134="",0,$B134*(TSOFR3M+$H$6/10000+$F134)*$G134/DayBasis)</f>
        <v/>
      </c>
      <c r="R134" s="44">
        <f>IF($A134="",0,$B134*(TSOFR3M+$H$7/10000+$F134)*$G134/DayBasis)</f>
        <v/>
      </c>
      <c r="S134" s="44">
        <f>IF($A134="",0,$B134*(TSOFR3M+$H$8/10000+$F134)*$G134/DayBasis)</f>
        <v/>
      </c>
      <c r="T134" s="44">
        <f>IF($A134="",0,$B134*(TSOFR3M+$H$9/10000+$F134)*$G134/DayBasis)</f>
        <v/>
      </c>
      <c r="U134" s="44">
        <f>IF($A134="",0,$B134*(TSOFR3M+$H$10/10000+$F134)*$G134/DayBasis)</f>
        <v/>
      </c>
      <c r="V134" s="44">
        <f>IF($A134="",0,$B134*(TSOFR3M+$H$12/10000+$F134)*$G134/DayBasis)</f>
        <v/>
      </c>
      <c r="W134" s="44">
        <f>IF(OR($A134="",$M$6&lt;&gt;"Y",$O$6=""),0,IF($H134&gt;=$O$6,$B134*(TSOFR3M+$H$6/10000+$F134)*$N$6/DayBasis,0))</f>
        <v/>
      </c>
      <c r="X134" s="44">
        <f>IF(OR($A134="",$M$7&lt;&gt;"Y",$O$7=""),0,IF($H134&gt;=$O$7,$B134*(TSOFR3M+$H$7/10000+$F134)*$N$7/DayBasis,0))</f>
        <v/>
      </c>
      <c r="Y134" s="44">
        <f>IF(OR($A134="",$M$8&lt;&gt;"Y",$O$8=""),0,IF($H134&gt;=$O$8,$B134*(TSOFR3M+$H$8/10000+$F134)*$N$8/DayBasis,0))</f>
        <v/>
      </c>
      <c r="Z134" s="44">
        <f>IF(OR($A134="",$M$9&lt;&gt;"Y",$O$9=""),0,IF($H134&gt;=$O$9,$B134*(TSOFR3M+$H$9/10000+$F134)*$N$9/DayBasis,0))</f>
        <v/>
      </c>
      <c r="AA134" s="44">
        <f>IF(OR($A134="",$M$10&lt;&gt;"Y",$O$10=""),0,IF($H134&gt;=$O$10,$B134*(TSOFR3M+$H$10/10000+$F134)*$N$10/DayBasis,0))</f>
        <v/>
      </c>
      <c r="AB134" s="44">
        <f>IF(OR($A134="",$M$12&lt;&gt;"Y",$O$12=""),0,IF($H134&gt;=$O$12,$B134*(TSOFR3M+$H$12/10000+$F134)*$N$12/DayBasis,0))</f>
        <v/>
      </c>
      <c r="AC134" s="50">
        <f>IF($A134="",0,MIN(1,$C134*$C$39))</f>
        <v/>
      </c>
      <c r="AD134" s="44">
        <f>IF($A134="",0,$B134*IF($I134=1,LGD_LC,MIN(1,LGD+$C$40))*(1-$E134))</f>
        <v/>
      </c>
      <c r="AE134" s="44">
        <f>IF(OR($A134="",$B134&lt;=0,$AC134&lt;=0),0,IF($AC134&gt;=1,$AD134,IF(_xlfn.NORM.S.INV(RAND())*SQRT(1-Rho)+$C$41*SQRT(Rho)&lt;_xlfn.NORM.S.INV($AC134),$AD134,0)))</f>
        <v/>
      </c>
      <c r="AG134" t="n">
        <v>128</v>
      </c>
      <c r="AH134" s="35" t="n">
        <v>0</v>
      </c>
    </row>
    <row r="135">
      <c r="A135" s="7">
        <f>IF('02_Buyers'!$A72="","",'02_Buyers'!$A72)</f>
        <v/>
      </c>
      <c r="B135" s="44">
        <f>IF($A135="",0,'02_Buyers'!$Z72)</f>
        <v/>
      </c>
      <c r="C135" s="50">
        <f>IF($A135="",0,'02_Buyers'!$AM72)</f>
        <v/>
      </c>
      <c r="D135" s="50">
        <f>IF($A135="",0,'02_Buyers'!$AN72)</f>
        <v/>
      </c>
      <c r="E135" s="50">
        <f>IF($A135="",0,'02_Buyers'!$AO72)</f>
        <v/>
      </c>
      <c r="F135" s="50">
        <f>IF($A135="",0,'02_Buyers'!$AP72)</f>
        <v/>
      </c>
      <c r="G135" s="45">
        <f>IF($A135="",0,'02_Buyers'!$V72)</f>
        <v/>
      </c>
      <c r="H135" s="45">
        <f>IF(OR($A135="",'02_Buyers'!$AC72=""),0,'02_Buyers'!$AC72)</f>
        <v/>
      </c>
      <c r="I135" s="45">
        <f>IF($A135="",0,IF(OR('02_Buyers'!$U72="LC_SIGHT",'02_Buyers'!$U72="LC_USANCE"),1,0))</f>
        <v/>
      </c>
      <c r="J135" s="7">
        <f>IF($A135="","",'02_Buyers'!$T72)</f>
        <v/>
      </c>
      <c r="K135" s="44">
        <f>IF($A135="",0,$B135*MIN(1,$C135*$J$6)*IF($I135=1,LGD_LC,MIN(1,LGD+$K$6))*(1-$E135))</f>
        <v/>
      </c>
      <c r="L135" s="44">
        <f>IF($A135="",0,$B135*MIN(1,$C135*$J$7)*IF($I135=1,LGD_LC,MIN(1,LGD+$K$7))*(1-$E135))</f>
        <v/>
      </c>
      <c r="M135" s="44">
        <f>IF($A135="",0,$B135*MIN(1,$C135*$J$8)*IF($I135=1,LGD_LC,MIN(1,LGD+$K$8))*(1-$E135))</f>
        <v/>
      </c>
      <c r="N135" s="44">
        <f>IF($A135="",0,$B135*MIN(1,$C135*$J$9)*IF($I135=1,LGD_LC,MIN(1,LGD+$K$9))*(1-$E135))</f>
        <v/>
      </c>
      <c r="O135" s="44">
        <f>IF($A135="",0,$B135*MIN(1,$C135*$J$10)*IF($I135=1,LGD_LC,MIN(1,LGD+$K$10))*(1-$E135))</f>
        <v/>
      </c>
      <c r="P135" s="44">
        <f>IF($A135="",0,$B135*MIN(1,$C135*$J$12)*IF($I135=1,LGD_LC,MIN(1,LGD+$K$12))*(1-$E135))</f>
        <v/>
      </c>
      <c r="Q135" s="44">
        <f>IF($A135="",0,$B135*(TSOFR3M+$H$6/10000+$F135)*$G135/DayBasis)</f>
        <v/>
      </c>
      <c r="R135" s="44">
        <f>IF($A135="",0,$B135*(TSOFR3M+$H$7/10000+$F135)*$G135/DayBasis)</f>
        <v/>
      </c>
      <c r="S135" s="44">
        <f>IF($A135="",0,$B135*(TSOFR3M+$H$8/10000+$F135)*$G135/DayBasis)</f>
        <v/>
      </c>
      <c r="T135" s="44">
        <f>IF($A135="",0,$B135*(TSOFR3M+$H$9/10000+$F135)*$G135/DayBasis)</f>
        <v/>
      </c>
      <c r="U135" s="44">
        <f>IF($A135="",0,$B135*(TSOFR3M+$H$10/10000+$F135)*$G135/DayBasis)</f>
        <v/>
      </c>
      <c r="V135" s="44">
        <f>IF($A135="",0,$B135*(TSOFR3M+$H$12/10000+$F135)*$G135/DayBasis)</f>
        <v/>
      </c>
      <c r="W135" s="44">
        <f>IF(OR($A135="",$M$6&lt;&gt;"Y",$O$6=""),0,IF($H135&gt;=$O$6,$B135*(TSOFR3M+$H$6/10000+$F135)*$N$6/DayBasis,0))</f>
        <v/>
      </c>
      <c r="X135" s="44">
        <f>IF(OR($A135="",$M$7&lt;&gt;"Y",$O$7=""),0,IF($H135&gt;=$O$7,$B135*(TSOFR3M+$H$7/10000+$F135)*$N$7/DayBasis,0))</f>
        <v/>
      </c>
      <c r="Y135" s="44">
        <f>IF(OR($A135="",$M$8&lt;&gt;"Y",$O$8=""),0,IF($H135&gt;=$O$8,$B135*(TSOFR3M+$H$8/10000+$F135)*$N$8/DayBasis,0))</f>
        <v/>
      </c>
      <c r="Z135" s="44">
        <f>IF(OR($A135="",$M$9&lt;&gt;"Y",$O$9=""),0,IF($H135&gt;=$O$9,$B135*(TSOFR3M+$H$9/10000+$F135)*$N$9/DayBasis,0))</f>
        <v/>
      </c>
      <c r="AA135" s="44">
        <f>IF(OR($A135="",$M$10&lt;&gt;"Y",$O$10=""),0,IF($H135&gt;=$O$10,$B135*(TSOFR3M+$H$10/10000+$F135)*$N$10/DayBasis,0))</f>
        <v/>
      </c>
      <c r="AB135" s="44">
        <f>IF(OR($A135="",$M$12&lt;&gt;"Y",$O$12=""),0,IF($H135&gt;=$O$12,$B135*(TSOFR3M+$H$12/10000+$F135)*$N$12/DayBasis,0))</f>
        <v/>
      </c>
      <c r="AC135" s="50">
        <f>IF($A135="",0,MIN(1,$C135*$C$39))</f>
        <v/>
      </c>
      <c r="AD135" s="44">
        <f>IF($A135="",0,$B135*IF($I135=1,LGD_LC,MIN(1,LGD+$C$40))*(1-$E135))</f>
        <v/>
      </c>
      <c r="AE135" s="44">
        <f>IF(OR($A135="",$B135&lt;=0,$AC135&lt;=0),0,IF($AC135&gt;=1,$AD135,IF(_xlfn.NORM.S.INV(RAND())*SQRT(1-Rho)+$C$41*SQRT(Rho)&lt;_xlfn.NORM.S.INV($AC135),$AD135,0)))</f>
        <v/>
      </c>
      <c r="AG135" t="n">
        <v>129</v>
      </c>
      <c r="AH135" s="35" t="n">
        <v>0</v>
      </c>
    </row>
    <row r="136">
      <c r="A136" s="7">
        <f>IF('02_Buyers'!$A73="","",'02_Buyers'!$A73)</f>
        <v/>
      </c>
      <c r="B136" s="44">
        <f>IF($A136="",0,'02_Buyers'!$Z73)</f>
        <v/>
      </c>
      <c r="C136" s="50">
        <f>IF($A136="",0,'02_Buyers'!$AM73)</f>
        <v/>
      </c>
      <c r="D136" s="50">
        <f>IF($A136="",0,'02_Buyers'!$AN73)</f>
        <v/>
      </c>
      <c r="E136" s="50">
        <f>IF($A136="",0,'02_Buyers'!$AO73)</f>
        <v/>
      </c>
      <c r="F136" s="50">
        <f>IF($A136="",0,'02_Buyers'!$AP73)</f>
        <v/>
      </c>
      <c r="G136" s="45">
        <f>IF($A136="",0,'02_Buyers'!$V73)</f>
        <v/>
      </c>
      <c r="H136" s="45">
        <f>IF(OR($A136="",'02_Buyers'!$AC73=""),0,'02_Buyers'!$AC73)</f>
        <v/>
      </c>
      <c r="I136" s="45">
        <f>IF($A136="",0,IF(OR('02_Buyers'!$U73="LC_SIGHT",'02_Buyers'!$U73="LC_USANCE"),1,0))</f>
        <v/>
      </c>
      <c r="J136" s="7">
        <f>IF($A136="","",'02_Buyers'!$T73)</f>
        <v/>
      </c>
      <c r="K136" s="44">
        <f>IF($A136="",0,$B136*MIN(1,$C136*$J$6)*IF($I136=1,LGD_LC,MIN(1,LGD+$K$6))*(1-$E136))</f>
        <v/>
      </c>
      <c r="L136" s="44">
        <f>IF($A136="",0,$B136*MIN(1,$C136*$J$7)*IF($I136=1,LGD_LC,MIN(1,LGD+$K$7))*(1-$E136))</f>
        <v/>
      </c>
      <c r="M136" s="44">
        <f>IF($A136="",0,$B136*MIN(1,$C136*$J$8)*IF($I136=1,LGD_LC,MIN(1,LGD+$K$8))*(1-$E136))</f>
        <v/>
      </c>
      <c r="N136" s="44">
        <f>IF($A136="",0,$B136*MIN(1,$C136*$J$9)*IF($I136=1,LGD_LC,MIN(1,LGD+$K$9))*(1-$E136))</f>
        <v/>
      </c>
      <c r="O136" s="44">
        <f>IF($A136="",0,$B136*MIN(1,$C136*$J$10)*IF($I136=1,LGD_LC,MIN(1,LGD+$K$10))*(1-$E136))</f>
        <v/>
      </c>
      <c r="P136" s="44">
        <f>IF($A136="",0,$B136*MIN(1,$C136*$J$12)*IF($I136=1,LGD_LC,MIN(1,LGD+$K$12))*(1-$E136))</f>
        <v/>
      </c>
      <c r="Q136" s="44">
        <f>IF($A136="",0,$B136*(TSOFR3M+$H$6/10000+$F136)*$G136/DayBasis)</f>
        <v/>
      </c>
      <c r="R136" s="44">
        <f>IF($A136="",0,$B136*(TSOFR3M+$H$7/10000+$F136)*$G136/DayBasis)</f>
        <v/>
      </c>
      <c r="S136" s="44">
        <f>IF($A136="",0,$B136*(TSOFR3M+$H$8/10000+$F136)*$G136/DayBasis)</f>
        <v/>
      </c>
      <c r="T136" s="44">
        <f>IF($A136="",0,$B136*(TSOFR3M+$H$9/10000+$F136)*$G136/DayBasis)</f>
        <v/>
      </c>
      <c r="U136" s="44">
        <f>IF($A136="",0,$B136*(TSOFR3M+$H$10/10000+$F136)*$G136/DayBasis)</f>
        <v/>
      </c>
      <c r="V136" s="44">
        <f>IF($A136="",0,$B136*(TSOFR3M+$H$12/10000+$F136)*$G136/DayBasis)</f>
        <v/>
      </c>
      <c r="W136" s="44">
        <f>IF(OR($A136="",$M$6&lt;&gt;"Y",$O$6=""),0,IF($H136&gt;=$O$6,$B136*(TSOFR3M+$H$6/10000+$F136)*$N$6/DayBasis,0))</f>
        <v/>
      </c>
      <c r="X136" s="44">
        <f>IF(OR($A136="",$M$7&lt;&gt;"Y",$O$7=""),0,IF($H136&gt;=$O$7,$B136*(TSOFR3M+$H$7/10000+$F136)*$N$7/DayBasis,0))</f>
        <v/>
      </c>
      <c r="Y136" s="44">
        <f>IF(OR($A136="",$M$8&lt;&gt;"Y",$O$8=""),0,IF($H136&gt;=$O$8,$B136*(TSOFR3M+$H$8/10000+$F136)*$N$8/DayBasis,0))</f>
        <v/>
      </c>
      <c r="Z136" s="44">
        <f>IF(OR($A136="",$M$9&lt;&gt;"Y",$O$9=""),0,IF($H136&gt;=$O$9,$B136*(TSOFR3M+$H$9/10000+$F136)*$N$9/DayBasis,0))</f>
        <v/>
      </c>
      <c r="AA136" s="44">
        <f>IF(OR($A136="",$M$10&lt;&gt;"Y",$O$10=""),0,IF($H136&gt;=$O$10,$B136*(TSOFR3M+$H$10/10000+$F136)*$N$10/DayBasis,0))</f>
        <v/>
      </c>
      <c r="AB136" s="44">
        <f>IF(OR($A136="",$M$12&lt;&gt;"Y",$O$12=""),0,IF($H136&gt;=$O$12,$B136*(TSOFR3M+$H$12/10000+$F136)*$N$12/DayBasis,0))</f>
        <v/>
      </c>
      <c r="AC136" s="50">
        <f>IF($A136="",0,MIN(1,$C136*$C$39))</f>
        <v/>
      </c>
      <c r="AD136" s="44">
        <f>IF($A136="",0,$B136*IF($I136=1,LGD_LC,MIN(1,LGD+$C$40))*(1-$E136))</f>
        <v/>
      </c>
      <c r="AE136" s="44">
        <f>IF(OR($A136="",$B136&lt;=0,$AC136&lt;=0),0,IF($AC136&gt;=1,$AD136,IF(_xlfn.NORM.S.INV(RAND())*SQRT(1-Rho)+$C$41*SQRT(Rho)&lt;_xlfn.NORM.S.INV($AC136),$AD136,0)))</f>
        <v/>
      </c>
      <c r="AG136" t="n">
        <v>130</v>
      </c>
      <c r="AH136" s="35" t="n">
        <v>0</v>
      </c>
    </row>
    <row r="137">
      <c r="A137" s="7">
        <f>IF('02_Buyers'!$A74="","",'02_Buyers'!$A74)</f>
        <v/>
      </c>
      <c r="B137" s="44">
        <f>IF($A137="",0,'02_Buyers'!$Z74)</f>
        <v/>
      </c>
      <c r="C137" s="50">
        <f>IF($A137="",0,'02_Buyers'!$AM74)</f>
        <v/>
      </c>
      <c r="D137" s="50">
        <f>IF($A137="",0,'02_Buyers'!$AN74)</f>
        <v/>
      </c>
      <c r="E137" s="50">
        <f>IF($A137="",0,'02_Buyers'!$AO74)</f>
        <v/>
      </c>
      <c r="F137" s="50">
        <f>IF($A137="",0,'02_Buyers'!$AP74)</f>
        <v/>
      </c>
      <c r="G137" s="45">
        <f>IF($A137="",0,'02_Buyers'!$V74)</f>
        <v/>
      </c>
      <c r="H137" s="45">
        <f>IF(OR($A137="",'02_Buyers'!$AC74=""),0,'02_Buyers'!$AC74)</f>
        <v/>
      </c>
      <c r="I137" s="45">
        <f>IF($A137="",0,IF(OR('02_Buyers'!$U74="LC_SIGHT",'02_Buyers'!$U74="LC_USANCE"),1,0))</f>
        <v/>
      </c>
      <c r="J137" s="7">
        <f>IF($A137="","",'02_Buyers'!$T74)</f>
        <v/>
      </c>
      <c r="K137" s="44">
        <f>IF($A137="",0,$B137*MIN(1,$C137*$J$6)*IF($I137=1,LGD_LC,MIN(1,LGD+$K$6))*(1-$E137))</f>
        <v/>
      </c>
      <c r="L137" s="44">
        <f>IF($A137="",0,$B137*MIN(1,$C137*$J$7)*IF($I137=1,LGD_LC,MIN(1,LGD+$K$7))*(1-$E137))</f>
        <v/>
      </c>
      <c r="M137" s="44">
        <f>IF($A137="",0,$B137*MIN(1,$C137*$J$8)*IF($I137=1,LGD_LC,MIN(1,LGD+$K$8))*(1-$E137))</f>
        <v/>
      </c>
      <c r="N137" s="44">
        <f>IF($A137="",0,$B137*MIN(1,$C137*$J$9)*IF($I137=1,LGD_LC,MIN(1,LGD+$K$9))*(1-$E137))</f>
        <v/>
      </c>
      <c r="O137" s="44">
        <f>IF($A137="",0,$B137*MIN(1,$C137*$J$10)*IF($I137=1,LGD_LC,MIN(1,LGD+$K$10))*(1-$E137))</f>
        <v/>
      </c>
      <c r="P137" s="44">
        <f>IF($A137="",0,$B137*MIN(1,$C137*$J$12)*IF($I137=1,LGD_LC,MIN(1,LGD+$K$12))*(1-$E137))</f>
        <v/>
      </c>
      <c r="Q137" s="44">
        <f>IF($A137="",0,$B137*(TSOFR3M+$H$6/10000+$F137)*$G137/DayBasis)</f>
        <v/>
      </c>
      <c r="R137" s="44">
        <f>IF($A137="",0,$B137*(TSOFR3M+$H$7/10000+$F137)*$G137/DayBasis)</f>
        <v/>
      </c>
      <c r="S137" s="44">
        <f>IF($A137="",0,$B137*(TSOFR3M+$H$8/10000+$F137)*$G137/DayBasis)</f>
        <v/>
      </c>
      <c r="T137" s="44">
        <f>IF($A137="",0,$B137*(TSOFR3M+$H$9/10000+$F137)*$G137/DayBasis)</f>
        <v/>
      </c>
      <c r="U137" s="44">
        <f>IF($A137="",0,$B137*(TSOFR3M+$H$10/10000+$F137)*$G137/DayBasis)</f>
        <v/>
      </c>
      <c r="V137" s="44">
        <f>IF($A137="",0,$B137*(TSOFR3M+$H$12/10000+$F137)*$G137/DayBasis)</f>
        <v/>
      </c>
      <c r="W137" s="44">
        <f>IF(OR($A137="",$M$6&lt;&gt;"Y",$O$6=""),0,IF($H137&gt;=$O$6,$B137*(TSOFR3M+$H$6/10000+$F137)*$N$6/DayBasis,0))</f>
        <v/>
      </c>
      <c r="X137" s="44">
        <f>IF(OR($A137="",$M$7&lt;&gt;"Y",$O$7=""),0,IF($H137&gt;=$O$7,$B137*(TSOFR3M+$H$7/10000+$F137)*$N$7/DayBasis,0))</f>
        <v/>
      </c>
      <c r="Y137" s="44">
        <f>IF(OR($A137="",$M$8&lt;&gt;"Y",$O$8=""),0,IF($H137&gt;=$O$8,$B137*(TSOFR3M+$H$8/10000+$F137)*$N$8/DayBasis,0))</f>
        <v/>
      </c>
      <c r="Z137" s="44">
        <f>IF(OR($A137="",$M$9&lt;&gt;"Y",$O$9=""),0,IF($H137&gt;=$O$9,$B137*(TSOFR3M+$H$9/10000+$F137)*$N$9/DayBasis,0))</f>
        <v/>
      </c>
      <c r="AA137" s="44">
        <f>IF(OR($A137="",$M$10&lt;&gt;"Y",$O$10=""),0,IF($H137&gt;=$O$10,$B137*(TSOFR3M+$H$10/10000+$F137)*$N$10/DayBasis,0))</f>
        <v/>
      </c>
      <c r="AB137" s="44">
        <f>IF(OR($A137="",$M$12&lt;&gt;"Y",$O$12=""),0,IF($H137&gt;=$O$12,$B137*(TSOFR3M+$H$12/10000+$F137)*$N$12/DayBasis,0))</f>
        <v/>
      </c>
      <c r="AC137" s="50">
        <f>IF($A137="",0,MIN(1,$C137*$C$39))</f>
        <v/>
      </c>
      <c r="AD137" s="44">
        <f>IF($A137="",0,$B137*IF($I137=1,LGD_LC,MIN(1,LGD+$C$40))*(1-$E137))</f>
        <v/>
      </c>
      <c r="AE137" s="44">
        <f>IF(OR($A137="",$B137&lt;=0,$AC137&lt;=0),0,IF($AC137&gt;=1,$AD137,IF(_xlfn.NORM.S.INV(RAND())*SQRT(1-Rho)+$C$41*SQRT(Rho)&lt;_xlfn.NORM.S.INV($AC137),$AD137,0)))</f>
        <v/>
      </c>
      <c r="AG137" t="n">
        <v>131</v>
      </c>
      <c r="AH137" s="35" t="n">
        <v>0</v>
      </c>
    </row>
    <row r="138">
      <c r="A138" s="7">
        <f>IF('02_Buyers'!$A75="","",'02_Buyers'!$A75)</f>
        <v/>
      </c>
      <c r="B138" s="44">
        <f>IF($A138="",0,'02_Buyers'!$Z75)</f>
        <v/>
      </c>
      <c r="C138" s="50">
        <f>IF($A138="",0,'02_Buyers'!$AM75)</f>
        <v/>
      </c>
      <c r="D138" s="50">
        <f>IF($A138="",0,'02_Buyers'!$AN75)</f>
        <v/>
      </c>
      <c r="E138" s="50">
        <f>IF($A138="",0,'02_Buyers'!$AO75)</f>
        <v/>
      </c>
      <c r="F138" s="50">
        <f>IF($A138="",0,'02_Buyers'!$AP75)</f>
        <v/>
      </c>
      <c r="G138" s="45">
        <f>IF($A138="",0,'02_Buyers'!$V75)</f>
        <v/>
      </c>
      <c r="H138" s="45">
        <f>IF(OR($A138="",'02_Buyers'!$AC75=""),0,'02_Buyers'!$AC75)</f>
        <v/>
      </c>
      <c r="I138" s="45">
        <f>IF($A138="",0,IF(OR('02_Buyers'!$U75="LC_SIGHT",'02_Buyers'!$U75="LC_USANCE"),1,0))</f>
        <v/>
      </c>
      <c r="J138" s="7">
        <f>IF($A138="","",'02_Buyers'!$T75)</f>
        <v/>
      </c>
      <c r="K138" s="44">
        <f>IF($A138="",0,$B138*MIN(1,$C138*$J$6)*IF($I138=1,LGD_LC,MIN(1,LGD+$K$6))*(1-$E138))</f>
        <v/>
      </c>
      <c r="L138" s="44">
        <f>IF($A138="",0,$B138*MIN(1,$C138*$J$7)*IF($I138=1,LGD_LC,MIN(1,LGD+$K$7))*(1-$E138))</f>
        <v/>
      </c>
      <c r="M138" s="44">
        <f>IF($A138="",0,$B138*MIN(1,$C138*$J$8)*IF($I138=1,LGD_LC,MIN(1,LGD+$K$8))*(1-$E138))</f>
        <v/>
      </c>
      <c r="N138" s="44">
        <f>IF($A138="",0,$B138*MIN(1,$C138*$J$9)*IF($I138=1,LGD_LC,MIN(1,LGD+$K$9))*(1-$E138))</f>
        <v/>
      </c>
      <c r="O138" s="44">
        <f>IF($A138="",0,$B138*MIN(1,$C138*$J$10)*IF($I138=1,LGD_LC,MIN(1,LGD+$K$10))*(1-$E138))</f>
        <v/>
      </c>
      <c r="P138" s="44">
        <f>IF($A138="",0,$B138*MIN(1,$C138*$J$12)*IF($I138=1,LGD_LC,MIN(1,LGD+$K$12))*(1-$E138))</f>
        <v/>
      </c>
      <c r="Q138" s="44">
        <f>IF($A138="",0,$B138*(TSOFR3M+$H$6/10000+$F138)*$G138/DayBasis)</f>
        <v/>
      </c>
      <c r="R138" s="44">
        <f>IF($A138="",0,$B138*(TSOFR3M+$H$7/10000+$F138)*$G138/DayBasis)</f>
        <v/>
      </c>
      <c r="S138" s="44">
        <f>IF($A138="",0,$B138*(TSOFR3M+$H$8/10000+$F138)*$G138/DayBasis)</f>
        <v/>
      </c>
      <c r="T138" s="44">
        <f>IF($A138="",0,$B138*(TSOFR3M+$H$9/10000+$F138)*$G138/DayBasis)</f>
        <v/>
      </c>
      <c r="U138" s="44">
        <f>IF($A138="",0,$B138*(TSOFR3M+$H$10/10000+$F138)*$G138/DayBasis)</f>
        <v/>
      </c>
      <c r="V138" s="44">
        <f>IF($A138="",0,$B138*(TSOFR3M+$H$12/10000+$F138)*$G138/DayBasis)</f>
        <v/>
      </c>
      <c r="W138" s="44">
        <f>IF(OR($A138="",$M$6&lt;&gt;"Y",$O$6=""),0,IF($H138&gt;=$O$6,$B138*(TSOFR3M+$H$6/10000+$F138)*$N$6/DayBasis,0))</f>
        <v/>
      </c>
      <c r="X138" s="44">
        <f>IF(OR($A138="",$M$7&lt;&gt;"Y",$O$7=""),0,IF($H138&gt;=$O$7,$B138*(TSOFR3M+$H$7/10000+$F138)*$N$7/DayBasis,0))</f>
        <v/>
      </c>
      <c r="Y138" s="44">
        <f>IF(OR($A138="",$M$8&lt;&gt;"Y",$O$8=""),0,IF($H138&gt;=$O$8,$B138*(TSOFR3M+$H$8/10000+$F138)*$N$8/DayBasis,0))</f>
        <v/>
      </c>
      <c r="Z138" s="44">
        <f>IF(OR($A138="",$M$9&lt;&gt;"Y",$O$9=""),0,IF($H138&gt;=$O$9,$B138*(TSOFR3M+$H$9/10000+$F138)*$N$9/DayBasis,0))</f>
        <v/>
      </c>
      <c r="AA138" s="44">
        <f>IF(OR($A138="",$M$10&lt;&gt;"Y",$O$10=""),0,IF($H138&gt;=$O$10,$B138*(TSOFR3M+$H$10/10000+$F138)*$N$10/DayBasis,0))</f>
        <v/>
      </c>
      <c r="AB138" s="44">
        <f>IF(OR($A138="",$M$12&lt;&gt;"Y",$O$12=""),0,IF($H138&gt;=$O$12,$B138*(TSOFR3M+$H$12/10000+$F138)*$N$12/DayBasis,0))</f>
        <v/>
      </c>
      <c r="AC138" s="50">
        <f>IF($A138="",0,MIN(1,$C138*$C$39))</f>
        <v/>
      </c>
      <c r="AD138" s="44">
        <f>IF($A138="",0,$B138*IF($I138=1,LGD_LC,MIN(1,LGD+$C$40))*(1-$E138))</f>
        <v/>
      </c>
      <c r="AE138" s="44">
        <f>IF(OR($A138="",$B138&lt;=0,$AC138&lt;=0),0,IF($AC138&gt;=1,$AD138,IF(_xlfn.NORM.S.INV(RAND())*SQRT(1-Rho)+$C$41*SQRT(Rho)&lt;_xlfn.NORM.S.INV($AC138),$AD138,0)))</f>
        <v/>
      </c>
      <c r="AG138" t="n">
        <v>132</v>
      </c>
      <c r="AH138" s="35" t="n">
        <v>0</v>
      </c>
    </row>
    <row r="139">
      <c r="A139" s="7">
        <f>IF('02_Buyers'!$A76="","",'02_Buyers'!$A76)</f>
        <v/>
      </c>
      <c r="B139" s="44">
        <f>IF($A139="",0,'02_Buyers'!$Z76)</f>
        <v/>
      </c>
      <c r="C139" s="50">
        <f>IF($A139="",0,'02_Buyers'!$AM76)</f>
        <v/>
      </c>
      <c r="D139" s="50">
        <f>IF($A139="",0,'02_Buyers'!$AN76)</f>
        <v/>
      </c>
      <c r="E139" s="50">
        <f>IF($A139="",0,'02_Buyers'!$AO76)</f>
        <v/>
      </c>
      <c r="F139" s="50">
        <f>IF($A139="",0,'02_Buyers'!$AP76)</f>
        <v/>
      </c>
      <c r="G139" s="45">
        <f>IF($A139="",0,'02_Buyers'!$V76)</f>
        <v/>
      </c>
      <c r="H139" s="45">
        <f>IF(OR($A139="",'02_Buyers'!$AC76=""),0,'02_Buyers'!$AC76)</f>
        <v/>
      </c>
      <c r="I139" s="45">
        <f>IF($A139="",0,IF(OR('02_Buyers'!$U76="LC_SIGHT",'02_Buyers'!$U76="LC_USANCE"),1,0))</f>
        <v/>
      </c>
      <c r="J139" s="7">
        <f>IF($A139="","",'02_Buyers'!$T76)</f>
        <v/>
      </c>
      <c r="K139" s="44">
        <f>IF($A139="",0,$B139*MIN(1,$C139*$J$6)*IF($I139=1,LGD_LC,MIN(1,LGD+$K$6))*(1-$E139))</f>
        <v/>
      </c>
      <c r="L139" s="44">
        <f>IF($A139="",0,$B139*MIN(1,$C139*$J$7)*IF($I139=1,LGD_LC,MIN(1,LGD+$K$7))*(1-$E139))</f>
        <v/>
      </c>
      <c r="M139" s="44">
        <f>IF($A139="",0,$B139*MIN(1,$C139*$J$8)*IF($I139=1,LGD_LC,MIN(1,LGD+$K$8))*(1-$E139))</f>
        <v/>
      </c>
      <c r="N139" s="44">
        <f>IF($A139="",0,$B139*MIN(1,$C139*$J$9)*IF($I139=1,LGD_LC,MIN(1,LGD+$K$9))*(1-$E139))</f>
        <v/>
      </c>
      <c r="O139" s="44">
        <f>IF($A139="",0,$B139*MIN(1,$C139*$J$10)*IF($I139=1,LGD_LC,MIN(1,LGD+$K$10))*(1-$E139))</f>
        <v/>
      </c>
      <c r="P139" s="44">
        <f>IF($A139="",0,$B139*MIN(1,$C139*$J$12)*IF($I139=1,LGD_LC,MIN(1,LGD+$K$12))*(1-$E139))</f>
        <v/>
      </c>
      <c r="Q139" s="44">
        <f>IF($A139="",0,$B139*(TSOFR3M+$H$6/10000+$F139)*$G139/DayBasis)</f>
        <v/>
      </c>
      <c r="R139" s="44">
        <f>IF($A139="",0,$B139*(TSOFR3M+$H$7/10000+$F139)*$G139/DayBasis)</f>
        <v/>
      </c>
      <c r="S139" s="44">
        <f>IF($A139="",0,$B139*(TSOFR3M+$H$8/10000+$F139)*$G139/DayBasis)</f>
        <v/>
      </c>
      <c r="T139" s="44">
        <f>IF($A139="",0,$B139*(TSOFR3M+$H$9/10000+$F139)*$G139/DayBasis)</f>
        <v/>
      </c>
      <c r="U139" s="44">
        <f>IF($A139="",0,$B139*(TSOFR3M+$H$10/10000+$F139)*$G139/DayBasis)</f>
        <v/>
      </c>
      <c r="V139" s="44">
        <f>IF($A139="",0,$B139*(TSOFR3M+$H$12/10000+$F139)*$G139/DayBasis)</f>
        <v/>
      </c>
      <c r="W139" s="44">
        <f>IF(OR($A139="",$M$6&lt;&gt;"Y",$O$6=""),0,IF($H139&gt;=$O$6,$B139*(TSOFR3M+$H$6/10000+$F139)*$N$6/DayBasis,0))</f>
        <v/>
      </c>
      <c r="X139" s="44">
        <f>IF(OR($A139="",$M$7&lt;&gt;"Y",$O$7=""),0,IF($H139&gt;=$O$7,$B139*(TSOFR3M+$H$7/10000+$F139)*$N$7/DayBasis,0))</f>
        <v/>
      </c>
      <c r="Y139" s="44">
        <f>IF(OR($A139="",$M$8&lt;&gt;"Y",$O$8=""),0,IF($H139&gt;=$O$8,$B139*(TSOFR3M+$H$8/10000+$F139)*$N$8/DayBasis,0))</f>
        <v/>
      </c>
      <c r="Z139" s="44">
        <f>IF(OR($A139="",$M$9&lt;&gt;"Y",$O$9=""),0,IF($H139&gt;=$O$9,$B139*(TSOFR3M+$H$9/10000+$F139)*$N$9/DayBasis,0))</f>
        <v/>
      </c>
      <c r="AA139" s="44">
        <f>IF(OR($A139="",$M$10&lt;&gt;"Y",$O$10=""),0,IF($H139&gt;=$O$10,$B139*(TSOFR3M+$H$10/10000+$F139)*$N$10/DayBasis,0))</f>
        <v/>
      </c>
      <c r="AB139" s="44">
        <f>IF(OR($A139="",$M$12&lt;&gt;"Y",$O$12=""),0,IF($H139&gt;=$O$12,$B139*(TSOFR3M+$H$12/10000+$F139)*$N$12/DayBasis,0))</f>
        <v/>
      </c>
      <c r="AC139" s="50">
        <f>IF($A139="",0,MIN(1,$C139*$C$39))</f>
        <v/>
      </c>
      <c r="AD139" s="44">
        <f>IF($A139="",0,$B139*IF($I139=1,LGD_LC,MIN(1,LGD+$C$40))*(1-$E139))</f>
        <v/>
      </c>
      <c r="AE139" s="44">
        <f>IF(OR($A139="",$B139&lt;=0,$AC139&lt;=0),0,IF($AC139&gt;=1,$AD139,IF(_xlfn.NORM.S.INV(RAND())*SQRT(1-Rho)+$C$41*SQRT(Rho)&lt;_xlfn.NORM.S.INV($AC139),$AD139,0)))</f>
        <v/>
      </c>
      <c r="AG139" t="n">
        <v>133</v>
      </c>
      <c r="AH139" s="35" t="n">
        <v>0</v>
      </c>
    </row>
    <row r="140">
      <c r="A140" s="7">
        <f>IF('02_Buyers'!$A77="","",'02_Buyers'!$A77)</f>
        <v/>
      </c>
      <c r="B140" s="44">
        <f>IF($A140="",0,'02_Buyers'!$Z77)</f>
        <v/>
      </c>
      <c r="C140" s="50">
        <f>IF($A140="",0,'02_Buyers'!$AM77)</f>
        <v/>
      </c>
      <c r="D140" s="50">
        <f>IF($A140="",0,'02_Buyers'!$AN77)</f>
        <v/>
      </c>
      <c r="E140" s="50">
        <f>IF($A140="",0,'02_Buyers'!$AO77)</f>
        <v/>
      </c>
      <c r="F140" s="50">
        <f>IF($A140="",0,'02_Buyers'!$AP77)</f>
        <v/>
      </c>
      <c r="G140" s="45">
        <f>IF($A140="",0,'02_Buyers'!$V77)</f>
        <v/>
      </c>
      <c r="H140" s="45">
        <f>IF(OR($A140="",'02_Buyers'!$AC77=""),0,'02_Buyers'!$AC77)</f>
        <v/>
      </c>
      <c r="I140" s="45">
        <f>IF($A140="",0,IF(OR('02_Buyers'!$U77="LC_SIGHT",'02_Buyers'!$U77="LC_USANCE"),1,0))</f>
        <v/>
      </c>
      <c r="J140" s="7">
        <f>IF($A140="","",'02_Buyers'!$T77)</f>
        <v/>
      </c>
      <c r="K140" s="44">
        <f>IF($A140="",0,$B140*MIN(1,$C140*$J$6)*IF($I140=1,LGD_LC,MIN(1,LGD+$K$6))*(1-$E140))</f>
        <v/>
      </c>
      <c r="L140" s="44">
        <f>IF($A140="",0,$B140*MIN(1,$C140*$J$7)*IF($I140=1,LGD_LC,MIN(1,LGD+$K$7))*(1-$E140))</f>
        <v/>
      </c>
      <c r="M140" s="44">
        <f>IF($A140="",0,$B140*MIN(1,$C140*$J$8)*IF($I140=1,LGD_LC,MIN(1,LGD+$K$8))*(1-$E140))</f>
        <v/>
      </c>
      <c r="N140" s="44">
        <f>IF($A140="",0,$B140*MIN(1,$C140*$J$9)*IF($I140=1,LGD_LC,MIN(1,LGD+$K$9))*(1-$E140))</f>
        <v/>
      </c>
      <c r="O140" s="44">
        <f>IF($A140="",0,$B140*MIN(1,$C140*$J$10)*IF($I140=1,LGD_LC,MIN(1,LGD+$K$10))*(1-$E140))</f>
        <v/>
      </c>
      <c r="P140" s="44">
        <f>IF($A140="",0,$B140*MIN(1,$C140*$J$12)*IF($I140=1,LGD_LC,MIN(1,LGD+$K$12))*(1-$E140))</f>
        <v/>
      </c>
      <c r="Q140" s="44">
        <f>IF($A140="",0,$B140*(TSOFR3M+$H$6/10000+$F140)*$G140/DayBasis)</f>
        <v/>
      </c>
      <c r="R140" s="44">
        <f>IF($A140="",0,$B140*(TSOFR3M+$H$7/10000+$F140)*$G140/DayBasis)</f>
        <v/>
      </c>
      <c r="S140" s="44">
        <f>IF($A140="",0,$B140*(TSOFR3M+$H$8/10000+$F140)*$G140/DayBasis)</f>
        <v/>
      </c>
      <c r="T140" s="44">
        <f>IF($A140="",0,$B140*(TSOFR3M+$H$9/10000+$F140)*$G140/DayBasis)</f>
        <v/>
      </c>
      <c r="U140" s="44">
        <f>IF($A140="",0,$B140*(TSOFR3M+$H$10/10000+$F140)*$G140/DayBasis)</f>
        <v/>
      </c>
      <c r="V140" s="44">
        <f>IF($A140="",0,$B140*(TSOFR3M+$H$12/10000+$F140)*$G140/DayBasis)</f>
        <v/>
      </c>
      <c r="W140" s="44">
        <f>IF(OR($A140="",$M$6&lt;&gt;"Y",$O$6=""),0,IF($H140&gt;=$O$6,$B140*(TSOFR3M+$H$6/10000+$F140)*$N$6/DayBasis,0))</f>
        <v/>
      </c>
      <c r="X140" s="44">
        <f>IF(OR($A140="",$M$7&lt;&gt;"Y",$O$7=""),0,IF($H140&gt;=$O$7,$B140*(TSOFR3M+$H$7/10000+$F140)*$N$7/DayBasis,0))</f>
        <v/>
      </c>
      <c r="Y140" s="44">
        <f>IF(OR($A140="",$M$8&lt;&gt;"Y",$O$8=""),0,IF($H140&gt;=$O$8,$B140*(TSOFR3M+$H$8/10000+$F140)*$N$8/DayBasis,0))</f>
        <v/>
      </c>
      <c r="Z140" s="44">
        <f>IF(OR($A140="",$M$9&lt;&gt;"Y",$O$9=""),0,IF($H140&gt;=$O$9,$B140*(TSOFR3M+$H$9/10000+$F140)*$N$9/DayBasis,0))</f>
        <v/>
      </c>
      <c r="AA140" s="44">
        <f>IF(OR($A140="",$M$10&lt;&gt;"Y",$O$10=""),0,IF($H140&gt;=$O$10,$B140*(TSOFR3M+$H$10/10000+$F140)*$N$10/DayBasis,0))</f>
        <v/>
      </c>
      <c r="AB140" s="44">
        <f>IF(OR($A140="",$M$12&lt;&gt;"Y",$O$12=""),0,IF($H140&gt;=$O$12,$B140*(TSOFR3M+$H$12/10000+$F140)*$N$12/DayBasis,0))</f>
        <v/>
      </c>
      <c r="AC140" s="50">
        <f>IF($A140="",0,MIN(1,$C140*$C$39))</f>
        <v/>
      </c>
      <c r="AD140" s="44">
        <f>IF($A140="",0,$B140*IF($I140=1,LGD_LC,MIN(1,LGD+$C$40))*(1-$E140))</f>
        <v/>
      </c>
      <c r="AE140" s="44">
        <f>IF(OR($A140="",$B140&lt;=0,$AC140&lt;=0),0,IF($AC140&gt;=1,$AD140,IF(_xlfn.NORM.S.INV(RAND())*SQRT(1-Rho)+$C$41*SQRT(Rho)&lt;_xlfn.NORM.S.INV($AC140),$AD140,0)))</f>
        <v/>
      </c>
      <c r="AG140" t="n">
        <v>134</v>
      </c>
      <c r="AH140" s="35" t="n">
        <v>0</v>
      </c>
    </row>
    <row r="141">
      <c r="A141" s="7">
        <f>IF('02_Buyers'!$A78="","",'02_Buyers'!$A78)</f>
        <v/>
      </c>
      <c r="B141" s="44">
        <f>IF($A141="",0,'02_Buyers'!$Z78)</f>
        <v/>
      </c>
      <c r="C141" s="50">
        <f>IF($A141="",0,'02_Buyers'!$AM78)</f>
        <v/>
      </c>
      <c r="D141" s="50">
        <f>IF($A141="",0,'02_Buyers'!$AN78)</f>
        <v/>
      </c>
      <c r="E141" s="50">
        <f>IF($A141="",0,'02_Buyers'!$AO78)</f>
        <v/>
      </c>
      <c r="F141" s="50">
        <f>IF($A141="",0,'02_Buyers'!$AP78)</f>
        <v/>
      </c>
      <c r="G141" s="45">
        <f>IF($A141="",0,'02_Buyers'!$V78)</f>
        <v/>
      </c>
      <c r="H141" s="45">
        <f>IF(OR($A141="",'02_Buyers'!$AC78=""),0,'02_Buyers'!$AC78)</f>
        <v/>
      </c>
      <c r="I141" s="45">
        <f>IF($A141="",0,IF(OR('02_Buyers'!$U78="LC_SIGHT",'02_Buyers'!$U78="LC_USANCE"),1,0))</f>
        <v/>
      </c>
      <c r="J141" s="7">
        <f>IF($A141="","",'02_Buyers'!$T78)</f>
        <v/>
      </c>
      <c r="K141" s="44">
        <f>IF($A141="",0,$B141*MIN(1,$C141*$J$6)*IF($I141=1,LGD_LC,MIN(1,LGD+$K$6))*(1-$E141))</f>
        <v/>
      </c>
      <c r="L141" s="44">
        <f>IF($A141="",0,$B141*MIN(1,$C141*$J$7)*IF($I141=1,LGD_LC,MIN(1,LGD+$K$7))*(1-$E141))</f>
        <v/>
      </c>
      <c r="M141" s="44">
        <f>IF($A141="",0,$B141*MIN(1,$C141*$J$8)*IF($I141=1,LGD_LC,MIN(1,LGD+$K$8))*(1-$E141))</f>
        <v/>
      </c>
      <c r="N141" s="44">
        <f>IF($A141="",0,$B141*MIN(1,$C141*$J$9)*IF($I141=1,LGD_LC,MIN(1,LGD+$K$9))*(1-$E141))</f>
        <v/>
      </c>
      <c r="O141" s="44">
        <f>IF($A141="",0,$B141*MIN(1,$C141*$J$10)*IF($I141=1,LGD_LC,MIN(1,LGD+$K$10))*(1-$E141))</f>
        <v/>
      </c>
      <c r="P141" s="44">
        <f>IF($A141="",0,$B141*MIN(1,$C141*$J$12)*IF($I141=1,LGD_LC,MIN(1,LGD+$K$12))*(1-$E141))</f>
        <v/>
      </c>
      <c r="Q141" s="44">
        <f>IF($A141="",0,$B141*(TSOFR3M+$H$6/10000+$F141)*$G141/DayBasis)</f>
        <v/>
      </c>
      <c r="R141" s="44">
        <f>IF($A141="",0,$B141*(TSOFR3M+$H$7/10000+$F141)*$G141/DayBasis)</f>
        <v/>
      </c>
      <c r="S141" s="44">
        <f>IF($A141="",0,$B141*(TSOFR3M+$H$8/10000+$F141)*$G141/DayBasis)</f>
        <v/>
      </c>
      <c r="T141" s="44">
        <f>IF($A141="",0,$B141*(TSOFR3M+$H$9/10000+$F141)*$G141/DayBasis)</f>
        <v/>
      </c>
      <c r="U141" s="44">
        <f>IF($A141="",0,$B141*(TSOFR3M+$H$10/10000+$F141)*$G141/DayBasis)</f>
        <v/>
      </c>
      <c r="V141" s="44">
        <f>IF($A141="",0,$B141*(TSOFR3M+$H$12/10000+$F141)*$G141/DayBasis)</f>
        <v/>
      </c>
      <c r="W141" s="44">
        <f>IF(OR($A141="",$M$6&lt;&gt;"Y",$O$6=""),0,IF($H141&gt;=$O$6,$B141*(TSOFR3M+$H$6/10000+$F141)*$N$6/DayBasis,0))</f>
        <v/>
      </c>
      <c r="X141" s="44">
        <f>IF(OR($A141="",$M$7&lt;&gt;"Y",$O$7=""),0,IF($H141&gt;=$O$7,$B141*(TSOFR3M+$H$7/10000+$F141)*$N$7/DayBasis,0))</f>
        <v/>
      </c>
      <c r="Y141" s="44">
        <f>IF(OR($A141="",$M$8&lt;&gt;"Y",$O$8=""),0,IF($H141&gt;=$O$8,$B141*(TSOFR3M+$H$8/10000+$F141)*$N$8/DayBasis,0))</f>
        <v/>
      </c>
      <c r="Z141" s="44">
        <f>IF(OR($A141="",$M$9&lt;&gt;"Y",$O$9=""),0,IF($H141&gt;=$O$9,$B141*(TSOFR3M+$H$9/10000+$F141)*$N$9/DayBasis,0))</f>
        <v/>
      </c>
      <c r="AA141" s="44">
        <f>IF(OR($A141="",$M$10&lt;&gt;"Y",$O$10=""),0,IF($H141&gt;=$O$10,$B141*(TSOFR3M+$H$10/10000+$F141)*$N$10/DayBasis,0))</f>
        <v/>
      </c>
      <c r="AB141" s="44">
        <f>IF(OR($A141="",$M$12&lt;&gt;"Y",$O$12=""),0,IF($H141&gt;=$O$12,$B141*(TSOFR3M+$H$12/10000+$F141)*$N$12/DayBasis,0))</f>
        <v/>
      </c>
      <c r="AC141" s="50">
        <f>IF($A141="",0,MIN(1,$C141*$C$39))</f>
        <v/>
      </c>
      <c r="AD141" s="44">
        <f>IF($A141="",0,$B141*IF($I141=1,LGD_LC,MIN(1,LGD+$C$40))*(1-$E141))</f>
        <v/>
      </c>
      <c r="AE141" s="44">
        <f>IF(OR($A141="",$B141&lt;=0,$AC141&lt;=0),0,IF($AC141&gt;=1,$AD141,IF(_xlfn.NORM.S.INV(RAND())*SQRT(1-Rho)+$C$41*SQRT(Rho)&lt;_xlfn.NORM.S.INV($AC141),$AD141,0)))</f>
        <v/>
      </c>
      <c r="AG141" t="n">
        <v>135</v>
      </c>
      <c r="AH141" s="35" t="n">
        <v>0</v>
      </c>
    </row>
    <row r="142">
      <c r="A142" s="7">
        <f>IF('02_Buyers'!$A79="","",'02_Buyers'!$A79)</f>
        <v/>
      </c>
      <c r="B142" s="44">
        <f>IF($A142="",0,'02_Buyers'!$Z79)</f>
        <v/>
      </c>
      <c r="C142" s="50">
        <f>IF($A142="",0,'02_Buyers'!$AM79)</f>
        <v/>
      </c>
      <c r="D142" s="50">
        <f>IF($A142="",0,'02_Buyers'!$AN79)</f>
        <v/>
      </c>
      <c r="E142" s="50">
        <f>IF($A142="",0,'02_Buyers'!$AO79)</f>
        <v/>
      </c>
      <c r="F142" s="50">
        <f>IF($A142="",0,'02_Buyers'!$AP79)</f>
        <v/>
      </c>
      <c r="G142" s="45">
        <f>IF($A142="",0,'02_Buyers'!$V79)</f>
        <v/>
      </c>
      <c r="H142" s="45">
        <f>IF(OR($A142="",'02_Buyers'!$AC79=""),0,'02_Buyers'!$AC79)</f>
        <v/>
      </c>
      <c r="I142" s="45">
        <f>IF($A142="",0,IF(OR('02_Buyers'!$U79="LC_SIGHT",'02_Buyers'!$U79="LC_USANCE"),1,0))</f>
        <v/>
      </c>
      <c r="J142" s="7">
        <f>IF($A142="","",'02_Buyers'!$T79)</f>
        <v/>
      </c>
      <c r="K142" s="44">
        <f>IF($A142="",0,$B142*MIN(1,$C142*$J$6)*IF($I142=1,LGD_LC,MIN(1,LGD+$K$6))*(1-$E142))</f>
        <v/>
      </c>
      <c r="L142" s="44">
        <f>IF($A142="",0,$B142*MIN(1,$C142*$J$7)*IF($I142=1,LGD_LC,MIN(1,LGD+$K$7))*(1-$E142))</f>
        <v/>
      </c>
      <c r="M142" s="44">
        <f>IF($A142="",0,$B142*MIN(1,$C142*$J$8)*IF($I142=1,LGD_LC,MIN(1,LGD+$K$8))*(1-$E142))</f>
        <v/>
      </c>
      <c r="N142" s="44">
        <f>IF($A142="",0,$B142*MIN(1,$C142*$J$9)*IF($I142=1,LGD_LC,MIN(1,LGD+$K$9))*(1-$E142))</f>
        <v/>
      </c>
      <c r="O142" s="44">
        <f>IF($A142="",0,$B142*MIN(1,$C142*$J$10)*IF($I142=1,LGD_LC,MIN(1,LGD+$K$10))*(1-$E142))</f>
        <v/>
      </c>
      <c r="P142" s="44">
        <f>IF($A142="",0,$B142*MIN(1,$C142*$J$12)*IF($I142=1,LGD_LC,MIN(1,LGD+$K$12))*(1-$E142))</f>
        <v/>
      </c>
      <c r="Q142" s="44">
        <f>IF($A142="",0,$B142*(TSOFR3M+$H$6/10000+$F142)*$G142/DayBasis)</f>
        <v/>
      </c>
      <c r="R142" s="44">
        <f>IF($A142="",0,$B142*(TSOFR3M+$H$7/10000+$F142)*$G142/DayBasis)</f>
        <v/>
      </c>
      <c r="S142" s="44">
        <f>IF($A142="",0,$B142*(TSOFR3M+$H$8/10000+$F142)*$G142/DayBasis)</f>
        <v/>
      </c>
      <c r="T142" s="44">
        <f>IF($A142="",0,$B142*(TSOFR3M+$H$9/10000+$F142)*$G142/DayBasis)</f>
        <v/>
      </c>
      <c r="U142" s="44">
        <f>IF($A142="",0,$B142*(TSOFR3M+$H$10/10000+$F142)*$G142/DayBasis)</f>
        <v/>
      </c>
      <c r="V142" s="44">
        <f>IF($A142="",0,$B142*(TSOFR3M+$H$12/10000+$F142)*$G142/DayBasis)</f>
        <v/>
      </c>
      <c r="W142" s="44">
        <f>IF(OR($A142="",$M$6&lt;&gt;"Y",$O$6=""),0,IF($H142&gt;=$O$6,$B142*(TSOFR3M+$H$6/10000+$F142)*$N$6/DayBasis,0))</f>
        <v/>
      </c>
      <c r="X142" s="44">
        <f>IF(OR($A142="",$M$7&lt;&gt;"Y",$O$7=""),0,IF($H142&gt;=$O$7,$B142*(TSOFR3M+$H$7/10000+$F142)*$N$7/DayBasis,0))</f>
        <v/>
      </c>
      <c r="Y142" s="44">
        <f>IF(OR($A142="",$M$8&lt;&gt;"Y",$O$8=""),0,IF($H142&gt;=$O$8,$B142*(TSOFR3M+$H$8/10000+$F142)*$N$8/DayBasis,0))</f>
        <v/>
      </c>
      <c r="Z142" s="44">
        <f>IF(OR($A142="",$M$9&lt;&gt;"Y",$O$9=""),0,IF($H142&gt;=$O$9,$B142*(TSOFR3M+$H$9/10000+$F142)*$N$9/DayBasis,0))</f>
        <v/>
      </c>
      <c r="AA142" s="44">
        <f>IF(OR($A142="",$M$10&lt;&gt;"Y",$O$10=""),0,IF($H142&gt;=$O$10,$B142*(TSOFR3M+$H$10/10000+$F142)*$N$10/DayBasis,0))</f>
        <v/>
      </c>
      <c r="AB142" s="44">
        <f>IF(OR($A142="",$M$12&lt;&gt;"Y",$O$12=""),0,IF($H142&gt;=$O$12,$B142*(TSOFR3M+$H$12/10000+$F142)*$N$12/DayBasis,0))</f>
        <v/>
      </c>
      <c r="AC142" s="50">
        <f>IF($A142="",0,MIN(1,$C142*$C$39))</f>
        <v/>
      </c>
      <c r="AD142" s="44">
        <f>IF($A142="",0,$B142*IF($I142=1,LGD_LC,MIN(1,LGD+$C$40))*(1-$E142))</f>
        <v/>
      </c>
      <c r="AE142" s="44">
        <f>IF(OR($A142="",$B142&lt;=0,$AC142&lt;=0),0,IF($AC142&gt;=1,$AD142,IF(_xlfn.NORM.S.INV(RAND())*SQRT(1-Rho)+$C$41*SQRT(Rho)&lt;_xlfn.NORM.S.INV($AC142),$AD142,0)))</f>
        <v/>
      </c>
      <c r="AG142" t="n">
        <v>136</v>
      </c>
      <c r="AH142" s="35" t="n">
        <v>0</v>
      </c>
    </row>
    <row r="143">
      <c r="A143" s="7">
        <f>IF('02_Buyers'!$A80="","",'02_Buyers'!$A80)</f>
        <v/>
      </c>
      <c r="B143" s="44">
        <f>IF($A143="",0,'02_Buyers'!$Z80)</f>
        <v/>
      </c>
      <c r="C143" s="50">
        <f>IF($A143="",0,'02_Buyers'!$AM80)</f>
        <v/>
      </c>
      <c r="D143" s="50">
        <f>IF($A143="",0,'02_Buyers'!$AN80)</f>
        <v/>
      </c>
      <c r="E143" s="50">
        <f>IF($A143="",0,'02_Buyers'!$AO80)</f>
        <v/>
      </c>
      <c r="F143" s="50">
        <f>IF($A143="",0,'02_Buyers'!$AP80)</f>
        <v/>
      </c>
      <c r="G143" s="45">
        <f>IF($A143="",0,'02_Buyers'!$V80)</f>
        <v/>
      </c>
      <c r="H143" s="45">
        <f>IF(OR($A143="",'02_Buyers'!$AC80=""),0,'02_Buyers'!$AC80)</f>
        <v/>
      </c>
      <c r="I143" s="45">
        <f>IF($A143="",0,IF(OR('02_Buyers'!$U80="LC_SIGHT",'02_Buyers'!$U80="LC_USANCE"),1,0))</f>
        <v/>
      </c>
      <c r="J143" s="7">
        <f>IF($A143="","",'02_Buyers'!$T80)</f>
        <v/>
      </c>
      <c r="K143" s="44">
        <f>IF($A143="",0,$B143*MIN(1,$C143*$J$6)*IF($I143=1,LGD_LC,MIN(1,LGD+$K$6))*(1-$E143))</f>
        <v/>
      </c>
      <c r="L143" s="44">
        <f>IF($A143="",0,$B143*MIN(1,$C143*$J$7)*IF($I143=1,LGD_LC,MIN(1,LGD+$K$7))*(1-$E143))</f>
        <v/>
      </c>
      <c r="M143" s="44">
        <f>IF($A143="",0,$B143*MIN(1,$C143*$J$8)*IF($I143=1,LGD_LC,MIN(1,LGD+$K$8))*(1-$E143))</f>
        <v/>
      </c>
      <c r="N143" s="44">
        <f>IF($A143="",0,$B143*MIN(1,$C143*$J$9)*IF($I143=1,LGD_LC,MIN(1,LGD+$K$9))*(1-$E143))</f>
        <v/>
      </c>
      <c r="O143" s="44">
        <f>IF($A143="",0,$B143*MIN(1,$C143*$J$10)*IF($I143=1,LGD_LC,MIN(1,LGD+$K$10))*(1-$E143))</f>
        <v/>
      </c>
      <c r="P143" s="44">
        <f>IF($A143="",0,$B143*MIN(1,$C143*$J$12)*IF($I143=1,LGD_LC,MIN(1,LGD+$K$12))*(1-$E143))</f>
        <v/>
      </c>
      <c r="Q143" s="44">
        <f>IF($A143="",0,$B143*(TSOFR3M+$H$6/10000+$F143)*$G143/DayBasis)</f>
        <v/>
      </c>
      <c r="R143" s="44">
        <f>IF($A143="",0,$B143*(TSOFR3M+$H$7/10000+$F143)*$G143/DayBasis)</f>
        <v/>
      </c>
      <c r="S143" s="44">
        <f>IF($A143="",0,$B143*(TSOFR3M+$H$8/10000+$F143)*$G143/DayBasis)</f>
        <v/>
      </c>
      <c r="T143" s="44">
        <f>IF($A143="",0,$B143*(TSOFR3M+$H$9/10000+$F143)*$G143/DayBasis)</f>
        <v/>
      </c>
      <c r="U143" s="44">
        <f>IF($A143="",0,$B143*(TSOFR3M+$H$10/10000+$F143)*$G143/DayBasis)</f>
        <v/>
      </c>
      <c r="V143" s="44">
        <f>IF($A143="",0,$B143*(TSOFR3M+$H$12/10000+$F143)*$G143/DayBasis)</f>
        <v/>
      </c>
      <c r="W143" s="44">
        <f>IF(OR($A143="",$M$6&lt;&gt;"Y",$O$6=""),0,IF($H143&gt;=$O$6,$B143*(TSOFR3M+$H$6/10000+$F143)*$N$6/DayBasis,0))</f>
        <v/>
      </c>
      <c r="X143" s="44">
        <f>IF(OR($A143="",$M$7&lt;&gt;"Y",$O$7=""),0,IF($H143&gt;=$O$7,$B143*(TSOFR3M+$H$7/10000+$F143)*$N$7/DayBasis,0))</f>
        <v/>
      </c>
      <c r="Y143" s="44">
        <f>IF(OR($A143="",$M$8&lt;&gt;"Y",$O$8=""),0,IF($H143&gt;=$O$8,$B143*(TSOFR3M+$H$8/10000+$F143)*$N$8/DayBasis,0))</f>
        <v/>
      </c>
      <c r="Z143" s="44">
        <f>IF(OR($A143="",$M$9&lt;&gt;"Y",$O$9=""),0,IF($H143&gt;=$O$9,$B143*(TSOFR3M+$H$9/10000+$F143)*$N$9/DayBasis,0))</f>
        <v/>
      </c>
      <c r="AA143" s="44">
        <f>IF(OR($A143="",$M$10&lt;&gt;"Y",$O$10=""),0,IF($H143&gt;=$O$10,$B143*(TSOFR3M+$H$10/10000+$F143)*$N$10/DayBasis,0))</f>
        <v/>
      </c>
      <c r="AB143" s="44">
        <f>IF(OR($A143="",$M$12&lt;&gt;"Y",$O$12=""),0,IF($H143&gt;=$O$12,$B143*(TSOFR3M+$H$12/10000+$F143)*$N$12/DayBasis,0))</f>
        <v/>
      </c>
      <c r="AC143" s="50">
        <f>IF($A143="",0,MIN(1,$C143*$C$39))</f>
        <v/>
      </c>
      <c r="AD143" s="44">
        <f>IF($A143="",0,$B143*IF($I143=1,LGD_LC,MIN(1,LGD+$C$40))*(1-$E143))</f>
        <v/>
      </c>
      <c r="AE143" s="44">
        <f>IF(OR($A143="",$B143&lt;=0,$AC143&lt;=0),0,IF($AC143&gt;=1,$AD143,IF(_xlfn.NORM.S.INV(RAND())*SQRT(1-Rho)+$C$41*SQRT(Rho)&lt;_xlfn.NORM.S.INV($AC143),$AD143,0)))</f>
        <v/>
      </c>
      <c r="AG143" t="n">
        <v>137</v>
      </c>
      <c r="AH143" s="35" t="n">
        <v>0</v>
      </c>
    </row>
    <row r="144">
      <c r="A144" s="7">
        <f>IF('02_Buyers'!$A81="","",'02_Buyers'!$A81)</f>
        <v/>
      </c>
      <c r="B144" s="44">
        <f>IF($A144="",0,'02_Buyers'!$Z81)</f>
        <v/>
      </c>
      <c r="C144" s="50">
        <f>IF($A144="",0,'02_Buyers'!$AM81)</f>
        <v/>
      </c>
      <c r="D144" s="50">
        <f>IF($A144="",0,'02_Buyers'!$AN81)</f>
        <v/>
      </c>
      <c r="E144" s="50">
        <f>IF($A144="",0,'02_Buyers'!$AO81)</f>
        <v/>
      </c>
      <c r="F144" s="50">
        <f>IF($A144="",0,'02_Buyers'!$AP81)</f>
        <v/>
      </c>
      <c r="G144" s="45">
        <f>IF($A144="",0,'02_Buyers'!$V81)</f>
        <v/>
      </c>
      <c r="H144" s="45">
        <f>IF(OR($A144="",'02_Buyers'!$AC81=""),0,'02_Buyers'!$AC81)</f>
        <v/>
      </c>
      <c r="I144" s="45">
        <f>IF($A144="",0,IF(OR('02_Buyers'!$U81="LC_SIGHT",'02_Buyers'!$U81="LC_USANCE"),1,0))</f>
        <v/>
      </c>
      <c r="J144" s="7">
        <f>IF($A144="","",'02_Buyers'!$T81)</f>
        <v/>
      </c>
      <c r="K144" s="44">
        <f>IF($A144="",0,$B144*MIN(1,$C144*$J$6)*IF($I144=1,LGD_LC,MIN(1,LGD+$K$6))*(1-$E144))</f>
        <v/>
      </c>
      <c r="L144" s="44">
        <f>IF($A144="",0,$B144*MIN(1,$C144*$J$7)*IF($I144=1,LGD_LC,MIN(1,LGD+$K$7))*(1-$E144))</f>
        <v/>
      </c>
      <c r="M144" s="44">
        <f>IF($A144="",0,$B144*MIN(1,$C144*$J$8)*IF($I144=1,LGD_LC,MIN(1,LGD+$K$8))*(1-$E144))</f>
        <v/>
      </c>
      <c r="N144" s="44">
        <f>IF($A144="",0,$B144*MIN(1,$C144*$J$9)*IF($I144=1,LGD_LC,MIN(1,LGD+$K$9))*(1-$E144))</f>
        <v/>
      </c>
      <c r="O144" s="44">
        <f>IF($A144="",0,$B144*MIN(1,$C144*$J$10)*IF($I144=1,LGD_LC,MIN(1,LGD+$K$10))*(1-$E144))</f>
        <v/>
      </c>
      <c r="P144" s="44">
        <f>IF($A144="",0,$B144*MIN(1,$C144*$J$12)*IF($I144=1,LGD_LC,MIN(1,LGD+$K$12))*(1-$E144))</f>
        <v/>
      </c>
      <c r="Q144" s="44">
        <f>IF($A144="",0,$B144*(TSOFR3M+$H$6/10000+$F144)*$G144/DayBasis)</f>
        <v/>
      </c>
      <c r="R144" s="44">
        <f>IF($A144="",0,$B144*(TSOFR3M+$H$7/10000+$F144)*$G144/DayBasis)</f>
        <v/>
      </c>
      <c r="S144" s="44">
        <f>IF($A144="",0,$B144*(TSOFR3M+$H$8/10000+$F144)*$G144/DayBasis)</f>
        <v/>
      </c>
      <c r="T144" s="44">
        <f>IF($A144="",0,$B144*(TSOFR3M+$H$9/10000+$F144)*$G144/DayBasis)</f>
        <v/>
      </c>
      <c r="U144" s="44">
        <f>IF($A144="",0,$B144*(TSOFR3M+$H$10/10000+$F144)*$G144/DayBasis)</f>
        <v/>
      </c>
      <c r="V144" s="44">
        <f>IF($A144="",0,$B144*(TSOFR3M+$H$12/10000+$F144)*$G144/DayBasis)</f>
        <v/>
      </c>
      <c r="W144" s="44">
        <f>IF(OR($A144="",$M$6&lt;&gt;"Y",$O$6=""),0,IF($H144&gt;=$O$6,$B144*(TSOFR3M+$H$6/10000+$F144)*$N$6/DayBasis,0))</f>
        <v/>
      </c>
      <c r="X144" s="44">
        <f>IF(OR($A144="",$M$7&lt;&gt;"Y",$O$7=""),0,IF($H144&gt;=$O$7,$B144*(TSOFR3M+$H$7/10000+$F144)*$N$7/DayBasis,0))</f>
        <v/>
      </c>
      <c r="Y144" s="44">
        <f>IF(OR($A144="",$M$8&lt;&gt;"Y",$O$8=""),0,IF($H144&gt;=$O$8,$B144*(TSOFR3M+$H$8/10000+$F144)*$N$8/DayBasis,0))</f>
        <v/>
      </c>
      <c r="Z144" s="44">
        <f>IF(OR($A144="",$M$9&lt;&gt;"Y",$O$9=""),0,IF($H144&gt;=$O$9,$B144*(TSOFR3M+$H$9/10000+$F144)*$N$9/DayBasis,0))</f>
        <v/>
      </c>
      <c r="AA144" s="44">
        <f>IF(OR($A144="",$M$10&lt;&gt;"Y",$O$10=""),0,IF($H144&gt;=$O$10,$B144*(TSOFR3M+$H$10/10000+$F144)*$N$10/DayBasis,0))</f>
        <v/>
      </c>
      <c r="AB144" s="44">
        <f>IF(OR($A144="",$M$12&lt;&gt;"Y",$O$12=""),0,IF($H144&gt;=$O$12,$B144*(TSOFR3M+$H$12/10000+$F144)*$N$12/DayBasis,0))</f>
        <v/>
      </c>
      <c r="AC144" s="50">
        <f>IF($A144="",0,MIN(1,$C144*$C$39))</f>
        <v/>
      </c>
      <c r="AD144" s="44">
        <f>IF($A144="",0,$B144*IF($I144=1,LGD_LC,MIN(1,LGD+$C$40))*(1-$E144))</f>
        <v/>
      </c>
      <c r="AE144" s="44">
        <f>IF(OR($A144="",$B144&lt;=0,$AC144&lt;=0),0,IF($AC144&gt;=1,$AD144,IF(_xlfn.NORM.S.INV(RAND())*SQRT(1-Rho)+$C$41*SQRT(Rho)&lt;_xlfn.NORM.S.INV($AC144),$AD144,0)))</f>
        <v/>
      </c>
      <c r="AG144" t="n">
        <v>138</v>
      </c>
      <c r="AH144" s="35" t="n">
        <v>0</v>
      </c>
    </row>
    <row r="145">
      <c r="A145" s="7">
        <f>IF('02_Buyers'!$A82="","",'02_Buyers'!$A82)</f>
        <v/>
      </c>
      <c r="B145" s="44">
        <f>IF($A145="",0,'02_Buyers'!$Z82)</f>
        <v/>
      </c>
      <c r="C145" s="50">
        <f>IF($A145="",0,'02_Buyers'!$AM82)</f>
        <v/>
      </c>
      <c r="D145" s="50">
        <f>IF($A145="",0,'02_Buyers'!$AN82)</f>
        <v/>
      </c>
      <c r="E145" s="50">
        <f>IF($A145="",0,'02_Buyers'!$AO82)</f>
        <v/>
      </c>
      <c r="F145" s="50">
        <f>IF($A145="",0,'02_Buyers'!$AP82)</f>
        <v/>
      </c>
      <c r="G145" s="45">
        <f>IF($A145="",0,'02_Buyers'!$V82)</f>
        <v/>
      </c>
      <c r="H145" s="45">
        <f>IF(OR($A145="",'02_Buyers'!$AC82=""),0,'02_Buyers'!$AC82)</f>
        <v/>
      </c>
      <c r="I145" s="45">
        <f>IF($A145="",0,IF(OR('02_Buyers'!$U82="LC_SIGHT",'02_Buyers'!$U82="LC_USANCE"),1,0))</f>
        <v/>
      </c>
      <c r="J145" s="7">
        <f>IF($A145="","",'02_Buyers'!$T82)</f>
        <v/>
      </c>
      <c r="K145" s="44">
        <f>IF($A145="",0,$B145*MIN(1,$C145*$J$6)*IF($I145=1,LGD_LC,MIN(1,LGD+$K$6))*(1-$E145))</f>
        <v/>
      </c>
      <c r="L145" s="44">
        <f>IF($A145="",0,$B145*MIN(1,$C145*$J$7)*IF($I145=1,LGD_LC,MIN(1,LGD+$K$7))*(1-$E145))</f>
        <v/>
      </c>
      <c r="M145" s="44">
        <f>IF($A145="",0,$B145*MIN(1,$C145*$J$8)*IF($I145=1,LGD_LC,MIN(1,LGD+$K$8))*(1-$E145))</f>
        <v/>
      </c>
      <c r="N145" s="44">
        <f>IF($A145="",0,$B145*MIN(1,$C145*$J$9)*IF($I145=1,LGD_LC,MIN(1,LGD+$K$9))*(1-$E145))</f>
        <v/>
      </c>
      <c r="O145" s="44">
        <f>IF($A145="",0,$B145*MIN(1,$C145*$J$10)*IF($I145=1,LGD_LC,MIN(1,LGD+$K$10))*(1-$E145))</f>
        <v/>
      </c>
      <c r="P145" s="44">
        <f>IF($A145="",0,$B145*MIN(1,$C145*$J$12)*IF($I145=1,LGD_LC,MIN(1,LGD+$K$12))*(1-$E145))</f>
        <v/>
      </c>
      <c r="Q145" s="44">
        <f>IF($A145="",0,$B145*(TSOFR3M+$H$6/10000+$F145)*$G145/DayBasis)</f>
        <v/>
      </c>
      <c r="R145" s="44">
        <f>IF($A145="",0,$B145*(TSOFR3M+$H$7/10000+$F145)*$G145/DayBasis)</f>
        <v/>
      </c>
      <c r="S145" s="44">
        <f>IF($A145="",0,$B145*(TSOFR3M+$H$8/10000+$F145)*$G145/DayBasis)</f>
        <v/>
      </c>
      <c r="T145" s="44">
        <f>IF($A145="",0,$B145*(TSOFR3M+$H$9/10000+$F145)*$G145/DayBasis)</f>
        <v/>
      </c>
      <c r="U145" s="44">
        <f>IF($A145="",0,$B145*(TSOFR3M+$H$10/10000+$F145)*$G145/DayBasis)</f>
        <v/>
      </c>
      <c r="V145" s="44">
        <f>IF($A145="",0,$B145*(TSOFR3M+$H$12/10000+$F145)*$G145/DayBasis)</f>
        <v/>
      </c>
      <c r="W145" s="44">
        <f>IF(OR($A145="",$M$6&lt;&gt;"Y",$O$6=""),0,IF($H145&gt;=$O$6,$B145*(TSOFR3M+$H$6/10000+$F145)*$N$6/DayBasis,0))</f>
        <v/>
      </c>
      <c r="X145" s="44">
        <f>IF(OR($A145="",$M$7&lt;&gt;"Y",$O$7=""),0,IF($H145&gt;=$O$7,$B145*(TSOFR3M+$H$7/10000+$F145)*$N$7/DayBasis,0))</f>
        <v/>
      </c>
      <c r="Y145" s="44">
        <f>IF(OR($A145="",$M$8&lt;&gt;"Y",$O$8=""),0,IF($H145&gt;=$O$8,$B145*(TSOFR3M+$H$8/10000+$F145)*$N$8/DayBasis,0))</f>
        <v/>
      </c>
      <c r="Z145" s="44">
        <f>IF(OR($A145="",$M$9&lt;&gt;"Y",$O$9=""),0,IF($H145&gt;=$O$9,$B145*(TSOFR3M+$H$9/10000+$F145)*$N$9/DayBasis,0))</f>
        <v/>
      </c>
      <c r="AA145" s="44">
        <f>IF(OR($A145="",$M$10&lt;&gt;"Y",$O$10=""),0,IF($H145&gt;=$O$10,$B145*(TSOFR3M+$H$10/10000+$F145)*$N$10/DayBasis,0))</f>
        <v/>
      </c>
      <c r="AB145" s="44">
        <f>IF(OR($A145="",$M$12&lt;&gt;"Y",$O$12=""),0,IF($H145&gt;=$O$12,$B145*(TSOFR3M+$H$12/10000+$F145)*$N$12/DayBasis,0))</f>
        <v/>
      </c>
      <c r="AC145" s="50">
        <f>IF($A145="",0,MIN(1,$C145*$C$39))</f>
        <v/>
      </c>
      <c r="AD145" s="44">
        <f>IF($A145="",0,$B145*IF($I145=1,LGD_LC,MIN(1,LGD+$C$40))*(1-$E145))</f>
        <v/>
      </c>
      <c r="AE145" s="44">
        <f>IF(OR($A145="",$B145&lt;=0,$AC145&lt;=0),0,IF($AC145&gt;=1,$AD145,IF(_xlfn.NORM.S.INV(RAND())*SQRT(1-Rho)+$C$41*SQRT(Rho)&lt;_xlfn.NORM.S.INV($AC145),$AD145,0)))</f>
        <v/>
      </c>
      <c r="AG145" t="n">
        <v>139</v>
      </c>
      <c r="AH145" s="35" t="n">
        <v>0</v>
      </c>
    </row>
    <row r="146">
      <c r="A146" s="7">
        <f>IF('02_Buyers'!$A83="","",'02_Buyers'!$A83)</f>
        <v/>
      </c>
      <c r="B146" s="44">
        <f>IF($A146="",0,'02_Buyers'!$Z83)</f>
        <v/>
      </c>
      <c r="C146" s="50">
        <f>IF($A146="",0,'02_Buyers'!$AM83)</f>
        <v/>
      </c>
      <c r="D146" s="50">
        <f>IF($A146="",0,'02_Buyers'!$AN83)</f>
        <v/>
      </c>
      <c r="E146" s="50">
        <f>IF($A146="",0,'02_Buyers'!$AO83)</f>
        <v/>
      </c>
      <c r="F146" s="50">
        <f>IF($A146="",0,'02_Buyers'!$AP83)</f>
        <v/>
      </c>
      <c r="G146" s="45">
        <f>IF($A146="",0,'02_Buyers'!$V83)</f>
        <v/>
      </c>
      <c r="H146" s="45">
        <f>IF(OR($A146="",'02_Buyers'!$AC83=""),0,'02_Buyers'!$AC83)</f>
        <v/>
      </c>
      <c r="I146" s="45">
        <f>IF($A146="",0,IF(OR('02_Buyers'!$U83="LC_SIGHT",'02_Buyers'!$U83="LC_USANCE"),1,0))</f>
        <v/>
      </c>
      <c r="J146" s="7">
        <f>IF($A146="","",'02_Buyers'!$T83)</f>
        <v/>
      </c>
      <c r="K146" s="44">
        <f>IF($A146="",0,$B146*MIN(1,$C146*$J$6)*IF($I146=1,LGD_LC,MIN(1,LGD+$K$6))*(1-$E146))</f>
        <v/>
      </c>
      <c r="L146" s="44">
        <f>IF($A146="",0,$B146*MIN(1,$C146*$J$7)*IF($I146=1,LGD_LC,MIN(1,LGD+$K$7))*(1-$E146))</f>
        <v/>
      </c>
      <c r="M146" s="44">
        <f>IF($A146="",0,$B146*MIN(1,$C146*$J$8)*IF($I146=1,LGD_LC,MIN(1,LGD+$K$8))*(1-$E146))</f>
        <v/>
      </c>
      <c r="N146" s="44">
        <f>IF($A146="",0,$B146*MIN(1,$C146*$J$9)*IF($I146=1,LGD_LC,MIN(1,LGD+$K$9))*(1-$E146))</f>
        <v/>
      </c>
      <c r="O146" s="44">
        <f>IF($A146="",0,$B146*MIN(1,$C146*$J$10)*IF($I146=1,LGD_LC,MIN(1,LGD+$K$10))*(1-$E146))</f>
        <v/>
      </c>
      <c r="P146" s="44">
        <f>IF($A146="",0,$B146*MIN(1,$C146*$J$12)*IF($I146=1,LGD_LC,MIN(1,LGD+$K$12))*(1-$E146))</f>
        <v/>
      </c>
      <c r="Q146" s="44">
        <f>IF($A146="",0,$B146*(TSOFR3M+$H$6/10000+$F146)*$G146/DayBasis)</f>
        <v/>
      </c>
      <c r="R146" s="44">
        <f>IF($A146="",0,$B146*(TSOFR3M+$H$7/10000+$F146)*$G146/DayBasis)</f>
        <v/>
      </c>
      <c r="S146" s="44">
        <f>IF($A146="",0,$B146*(TSOFR3M+$H$8/10000+$F146)*$G146/DayBasis)</f>
        <v/>
      </c>
      <c r="T146" s="44">
        <f>IF($A146="",0,$B146*(TSOFR3M+$H$9/10000+$F146)*$G146/DayBasis)</f>
        <v/>
      </c>
      <c r="U146" s="44">
        <f>IF($A146="",0,$B146*(TSOFR3M+$H$10/10000+$F146)*$G146/DayBasis)</f>
        <v/>
      </c>
      <c r="V146" s="44">
        <f>IF($A146="",0,$B146*(TSOFR3M+$H$12/10000+$F146)*$G146/DayBasis)</f>
        <v/>
      </c>
      <c r="W146" s="44">
        <f>IF(OR($A146="",$M$6&lt;&gt;"Y",$O$6=""),0,IF($H146&gt;=$O$6,$B146*(TSOFR3M+$H$6/10000+$F146)*$N$6/DayBasis,0))</f>
        <v/>
      </c>
      <c r="X146" s="44">
        <f>IF(OR($A146="",$M$7&lt;&gt;"Y",$O$7=""),0,IF($H146&gt;=$O$7,$B146*(TSOFR3M+$H$7/10000+$F146)*$N$7/DayBasis,0))</f>
        <v/>
      </c>
      <c r="Y146" s="44">
        <f>IF(OR($A146="",$M$8&lt;&gt;"Y",$O$8=""),0,IF($H146&gt;=$O$8,$B146*(TSOFR3M+$H$8/10000+$F146)*$N$8/DayBasis,0))</f>
        <v/>
      </c>
      <c r="Z146" s="44">
        <f>IF(OR($A146="",$M$9&lt;&gt;"Y",$O$9=""),0,IF($H146&gt;=$O$9,$B146*(TSOFR3M+$H$9/10000+$F146)*$N$9/DayBasis,0))</f>
        <v/>
      </c>
      <c r="AA146" s="44">
        <f>IF(OR($A146="",$M$10&lt;&gt;"Y",$O$10=""),0,IF($H146&gt;=$O$10,$B146*(TSOFR3M+$H$10/10000+$F146)*$N$10/DayBasis,0))</f>
        <v/>
      </c>
      <c r="AB146" s="44">
        <f>IF(OR($A146="",$M$12&lt;&gt;"Y",$O$12=""),0,IF($H146&gt;=$O$12,$B146*(TSOFR3M+$H$12/10000+$F146)*$N$12/DayBasis,0))</f>
        <v/>
      </c>
      <c r="AC146" s="50">
        <f>IF($A146="",0,MIN(1,$C146*$C$39))</f>
        <v/>
      </c>
      <c r="AD146" s="44">
        <f>IF($A146="",0,$B146*IF($I146=1,LGD_LC,MIN(1,LGD+$C$40))*(1-$E146))</f>
        <v/>
      </c>
      <c r="AE146" s="44">
        <f>IF(OR($A146="",$B146&lt;=0,$AC146&lt;=0),0,IF($AC146&gt;=1,$AD146,IF(_xlfn.NORM.S.INV(RAND())*SQRT(1-Rho)+$C$41*SQRT(Rho)&lt;_xlfn.NORM.S.INV($AC146),$AD146,0)))</f>
        <v/>
      </c>
      <c r="AG146" t="n">
        <v>140</v>
      </c>
      <c r="AH146" s="35" t="n">
        <v>0</v>
      </c>
    </row>
    <row r="147">
      <c r="A147" s="7">
        <f>IF('02_Buyers'!$A84="","",'02_Buyers'!$A84)</f>
        <v/>
      </c>
      <c r="B147" s="44">
        <f>IF($A147="",0,'02_Buyers'!$Z84)</f>
        <v/>
      </c>
      <c r="C147" s="50">
        <f>IF($A147="",0,'02_Buyers'!$AM84)</f>
        <v/>
      </c>
      <c r="D147" s="50">
        <f>IF($A147="",0,'02_Buyers'!$AN84)</f>
        <v/>
      </c>
      <c r="E147" s="50">
        <f>IF($A147="",0,'02_Buyers'!$AO84)</f>
        <v/>
      </c>
      <c r="F147" s="50">
        <f>IF($A147="",0,'02_Buyers'!$AP84)</f>
        <v/>
      </c>
      <c r="G147" s="45">
        <f>IF($A147="",0,'02_Buyers'!$V84)</f>
        <v/>
      </c>
      <c r="H147" s="45">
        <f>IF(OR($A147="",'02_Buyers'!$AC84=""),0,'02_Buyers'!$AC84)</f>
        <v/>
      </c>
      <c r="I147" s="45">
        <f>IF($A147="",0,IF(OR('02_Buyers'!$U84="LC_SIGHT",'02_Buyers'!$U84="LC_USANCE"),1,0))</f>
        <v/>
      </c>
      <c r="J147" s="7">
        <f>IF($A147="","",'02_Buyers'!$T84)</f>
        <v/>
      </c>
      <c r="K147" s="44">
        <f>IF($A147="",0,$B147*MIN(1,$C147*$J$6)*IF($I147=1,LGD_LC,MIN(1,LGD+$K$6))*(1-$E147))</f>
        <v/>
      </c>
      <c r="L147" s="44">
        <f>IF($A147="",0,$B147*MIN(1,$C147*$J$7)*IF($I147=1,LGD_LC,MIN(1,LGD+$K$7))*(1-$E147))</f>
        <v/>
      </c>
      <c r="M147" s="44">
        <f>IF($A147="",0,$B147*MIN(1,$C147*$J$8)*IF($I147=1,LGD_LC,MIN(1,LGD+$K$8))*(1-$E147))</f>
        <v/>
      </c>
      <c r="N147" s="44">
        <f>IF($A147="",0,$B147*MIN(1,$C147*$J$9)*IF($I147=1,LGD_LC,MIN(1,LGD+$K$9))*(1-$E147))</f>
        <v/>
      </c>
      <c r="O147" s="44">
        <f>IF($A147="",0,$B147*MIN(1,$C147*$J$10)*IF($I147=1,LGD_LC,MIN(1,LGD+$K$10))*(1-$E147))</f>
        <v/>
      </c>
      <c r="P147" s="44">
        <f>IF($A147="",0,$B147*MIN(1,$C147*$J$12)*IF($I147=1,LGD_LC,MIN(1,LGD+$K$12))*(1-$E147))</f>
        <v/>
      </c>
      <c r="Q147" s="44">
        <f>IF($A147="",0,$B147*(TSOFR3M+$H$6/10000+$F147)*$G147/DayBasis)</f>
        <v/>
      </c>
      <c r="R147" s="44">
        <f>IF($A147="",0,$B147*(TSOFR3M+$H$7/10000+$F147)*$G147/DayBasis)</f>
        <v/>
      </c>
      <c r="S147" s="44">
        <f>IF($A147="",0,$B147*(TSOFR3M+$H$8/10000+$F147)*$G147/DayBasis)</f>
        <v/>
      </c>
      <c r="T147" s="44">
        <f>IF($A147="",0,$B147*(TSOFR3M+$H$9/10000+$F147)*$G147/DayBasis)</f>
        <v/>
      </c>
      <c r="U147" s="44">
        <f>IF($A147="",0,$B147*(TSOFR3M+$H$10/10000+$F147)*$G147/DayBasis)</f>
        <v/>
      </c>
      <c r="V147" s="44">
        <f>IF($A147="",0,$B147*(TSOFR3M+$H$12/10000+$F147)*$G147/DayBasis)</f>
        <v/>
      </c>
      <c r="W147" s="44">
        <f>IF(OR($A147="",$M$6&lt;&gt;"Y",$O$6=""),0,IF($H147&gt;=$O$6,$B147*(TSOFR3M+$H$6/10000+$F147)*$N$6/DayBasis,0))</f>
        <v/>
      </c>
      <c r="X147" s="44">
        <f>IF(OR($A147="",$M$7&lt;&gt;"Y",$O$7=""),0,IF($H147&gt;=$O$7,$B147*(TSOFR3M+$H$7/10000+$F147)*$N$7/DayBasis,0))</f>
        <v/>
      </c>
      <c r="Y147" s="44">
        <f>IF(OR($A147="",$M$8&lt;&gt;"Y",$O$8=""),0,IF($H147&gt;=$O$8,$B147*(TSOFR3M+$H$8/10000+$F147)*$N$8/DayBasis,0))</f>
        <v/>
      </c>
      <c r="Z147" s="44">
        <f>IF(OR($A147="",$M$9&lt;&gt;"Y",$O$9=""),0,IF($H147&gt;=$O$9,$B147*(TSOFR3M+$H$9/10000+$F147)*$N$9/DayBasis,0))</f>
        <v/>
      </c>
      <c r="AA147" s="44">
        <f>IF(OR($A147="",$M$10&lt;&gt;"Y",$O$10=""),0,IF($H147&gt;=$O$10,$B147*(TSOFR3M+$H$10/10000+$F147)*$N$10/DayBasis,0))</f>
        <v/>
      </c>
      <c r="AB147" s="44">
        <f>IF(OR($A147="",$M$12&lt;&gt;"Y",$O$12=""),0,IF($H147&gt;=$O$12,$B147*(TSOFR3M+$H$12/10000+$F147)*$N$12/DayBasis,0))</f>
        <v/>
      </c>
      <c r="AC147" s="50">
        <f>IF($A147="",0,MIN(1,$C147*$C$39))</f>
        <v/>
      </c>
      <c r="AD147" s="44">
        <f>IF($A147="",0,$B147*IF($I147=1,LGD_LC,MIN(1,LGD+$C$40))*(1-$E147))</f>
        <v/>
      </c>
      <c r="AE147" s="44">
        <f>IF(OR($A147="",$B147&lt;=0,$AC147&lt;=0),0,IF($AC147&gt;=1,$AD147,IF(_xlfn.NORM.S.INV(RAND())*SQRT(1-Rho)+$C$41*SQRT(Rho)&lt;_xlfn.NORM.S.INV($AC147),$AD147,0)))</f>
        <v/>
      </c>
      <c r="AG147" t="n">
        <v>141</v>
      </c>
      <c r="AH147" s="35" t="n">
        <v>0</v>
      </c>
    </row>
    <row r="148">
      <c r="A148" s="7">
        <f>IF('02_Buyers'!$A85="","",'02_Buyers'!$A85)</f>
        <v/>
      </c>
      <c r="B148" s="44">
        <f>IF($A148="",0,'02_Buyers'!$Z85)</f>
        <v/>
      </c>
      <c r="C148" s="50">
        <f>IF($A148="",0,'02_Buyers'!$AM85)</f>
        <v/>
      </c>
      <c r="D148" s="50">
        <f>IF($A148="",0,'02_Buyers'!$AN85)</f>
        <v/>
      </c>
      <c r="E148" s="50">
        <f>IF($A148="",0,'02_Buyers'!$AO85)</f>
        <v/>
      </c>
      <c r="F148" s="50">
        <f>IF($A148="",0,'02_Buyers'!$AP85)</f>
        <v/>
      </c>
      <c r="G148" s="45">
        <f>IF($A148="",0,'02_Buyers'!$V85)</f>
        <v/>
      </c>
      <c r="H148" s="45">
        <f>IF(OR($A148="",'02_Buyers'!$AC85=""),0,'02_Buyers'!$AC85)</f>
        <v/>
      </c>
      <c r="I148" s="45">
        <f>IF($A148="",0,IF(OR('02_Buyers'!$U85="LC_SIGHT",'02_Buyers'!$U85="LC_USANCE"),1,0))</f>
        <v/>
      </c>
      <c r="J148" s="7">
        <f>IF($A148="","",'02_Buyers'!$T85)</f>
        <v/>
      </c>
      <c r="K148" s="44">
        <f>IF($A148="",0,$B148*MIN(1,$C148*$J$6)*IF($I148=1,LGD_LC,MIN(1,LGD+$K$6))*(1-$E148))</f>
        <v/>
      </c>
      <c r="L148" s="44">
        <f>IF($A148="",0,$B148*MIN(1,$C148*$J$7)*IF($I148=1,LGD_LC,MIN(1,LGD+$K$7))*(1-$E148))</f>
        <v/>
      </c>
      <c r="M148" s="44">
        <f>IF($A148="",0,$B148*MIN(1,$C148*$J$8)*IF($I148=1,LGD_LC,MIN(1,LGD+$K$8))*(1-$E148))</f>
        <v/>
      </c>
      <c r="N148" s="44">
        <f>IF($A148="",0,$B148*MIN(1,$C148*$J$9)*IF($I148=1,LGD_LC,MIN(1,LGD+$K$9))*(1-$E148))</f>
        <v/>
      </c>
      <c r="O148" s="44">
        <f>IF($A148="",0,$B148*MIN(1,$C148*$J$10)*IF($I148=1,LGD_LC,MIN(1,LGD+$K$10))*(1-$E148))</f>
        <v/>
      </c>
      <c r="P148" s="44">
        <f>IF($A148="",0,$B148*MIN(1,$C148*$J$12)*IF($I148=1,LGD_LC,MIN(1,LGD+$K$12))*(1-$E148))</f>
        <v/>
      </c>
      <c r="Q148" s="44">
        <f>IF($A148="",0,$B148*(TSOFR3M+$H$6/10000+$F148)*$G148/DayBasis)</f>
        <v/>
      </c>
      <c r="R148" s="44">
        <f>IF($A148="",0,$B148*(TSOFR3M+$H$7/10000+$F148)*$G148/DayBasis)</f>
        <v/>
      </c>
      <c r="S148" s="44">
        <f>IF($A148="",0,$B148*(TSOFR3M+$H$8/10000+$F148)*$G148/DayBasis)</f>
        <v/>
      </c>
      <c r="T148" s="44">
        <f>IF($A148="",0,$B148*(TSOFR3M+$H$9/10000+$F148)*$G148/DayBasis)</f>
        <v/>
      </c>
      <c r="U148" s="44">
        <f>IF($A148="",0,$B148*(TSOFR3M+$H$10/10000+$F148)*$G148/DayBasis)</f>
        <v/>
      </c>
      <c r="V148" s="44">
        <f>IF($A148="",0,$B148*(TSOFR3M+$H$12/10000+$F148)*$G148/DayBasis)</f>
        <v/>
      </c>
      <c r="W148" s="44">
        <f>IF(OR($A148="",$M$6&lt;&gt;"Y",$O$6=""),0,IF($H148&gt;=$O$6,$B148*(TSOFR3M+$H$6/10000+$F148)*$N$6/DayBasis,0))</f>
        <v/>
      </c>
      <c r="X148" s="44">
        <f>IF(OR($A148="",$M$7&lt;&gt;"Y",$O$7=""),0,IF($H148&gt;=$O$7,$B148*(TSOFR3M+$H$7/10000+$F148)*$N$7/DayBasis,0))</f>
        <v/>
      </c>
      <c r="Y148" s="44">
        <f>IF(OR($A148="",$M$8&lt;&gt;"Y",$O$8=""),0,IF($H148&gt;=$O$8,$B148*(TSOFR3M+$H$8/10000+$F148)*$N$8/DayBasis,0))</f>
        <v/>
      </c>
      <c r="Z148" s="44">
        <f>IF(OR($A148="",$M$9&lt;&gt;"Y",$O$9=""),0,IF($H148&gt;=$O$9,$B148*(TSOFR3M+$H$9/10000+$F148)*$N$9/DayBasis,0))</f>
        <v/>
      </c>
      <c r="AA148" s="44">
        <f>IF(OR($A148="",$M$10&lt;&gt;"Y",$O$10=""),0,IF($H148&gt;=$O$10,$B148*(TSOFR3M+$H$10/10000+$F148)*$N$10/DayBasis,0))</f>
        <v/>
      </c>
      <c r="AB148" s="44">
        <f>IF(OR($A148="",$M$12&lt;&gt;"Y",$O$12=""),0,IF($H148&gt;=$O$12,$B148*(TSOFR3M+$H$12/10000+$F148)*$N$12/DayBasis,0))</f>
        <v/>
      </c>
      <c r="AC148" s="50">
        <f>IF($A148="",0,MIN(1,$C148*$C$39))</f>
        <v/>
      </c>
      <c r="AD148" s="44">
        <f>IF($A148="",0,$B148*IF($I148=1,LGD_LC,MIN(1,LGD+$C$40))*(1-$E148))</f>
        <v/>
      </c>
      <c r="AE148" s="44">
        <f>IF(OR($A148="",$B148&lt;=0,$AC148&lt;=0),0,IF($AC148&gt;=1,$AD148,IF(_xlfn.NORM.S.INV(RAND())*SQRT(1-Rho)+$C$41*SQRT(Rho)&lt;_xlfn.NORM.S.INV($AC148),$AD148,0)))</f>
        <v/>
      </c>
      <c r="AG148" t="n">
        <v>142</v>
      </c>
      <c r="AH148" s="35" t="n">
        <v>0</v>
      </c>
    </row>
    <row r="149">
      <c r="A149" s="7">
        <f>IF('02_Buyers'!$A86="","",'02_Buyers'!$A86)</f>
        <v/>
      </c>
      <c r="B149" s="44">
        <f>IF($A149="",0,'02_Buyers'!$Z86)</f>
        <v/>
      </c>
      <c r="C149" s="50">
        <f>IF($A149="",0,'02_Buyers'!$AM86)</f>
        <v/>
      </c>
      <c r="D149" s="50">
        <f>IF($A149="",0,'02_Buyers'!$AN86)</f>
        <v/>
      </c>
      <c r="E149" s="50">
        <f>IF($A149="",0,'02_Buyers'!$AO86)</f>
        <v/>
      </c>
      <c r="F149" s="50">
        <f>IF($A149="",0,'02_Buyers'!$AP86)</f>
        <v/>
      </c>
      <c r="G149" s="45">
        <f>IF($A149="",0,'02_Buyers'!$V86)</f>
        <v/>
      </c>
      <c r="H149" s="45">
        <f>IF(OR($A149="",'02_Buyers'!$AC86=""),0,'02_Buyers'!$AC86)</f>
        <v/>
      </c>
      <c r="I149" s="45">
        <f>IF($A149="",0,IF(OR('02_Buyers'!$U86="LC_SIGHT",'02_Buyers'!$U86="LC_USANCE"),1,0))</f>
        <v/>
      </c>
      <c r="J149" s="7">
        <f>IF($A149="","",'02_Buyers'!$T86)</f>
        <v/>
      </c>
      <c r="K149" s="44">
        <f>IF($A149="",0,$B149*MIN(1,$C149*$J$6)*IF($I149=1,LGD_LC,MIN(1,LGD+$K$6))*(1-$E149))</f>
        <v/>
      </c>
      <c r="L149" s="44">
        <f>IF($A149="",0,$B149*MIN(1,$C149*$J$7)*IF($I149=1,LGD_LC,MIN(1,LGD+$K$7))*(1-$E149))</f>
        <v/>
      </c>
      <c r="M149" s="44">
        <f>IF($A149="",0,$B149*MIN(1,$C149*$J$8)*IF($I149=1,LGD_LC,MIN(1,LGD+$K$8))*(1-$E149))</f>
        <v/>
      </c>
      <c r="N149" s="44">
        <f>IF($A149="",0,$B149*MIN(1,$C149*$J$9)*IF($I149=1,LGD_LC,MIN(1,LGD+$K$9))*(1-$E149))</f>
        <v/>
      </c>
      <c r="O149" s="44">
        <f>IF($A149="",0,$B149*MIN(1,$C149*$J$10)*IF($I149=1,LGD_LC,MIN(1,LGD+$K$10))*(1-$E149))</f>
        <v/>
      </c>
      <c r="P149" s="44">
        <f>IF($A149="",0,$B149*MIN(1,$C149*$J$12)*IF($I149=1,LGD_LC,MIN(1,LGD+$K$12))*(1-$E149))</f>
        <v/>
      </c>
      <c r="Q149" s="44">
        <f>IF($A149="",0,$B149*(TSOFR3M+$H$6/10000+$F149)*$G149/DayBasis)</f>
        <v/>
      </c>
      <c r="R149" s="44">
        <f>IF($A149="",0,$B149*(TSOFR3M+$H$7/10000+$F149)*$G149/DayBasis)</f>
        <v/>
      </c>
      <c r="S149" s="44">
        <f>IF($A149="",0,$B149*(TSOFR3M+$H$8/10000+$F149)*$G149/DayBasis)</f>
        <v/>
      </c>
      <c r="T149" s="44">
        <f>IF($A149="",0,$B149*(TSOFR3M+$H$9/10000+$F149)*$G149/DayBasis)</f>
        <v/>
      </c>
      <c r="U149" s="44">
        <f>IF($A149="",0,$B149*(TSOFR3M+$H$10/10000+$F149)*$G149/DayBasis)</f>
        <v/>
      </c>
      <c r="V149" s="44">
        <f>IF($A149="",0,$B149*(TSOFR3M+$H$12/10000+$F149)*$G149/DayBasis)</f>
        <v/>
      </c>
      <c r="W149" s="44">
        <f>IF(OR($A149="",$M$6&lt;&gt;"Y",$O$6=""),0,IF($H149&gt;=$O$6,$B149*(TSOFR3M+$H$6/10000+$F149)*$N$6/DayBasis,0))</f>
        <v/>
      </c>
      <c r="X149" s="44">
        <f>IF(OR($A149="",$M$7&lt;&gt;"Y",$O$7=""),0,IF($H149&gt;=$O$7,$B149*(TSOFR3M+$H$7/10000+$F149)*$N$7/DayBasis,0))</f>
        <v/>
      </c>
      <c r="Y149" s="44">
        <f>IF(OR($A149="",$M$8&lt;&gt;"Y",$O$8=""),0,IF($H149&gt;=$O$8,$B149*(TSOFR3M+$H$8/10000+$F149)*$N$8/DayBasis,0))</f>
        <v/>
      </c>
      <c r="Z149" s="44">
        <f>IF(OR($A149="",$M$9&lt;&gt;"Y",$O$9=""),0,IF($H149&gt;=$O$9,$B149*(TSOFR3M+$H$9/10000+$F149)*$N$9/DayBasis,0))</f>
        <v/>
      </c>
      <c r="AA149" s="44">
        <f>IF(OR($A149="",$M$10&lt;&gt;"Y",$O$10=""),0,IF($H149&gt;=$O$10,$B149*(TSOFR3M+$H$10/10000+$F149)*$N$10/DayBasis,0))</f>
        <v/>
      </c>
      <c r="AB149" s="44">
        <f>IF(OR($A149="",$M$12&lt;&gt;"Y",$O$12=""),0,IF($H149&gt;=$O$12,$B149*(TSOFR3M+$H$12/10000+$F149)*$N$12/DayBasis,0))</f>
        <v/>
      </c>
      <c r="AC149" s="50">
        <f>IF($A149="",0,MIN(1,$C149*$C$39))</f>
        <v/>
      </c>
      <c r="AD149" s="44">
        <f>IF($A149="",0,$B149*IF($I149=1,LGD_LC,MIN(1,LGD+$C$40))*(1-$E149))</f>
        <v/>
      </c>
      <c r="AE149" s="44">
        <f>IF(OR($A149="",$B149&lt;=0,$AC149&lt;=0),0,IF($AC149&gt;=1,$AD149,IF(_xlfn.NORM.S.INV(RAND())*SQRT(1-Rho)+$C$41*SQRT(Rho)&lt;_xlfn.NORM.S.INV($AC149),$AD149,0)))</f>
        <v/>
      </c>
      <c r="AG149" t="n">
        <v>143</v>
      </c>
      <c r="AH149" s="35" t="n">
        <v>0</v>
      </c>
    </row>
    <row r="150">
      <c r="A150" s="7">
        <f>IF('02_Buyers'!$A87="","",'02_Buyers'!$A87)</f>
        <v/>
      </c>
      <c r="B150" s="44">
        <f>IF($A150="",0,'02_Buyers'!$Z87)</f>
        <v/>
      </c>
      <c r="C150" s="50">
        <f>IF($A150="",0,'02_Buyers'!$AM87)</f>
        <v/>
      </c>
      <c r="D150" s="50">
        <f>IF($A150="",0,'02_Buyers'!$AN87)</f>
        <v/>
      </c>
      <c r="E150" s="50">
        <f>IF($A150="",0,'02_Buyers'!$AO87)</f>
        <v/>
      </c>
      <c r="F150" s="50">
        <f>IF($A150="",0,'02_Buyers'!$AP87)</f>
        <v/>
      </c>
      <c r="G150" s="45">
        <f>IF($A150="",0,'02_Buyers'!$V87)</f>
        <v/>
      </c>
      <c r="H150" s="45">
        <f>IF(OR($A150="",'02_Buyers'!$AC87=""),0,'02_Buyers'!$AC87)</f>
        <v/>
      </c>
      <c r="I150" s="45">
        <f>IF($A150="",0,IF(OR('02_Buyers'!$U87="LC_SIGHT",'02_Buyers'!$U87="LC_USANCE"),1,0))</f>
        <v/>
      </c>
      <c r="J150" s="7">
        <f>IF($A150="","",'02_Buyers'!$T87)</f>
        <v/>
      </c>
      <c r="K150" s="44">
        <f>IF($A150="",0,$B150*MIN(1,$C150*$J$6)*IF($I150=1,LGD_LC,MIN(1,LGD+$K$6))*(1-$E150))</f>
        <v/>
      </c>
      <c r="L150" s="44">
        <f>IF($A150="",0,$B150*MIN(1,$C150*$J$7)*IF($I150=1,LGD_LC,MIN(1,LGD+$K$7))*(1-$E150))</f>
        <v/>
      </c>
      <c r="M150" s="44">
        <f>IF($A150="",0,$B150*MIN(1,$C150*$J$8)*IF($I150=1,LGD_LC,MIN(1,LGD+$K$8))*(1-$E150))</f>
        <v/>
      </c>
      <c r="N150" s="44">
        <f>IF($A150="",0,$B150*MIN(1,$C150*$J$9)*IF($I150=1,LGD_LC,MIN(1,LGD+$K$9))*(1-$E150))</f>
        <v/>
      </c>
      <c r="O150" s="44">
        <f>IF($A150="",0,$B150*MIN(1,$C150*$J$10)*IF($I150=1,LGD_LC,MIN(1,LGD+$K$10))*(1-$E150))</f>
        <v/>
      </c>
      <c r="P150" s="44">
        <f>IF($A150="",0,$B150*MIN(1,$C150*$J$12)*IF($I150=1,LGD_LC,MIN(1,LGD+$K$12))*(1-$E150))</f>
        <v/>
      </c>
      <c r="Q150" s="44">
        <f>IF($A150="",0,$B150*(TSOFR3M+$H$6/10000+$F150)*$G150/DayBasis)</f>
        <v/>
      </c>
      <c r="R150" s="44">
        <f>IF($A150="",0,$B150*(TSOFR3M+$H$7/10000+$F150)*$G150/DayBasis)</f>
        <v/>
      </c>
      <c r="S150" s="44">
        <f>IF($A150="",0,$B150*(TSOFR3M+$H$8/10000+$F150)*$G150/DayBasis)</f>
        <v/>
      </c>
      <c r="T150" s="44">
        <f>IF($A150="",0,$B150*(TSOFR3M+$H$9/10000+$F150)*$G150/DayBasis)</f>
        <v/>
      </c>
      <c r="U150" s="44">
        <f>IF($A150="",0,$B150*(TSOFR3M+$H$10/10000+$F150)*$G150/DayBasis)</f>
        <v/>
      </c>
      <c r="V150" s="44">
        <f>IF($A150="",0,$B150*(TSOFR3M+$H$12/10000+$F150)*$G150/DayBasis)</f>
        <v/>
      </c>
      <c r="W150" s="44">
        <f>IF(OR($A150="",$M$6&lt;&gt;"Y",$O$6=""),0,IF($H150&gt;=$O$6,$B150*(TSOFR3M+$H$6/10000+$F150)*$N$6/DayBasis,0))</f>
        <v/>
      </c>
      <c r="X150" s="44">
        <f>IF(OR($A150="",$M$7&lt;&gt;"Y",$O$7=""),0,IF($H150&gt;=$O$7,$B150*(TSOFR3M+$H$7/10000+$F150)*$N$7/DayBasis,0))</f>
        <v/>
      </c>
      <c r="Y150" s="44">
        <f>IF(OR($A150="",$M$8&lt;&gt;"Y",$O$8=""),0,IF($H150&gt;=$O$8,$B150*(TSOFR3M+$H$8/10000+$F150)*$N$8/DayBasis,0))</f>
        <v/>
      </c>
      <c r="Z150" s="44">
        <f>IF(OR($A150="",$M$9&lt;&gt;"Y",$O$9=""),0,IF($H150&gt;=$O$9,$B150*(TSOFR3M+$H$9/10000+$F150)*$N$9/DayBasis,0))</f>
        <v/>
      </c>
      <c r="AA150" s="44">
        <f>IF(OR($A150="",$M$10&lt;&gt;"Y",$O$10=""),0,IF($H150&gt;=$O$10,$B150*(TSOFR3M+$H$10/10000+$F150)*$N$10/DayBasis,0))</f>
        <v/>
      </c>
      <c r="AB150" s="44">
        <f>IF(OR($A150="",$M$12&lt;&gt;"Y",$O$12=""),0,IF($H150&gt;=$O$12,$B150*(TSOFR3M+$H$12/10000+$F150)*$N$12/DayBasis,0))</f>
        <v/>
      </c>
      <c r="AC150" s="50">
        <f>IF($A150="",0,MIN(1,$C150*$C$39))</f>
        <v/>
      </c>
      <c r="AD150" s="44">
        <f>IF($A150="",0,$B150*IF($I150=1,LGD_LC,MIN(1,LGD+$C$40))*(1-$E150))</f>
        <v/>
      </c>
      <c r="AE150" s="44">
        <f>IF(OR($A150="",$B150&lt;=0,$AC150&lt;=0),0,IF($AC150&gt;=1,$AD150,IF(_xlfn.NORM.S.INV(RAND())*SQRT(1-Rho)+$C$41*SQRT(Rho)&lt;_xlfn.NORM.S.INV($AC150),$AD150,0)))</f>
        <v/>
      </c>
      <c r="AG150" t="n">
        <v>144</v>
      </c>
      <c r="AH150" s="35" t="n">
        <v>0</v>
      </c>
    </row>
    <row r="151">
      <c r="A151" s="7">
        <f>IF('02_Buyers'!$A88="","",'02_Buyers'!$A88)</f>
        <v/>
      </c>
      <c r="B151" s="44">
        <f>IF($A151="",0,'02_Buyers'!$Z88)</f>
        <v/>
      </c>
      <c r="C151" s="50">
        <f>IF($A151="",0,'02_Buyers'!$AM88)</f>
        <v/>
      </c>
      <c r="D151" s="50">
        <f>IF($A151="",0,'02_Buyers'!$AN88)</f>
        <v/>
      </c>
      <c r="E151" s="50">
        <f>IF($A151="",0,'02_Buyers'!$AO88)</f>
        <v/>
      </c>
      <c r="F151" s="50">
        <f>IF($A151="",0,'02_Buyers'!$AP88)</f>
        <v/>
      </c>
      <c r="G151" s="45">
        <f>IF($A151="",0,'02_Buyers'!$V88)</f>
        <v/>
      </c>
      <c r="H151" s="45">
        <f>IF(OR($A151="",'02_Buyers'!$AC88=""),0,'02_Buyers'!$AC88)</f>
        <v/>
      </c>
      <c r="I151" s="45">
        <f>IF($A151="",0,IF(OR('02_Buyers'!$U88="LC_SIGHT",'02_Buyers'!$U88="LC_USANCE"),1,0))</f>
        <v/>
      </c>
      <c r="J151" s="7">
        <f>IF($A151="","",'02_Buyers'!$T88)</f>
        <v/>
      </c>
      <c r="K151" s="44">
        <f>IF($A151="",0,$B151*MIN(1,$C151*$J$6)*IF($I151=1,LGD_LC,MIN(1,LGD+$K$6))*(1-$E151))</f>
        <v/>
      </c>
      <c r="L151" s="44">
        <f>IF($A151="",0,$B151*MIN(1,$C151*$J$7)*IF($I151=1,LGD_LC,MIN(1,LGD+$K$7))*(1-$E151))</f>
        <v/>
      </c>
      <c r="M151" s="44">
        <f>IF($A151="",0,$B151*MIN(1,$C151*$J$8)*IF($I151=1,LGD_LC,MIN(1,LGD+$K$8))*(1-$E151))</f>
        <v/>
      </c>
      <c r="N151" s="44">
        <f>IF($A151="",0,$B151*MIN(1,$C151*$J$9)*IF($I151=1,LGD_LC,MIN(1,LGD+$K$9))*(1-$E151))</f>
        <v/>
      </c>
      <c r="O151" s="44">
        <f>IF($A151="",0,$B151*MIN(1,$C151*$J$10)*IF($I151=1,LGD_LC,MIN(1,LGD+$K$10))*(1-$E151))</f>
        <v/>
      </c>
      <c r="P151" s="44">
        <f>IF($A151="",0,$B151*MIN(1,$C151*$J$12)*IF($I151=1,LGD_LC,MIN(1,LGD+$K$12))*(1-$E151))</f>
        <v/>
      </c>
      <c r="Q151" s="44">
        <f>IF($A151="",0,$B151*(TSOFR3M+$H$6/10000+$F151)*$G151/DayBasis)</f>
        <v/>
      </c>
      <c r="R151" s="44">
        <f>IF($A151="",0,$B151*(TSOFR3M+$H$7/10000+$F151)*$G151/DayBasis)</f>
        <v/>
      </c>
      <c r="S151" s="44">
        <f>IF($A151="",0,$B151*(TSOFR3M+$H$8/10000+$F151)*$G151/DayBasis)</f>
        <v/>
      </c>
      <c r="T151" s="44">
        <f>IF($A151="",0,$B151*(TSOFR3M+$H$9/10000+$F151)*$G151/DayBasis)</f>
        <v/>
      </c>
      <c r="U151" s="44">
        <f>IF($A151="",0,$B151*(TSOFR3M+$H$10/10000+$F151)*$G151/DayBasis)</f>
        <v/>
      </c>
      <c r="V151" s="44">
        <f>IF($A151="",0,$B151*(TSOFR3M+$H$12/10000+$F151)*$G151/DayBasis)</f>
        <v/>
      </c>
      <c r="W151" s="44">
        <f>IF(OR($A151="",$M$6&lt;&gt;"Y",$O$6=""),0,IF($H151&gt;=$O$6,$B151*(TSOFR3M+$H$6/10000+$F151)*$N$6/DayBasis,0))</f>
        <v/>
      </c>
      <c r="X151" s="44">
        <f>IF(OR($A151="",$M$7&lt;&gt;"Y",$O$7=""),0,IF($H151&gt;=$O$7,$B151*(TSOFR3M+$H$7/10000+$F151)*$N$7/DayBasis,0))</f>
        <v/>
      </c>
      <c r="Y151" s="44">
        <f>IF(OR($A151="",$M$8&lt;&gt;"Y",$O$8=""),0,IF($H151&gt;=$O$8,$B151*(TSOFR3M+$H$8/10000+$F151)*$N$8/DayBasis,0))</f>
        <v/>
      </c>
      <c r="Z151" s="44">
        <f>IF(OR($A151="",$M$9&lt;&gt;"Y",$O$9=""),0,IF($H151&gt;=$O$9,$B151*(TSOFR3M+$H$9/10000+$F151)*$N$9/DayBasis,0))</f>
        <v/>
      </c>
      <c r="AA151" s="44">
        <f>IF(OR($A151="",$M$10&lt;&gt;"Y",$O$10=""),0,IF($H151&gt;=$O$10,$B151*(TSOFR3M+$H$10/10000+$F151)*$N$10/DayBasis,0))</f>
        <v/>
      </c>
      <c r="AB151" s="44">
        <f>IF(OR($A151="",$M$12&lt;&gt;"Y",$O$12=""),0,IF($H151&gt;=$O$12,$B151*(TSOFR3M+$H$12/10000+$F151)*$N$12/DayBasis,0))</f>
        <v/>
      </c>
      <c r="AC151" s="50">
        <f>IF($A151="",0,MIN(1,$C151*$C$39))</f>
        <v/>
      </c>
      <c r="AD151" s="44">
        <f>IF($A151="",0,$B151*IF($I151=1,LGD_LC,MIN(1,LGD+$C$40))*(1-$E151))</f>
        <v/>
      </c>
      <c r="AE151" s="44">
        <f>IF(OR($A151="",$B151&lt;=0,$AC151&lt;=0),0,IF($AC151&gt;=1,$AD151,IF(_xlfn.NORM.S.INV(RAND())*SQRT(1-Rho)+$C$41*SQRT(Rho)&lt;_xlfn.NORM.S.INV($AC151),$AD151,0)))</f>
        <v/>
      </c>
      <c r="AG151" t="n">
        <v>145</v>
      </c>
      <c r="AH151" s="35" t="n">
        <v>0</v>
      </c>
    </row>
    <row r="152">
      <c r="A152" s="7">
        <f>IF('02_Buyers'!$A89="","",'02_Buyers'!$A89)</f>
        <v/>
      </c>
      <c r="B152" s="44">
        <f>IF($A152="",0,'02_Buyers'!$Z89)</f>
        <v/>
      </c>
      <c r="C152" s="50">
        <f>IF($A152="",0,'02_Buyers'!$AM89)</f>
        <v/>
      </c>
      <c r="D152" s="50">
        <f>IF($A152="",0,'02_Buyers'!$AN89)</f>
        <v/>
      </c>
      <c r="E152" s="50">
        <f>IF($A152="",0,'02_Buyers'!$AO89)</f>
        <v/>
      </c>
      <c r="F152" s="50">
        <f>IF($A152="",0,'02_Buyers'!$AP89)</f>
        <v/>
      </c>
      <c r="G152" s="45">
        <f>IF($A152="",0,'02_Buyers'!$V89)</f>
        <v/>
      </c>
      <c r="H152" s="45">
        <f>IF(OR($A152="",'02_Buyers'!$AC89=""),0,'02_Buyers'!$AC89)</f>
        <v/>
      </c>
      <c r="I152" s="45">
        <f>IF($A152="",0,IF(OR('02_Buyers'!$U89="LC_SIGHT",'02_Buyers'!$U89="LC_USANCE"),1,0))</f>
        <v/>
      </c>
      <c r="J152" s="7">
        <f>IF($A152="","",'02_Buyers'!$T89)</f>
        <v/>
      </c>
      <c r="K152" s="44">
        <f>IF($A152="",0,$B152*MIN(1,$C152*$J$6)*IF($I152=1,LGD_LC,MIN(1,LGD+$K$6))*(1-$E152))</f>
        <v/>
      </c>
      <c r="L152" s="44">
        <f>IF($A152="",0,$B152*MIN(1,$C152*$J$7)*IF($I152=1,LGD_LC,MIN(1,LGD+$K$7))*(1-$E152))</f>
        <v/>
      </c>
      <c r="M152" s="44">
        <f>IF($A152="",0,$B152*MIN(1,$C152*$J$8)*IF($I152=1,LGD_LC,MIN(1,LGD+$K$8))*(1-$E152))</f>
        <v/>
      </c>
      <c r="N152" s="44">
        <f>IF($A152="",0,$B152*MIN(1,$C152*$J$9)*IF($I152=1,LGD_LC,MIN(1,LGD+$K$9))*(1-$E152))</f>
        <v/>
      </c>
      <c r="O152" s="44">
        <f>IF($A152="",0,$B152*MIN(1,$C152*$J$10)*IF($I152=1,LGD_LC,MIN(1,LGD+$K$10))*(1-$E152))</f>
        <v/>
      </c>
      <c r="P152" s="44">
        <f>IF($A152="",0,$B152*MIN(1,$C152*$J$12)*IF($I152=1,LGD_LC,MIN(1,LGD+$K$12))*(1-$E152))</f>
        <v/>
      </c>
      <c r="Q152" s="44">
        <f>IF($A152="",0,$B152*(TSOFR3M+$H$6/10000+$F152)*$G152/DayBasis)</f>
        <v/>
      </c>
      <c r="R152" s="44">
        <f>IF($A152="",0,$B152*(TSOFR3M+$H$7/10000+$F152)*$G152/DayBasis)</f>
        <v/>
      </c>
      <c r="S152" s="44">
        <f>IF($A152="",0,$B152*(TSOFR3M+$H$8/10000+$F152)*$G152/DayBasis)</f>
        <v/>
      </c>
      <c r="T152" s="44">
        <f>IF($A152="",0,$B152*(TSOFR3M+$H$9/10000+$F152)*$G152/DayBasis)</f>
        <v/>
      </c>
      <c r="U152" s="44">
        <f>IF($A152="",0,$B152*(TSOFR3M+$H$10/10000+$F152)*$G152/DayBasis)</f>
        <v/>
      </c>
      <c r="V152" s="44">
        <f>IF($A152="",0,$B152*(TSOFR3M+$H$12/10000+$F152)*$G152/DayBasis)</f>
        <v/>
      </c>
      <c r="W152" s="44">
        <f>IF(OR($A152="",$M$6&lt;&gt;"Y",$O$6=""),0,IF($H152&gt;=$O$6,$B152*(TSOFR3M+$H$6/10000+$F152)*$N$6/DayBasis,0))</f>
        <v/>
      </c>
      <c r="X152" s="44">
        <f>IF(OR($A152="",$M$7&lt;&gt;"Y",$O$7=""),0,IF($H152&gt;=$O$7,$B152*(TSOFR3M+$H$7/10000+$F152)*$N$7/DayBasis,0))</f>
        <v/>
      </c>
      <c r="Y152" s="44">
        <f>IF(OR($A152="",$M$8&lt;&gt;"Y",$O$8=""),0,IF($H152&gt;=$O$8,$B152*(TSOFR3M+$H$8/10000+$F152)*$N$8/DayBasis,0))</f>
        <v/>
      </c>
      <c r="Z152" s="44">
        <f>IF(OR($A152="",$M$9&lt;&gt;"Y",$O$9=""),0,IF($H152&gt;=$O$9,$B152*(TSOFR3M+$H$9/10000+$F152)*$N$9/DayBasis,0))</f>
        <v/>
      </c>
      <c r="AA152" s="44">
        <f>IF(OR($A152="",$M$10&lt;&gt;"Y",$O$10=""),0,IF($H152&gt;=$O$10,$B152*(TSOFR3M+$H$10/10000+$F152)*$N$10/DayBasis,0))</f>
        <v/>
      </c>
      <c r="AB152" s="44">
        <f>IF(OR($A152="",$M$12&lt;&gt;"Y",$O$12=""),0,IF($H152&gt;=$O$12,$B152*(TSOFR3M+$H$12/10000+$F152)*$N$12/DayBasis,0))</f>
        <v/>
      </c>
      <c r="AC152" s="50">
        <f>IF($A152="",0,MIN(1,$C152*$C$39))</f>
        <v/>
      </c>
      <c r="AD152" s="44">
        <f>IF($A152="",0,$B152*IF($I152=1,LGD_LC,MIN(1,LGD+$C$40))*(1-$E152))</f>
        <v/>
      </c>
      <c r="AE152" s="44">
        <f>IF(OR($A152="",$B152&lt;=0,$AC152&lt;=0),0,IF($AC152&gt;=1,$AD152,IF(_xlfn.NORM.S.INV(RAND())*SQRT(1-Rho)+$C$41*SQRT(Rho)&lt;_xlfn.NORM.S.INV($AC152),$AD152,0)))</f>
        <v/>
      </c>
      <c r="AG152" t="n">
        <v>146</v>
      </c>
      <c r="AH152" s="35" t="n">
        <v>0</v>
      </c>
    </row>
    <row r="153">
      <c r="A153" s="7">
        <f>IF('02_Buyers'!$A90="","",'02_Buyers'!$A90)</f>
        <v/>
      </c>
      <c r="B153" s="44">
        <f>IF($A153="",0,'02_Buyers'!$Z90)</f>
        <v/>
      </c>
      <c r="C153" s="50">
        <f>IF($A153="",0,'02_Buyers'!$AM90)</f>
        <v/>
      </c>
      <c r="D153" s="50">
        <f>IF($A153="",0,'02_Buyers'!$AN90)</f>
        <v/>
      </c>
      <c r="E153" s="50">
        <f>IF($A153="",0,'02_Buyers'!$AO90)</f>
        <v/>
      </c>
      <c r="F153" s="50">
        <f>IF($A153="",0,'02_Buyers'!$AP90)</f>
        <v/>
      </c>
      <c r="G153" s="45">
        <f>IF($A153="",0,'02_Buyers'!$V90)</f>
        <v/>
      </c>
      <c r="H153" s="45">
        <f>IF(OR($A153="",'02_Buyers'!$AC90=""),0,'02_Buyers'!$AC90)</f>
        <v/>
      </c>
      <c r="I153" s="45">
        <f>IF($A153="",0,IF(OR('02_Buyers'!$U90="LC_SIGHT",'02_Buyers'!$U90="LC_USANCE"),1,0))</f>
        <v/>
      </c>
      <c r="J153" s="7">
        <f>IF($A153="","",'02_Buyers'!$T90)</f>
        <v/>
      </c>
      <c r="K153" s="44">
        <f>IF($A153="",0,$B153*MIN(1,$C153*$J$6)*IF($I153=1,LGD_LC,MIN(1,LGD+$K$6))*(1-$E153))</f>
        <v/>
      </c>
      <c r="L153" s="44">
        <f>IF($A153="",0,$B153*MIN(1,$C153*$J$7)*IF($I153=1,LGD_LC,MIN(1,LGD+$K$7))*(1-$E153))</f>
        <v/>
      </c>
      <c r="M153" s="44">
        <f>IF($A153="",0,$B153*MIN(1,$C153*$J$8)*IF($I153=1,LGD_LC,MIN(1,LGD+$K$8))*(1-$E153))</f>
        <v/>
      </c>
      <c r="N153" s="44">
        <f>IF($A153="",0,$B153*MIN(1,$C153*$J$9)*IF($I153=1,LGD_LC,MIN(1,LGD+$K$9))*(1-$E153))</f>
        <v/>
      </c>
      <c r="O153" s="44">
        <f>IF($A153="",0,$B153*MIN(1,$C153*$J$10)*IF($I153=1,LGD_LC,MIN(1,LGD+$K$10))*(1-$E153))</f>
        <v/>
      </c>
      <c r="P153" s="44">
        <f>IF($A153="",0,$B153*MIN(1,$C153*$J$12)*IF($I153=1,LGD_LC,MIN(1,LGD+$K$12))*(1-$E153))</f>
        <v/>
      </c>
      <c r="Q153" s="44">
        <f>IF($A153="",0,$B153*(TSOFR3M+$H$6/10000+$F153)*$G153/DayBasis)</f>
        <v/>
      </c>
      <c r="R153" s="44">
        <f>IF($A153="",0,$B153*(TSOFR3M+$H$7/10000+$F153)*$G153/DayBasis)</f>
        <v/>
      </c>
      <c r="S153" s="44">
        <f>IF($A153="",0,$B153*(TSOFR3M+$H$8/10000+$F153)*$G153/DayBasis)</f>
        <v/>
      </c>
      <c r="T153" s="44">
        <f>IF($A153="",0,$B153*(TSOFR3M+$H$9/10000+$F153)*$G153/DayBasis)</f>
        <v/>
      </c>
      <c r="U153" s="44">
        <f>IF($A153="",0,$B153*(TSOFR3M+$H$10/10000+$F153)*$G153/DayBasis)</f>
        <v/>
      </c>
      <c r="V153" s="44">
        <f>IF($A153="",0,$B153*(TSOFR3M+$H$12/10000+$F153)*$G153/DayBasis)</f>
        <v/>
      </c>
      <c r="W153" s="44">
        <f>IF(OR($A153="",$M$6&lt;&gt;"Y",$O$6=""),0,IF($H153&gt;=$O$6,$B153*(TSOFR3M+$H$6/10000+$F153)*$N$6/DayBasis,0))</f>
        <v/>
      </c>
      <c r="X153" s="44">
        <f>IF(OR($A153="",$M$7&lt;&gt;"Y",$O$7=""),0,IF($H153&gt;=$O$7,$B153*(TSOFR3M+$H$7/10000+$F153)*$N$7/DayBasis,0))</f>
        <v/>
      </c>
      <c r="Y153" s="44">
        <f>IF(OR($A153="",$M$8&lt;&gt;"Y",$O$8=""),0,IF($H153&gt;=$O$8,$B153*(TSOFR3M+$H$8/10000+$F153)*$N$8/DayBasis,0))</f>
        <v/>
      </c>
      <c r="Z153" s="44">
        <f>IF(OR($A153="",$M$9&lt;&gt;"Y",$O$9=""),0,IF($H153&gt;=$O$9,$B153*(TSOFR3M+$H$9/10000+$F153)*$N$9/DayBasis,0))</f>
        <v/>
      </c>
      <c r="AA153" s="44">
        <f>IF(OR($A153="",$M$10&lt;&gt;"Y",$O$10=""),0,IF($H153&gt;=$O$10,$B153*(TSOFR3M+$H$10/10000+$F153)*$N$10/DayBasis,0))</f>
        <v/>
      </c>
      <c r="AB153" s="44">
        <f>IF(OR($A153="",$M$12&lt;&gt;"Y",$O$12=""),0,IF($H153&gt;=$O$12,$B153*(TSOFR3M+$H$12/10000+$F153)*$N$12/DayBasis,0))</f>
        <v/>
      </c>
      <c r="AC153" s="50">
        <f>IF($A153="",0,MIN(1,$C153*$C$39))</f>
        <v/>
      </c>
      <c r="AD153" s="44">
        <f>IF($A153="",0,$B153*IF($I153=1,LGD_LC,MIN(1,LGD+$C$40))*(1-$E153))</f>
        <v/>
      </c>
      <c r="AE153" s="44">
        <f>IF(OR($A153="",$B153&lt;=0,$AC153&lt;=0),0,IF($AC153&gt;=1,$AD153,IF(_xlfn.NORM.S.INV(RAND())*SQRT(1-Rho)+$C$41*SQRT(Rho)&lt;_xlfn.NORM.S.INV($AC153),$AD153,0)))</f>
        <v/>
      </c>
      <c r="AG153" t="n">
        <v>147</v>
      </c>
      <c r="AH153" s="35" t="n">
        <v>0</v>
      </c>
    </row>
    <row r="154">
      <c r="A154" s="7">
        <f>IF('02_Buyers'!$A91="","",'02_Buyers'!$A91)</f>
        <v/>
      </c>
      <c r="B154" s="44">
        <f>IF($A154="",0,'02_Buyers'!$Z91)</f>
        <v/>
      </c>
      <c r="C154" s="50">
        <f>IF($A154="",0,'02_Buyers'!$AM91)</f>
        <v/>
      </c>
      <c r="D154" s="50">
        <f>IF($A154="",0,'02_Buyers'!$AN91)</f>
        <v/>
      </c>
      <c r="E154" s="50">
        <f>IF($A154="",0,'02_Buyers'!$AO91)</f>
        <v/>
      </c>
      <c r="F154" s="50">
        <f>IF($A154="",0,'02_Buyers'!$AP91)</f>
        <v/>
      </c>
      <c r="G154" s="45">
        <f>IF($A154="",0,'02_Buyers'!$V91)</f>
        <v/>
      </c>
      <c r="H154" s="45">
        <f>IF(OR($A154="",'02_Buyers'!$AC91=""),0,'02_Buyers'!$AC91)</f>
        <v/>
      </c>
      <c r="I154" s="45">
        <f>IF($A154="",0,IF(OR('02_Buyers'!$U91="LC_SIGHT",'02_Buyers'!$U91="LC_USANCE"),1,0))</f>
        <v/>
      </c>
      <c r="J154" s="7">
        <f>IF($A154="","",'02_Buyers'!$T91)</f>
        <v/>
      </c>
      <c r="K154" s="44">
        <f>IF($A154="",0,$B154*MIN(1,$C154*$J$6)*IF($I154=1,LGD_LC,MIN(1,LGD+$K$6))*(1-$E154))</f>
        <v/>
      </c>
      <c r="L154" s="44">
        <f>IF($A154="",0,$B154*MIN(1,$C154*$J$7)*IF($I154=1,LGD_LC,MIN(1,LGD+$K$7))*(1-$E154))</f>
        <v/>
      </c>
      <c r="M154" s="44">
        <f>IF($A154="",0,$B154*MIN(1,$C154*$J$8)*IF($I154=1,LGD_LC,MIN(1,LGD+$K$8))*(1-$E154))</f>
        <v/>
      </c>
      <c r="N154" s="44">
        <f>IF($A154="",0,$B154*MIN(1,$C154*$J$9)*IF($I154=1,LGD_LC,MIN(1,LGD+$K$9))*(1-$E154))</f>
        <v/>
      </c>
      <c r="O154" s="44">
        <f>IF($A154="",0,$B154*MIN(1,$C154*$J$10)*IF($I154=1,LGD_LC,MIN(1,LGD+$K$10))*(1-$E154))</f>
        <v/>
      </c>
      <c r="P154" s="44">
        <f>IF($A154="",0,$B154*MIN(1,$C154*$J$12)*IF($I154=1,LGD_LC,MIN(1,LGD+$K$12))*(1-$E154))</f>
        <v/>
      </c>
      <c r="Q154" s="44">
        <f>IF($A154="",0,$B154*(TSOFR3M+$H$6/10000+$F154)*$G154/DayBasis)</f>
        <v/>
      </c>
      <c r="R154" s="44">
        <f>IF($A154="",0,$B154*(TSOFR3M+$H$7/10000+$F154)*$G154/DayBasis)</f>
        <v/>
      </c>
      <c r="S154" s="44">
        <f>IF($A154="",0,$B154*(TSOFR3M+$H$8/10000+$F154)*$G154/DayBasis)</f>
        <v/>
      </c>
      <c r="T154" s="44">
        <f>IF($A154="",0,$B154*(TSOFR3M+$H$9/10000+$F154)*$G154/DayBasis)</f>
        <v/>
      </c>
      <c r="U154" s="44">
        <f>IF($A154="",0,$B154*(TSOFR3M+$H$10/10000+$F154)*$G154/DayBasis)</f>
        <v/>
      </c>
      <c r="V154" s="44">
        <f>IF($A154="",0,$B154*(TSOFR3M+$H$12/10000+$F154)*$G154/DayBasis)</f>
        <v/>
      </c>
      <c r="W154" s="44">
        <f>IF(OR($A154="",$M$6&lt;&gt;"Y",$O$6=""),0,IF($H154&gt;=$O$6,$B154*(TSOFR3M+$H$6/10000+$F154)*$N$6/DayBasis,0))</f>
        <v/>
      </c>
      <c r="X154" s="44">
        <f>IF(OR($A154="",$M$7&lt;&gt;"Y",$O$7=""),0,IF($H154&gt;=$O$7,$B154*(TSOFR3M+$H$7/10000+$F154)*$N$7/DayBasis,0))</f>
        <v/>
      </c>
      <c r="Y154" s="44">
        <f>IF(OR($A154="",$M$8&lt;&gt;"Y",$O$8=""),0,IF($H154&gt;=$O$8,$B154*(TSOFR3M+$H$8/10000+$F154)*$N$8/DayBasis,0))</f>
        <v/>
      </c>
      <c r="Z154" s="44">
        <f>IF(OR($A154="",$M$9&lt;&gt;"Y",$O$9=""),0,IF($H154&gt;=$O$9,$B154*(TSOFR3M+$H$9/10000+$F154)*$N$9/DayBasis,0))</f>
        <v/>
      </c>
      <c r="AA154" s="44">
        <f>IF(OR($A154="",$M$10&lt;&gt;"Y",$O$10=""),0,IF($H154&gt;=$O$10,$B154*(TSOFR3M+$H$10/10000+$F154)*$N$10/DayBasis,0))</f>
        <v/>
      </c>
      <c r="AB154" s="44">
        <f>IF(OR($A154="",$M$12&lt;&gt;"Y",$O$12=""),0,IF($H154&gt;=$O$12,$B154*(TSOFR3M+$H$12/10000+$F154)*$N$12/DayBasis,0))</f>
        <v/>
      </c>
      <c r="AC154" s="50">
        <f>IF($A154="",0,MIN(1,$C154*$C$39))</f>
        <v/>
      </c>
      <c r="AD154" s="44">
        <f>IF($A154="",0,$B154*IF($I154=1,LGD_LC,MIN(1,LGD+$C$40))*(1-$E154))</f>
        <v/>
      </c>
      <c r="AE154" s="44">
        <f>IF(OR($A154="",$B154&lt;=0,$AC154&lt;=0),0,IF($AC154&gt;=1,$AD154,IF(_xlfn.NORM.S.INV(RAND())*SQRT(1-Rho)+$C$41*SQRT(Rho)&lt;_xlfn.NORM.S.INV($AC154),$AD154,0)))</f>
        <v/>
      </c>
      <c r="AG154" t="n">
        <v>148</v>
      </c>
      <c r="AH154" s="35" t="n">
        <v>0</v>
      </c>
    </row>
    <row r="155">
      <c r="A155" s="7">
        <f>IF('02_Buyers'!$A92="","",'02_Buyers'!$A92)</f>
        <v/>
      </c>
      <c r="B155" s="44">
        <f>IF($A155="",0,'02_Buyers'!$Z92)</f>
        <v/>
      </c>
      <c r="C155" s="50">
        <f>IF($A155="",0,'02_Buyers'!$AM92)</f>
        <v/>
      </c>
      <c r="D155" s="50">
        <f>IF($A155="",0,'02_Buyers'!$AN92)</f>
        <v/>
      </c>
      <c r="E155" s="50">
        <f>IF($A155="",0,'02_Buyers'!$AO92)</f>
        <v/>
      </c>
      <c r="F155" s="50">
        <f>IF($A155="",0,'02_Buyers'!$AP92)</f>
        <v/>
      </c>
      <c r="G155" s="45">
        <f>IF($A155="",0,'02_Buyers'!$V92)</f>
        <v/>
      </c>
      <c r="H155" s="45">
        <f>IF(OR($A155="",'02_Buyers'!$AC92=""),0,'02_Buyers'!$AC92)</f>
        <v/>
      </c>
      <c r="I155" s="45">
        <f>IF($A155="",0,IF(OR('02_Buyers'!$U92="LC_SIGHT",'02_Buyers'!$U92="LC_USANCE"),1,0))</f>
        <v/>
      </c>
      <c r="J155" s="7">
        <f>IF($A155="","",'02_Buyers'!$T92)</f>
        <v/>
      </c>
      <c r="K155" s="44">
        <f>IF($A155="",0,$B155*MIN(1,$C155*$J$6)*IF($I155=1,LGD_LC,MIN(1,LGD+$K$6))*(1-$E155))</f>
        <v/>
      </c>
      <c r="L155" s="44">
        <f>IF($A155="",0,$B155*MIN(1,$C155*$J$7)*IF($I155=1,LGD_LC,MIN(1,LGD+$K$7))*(1-$E155))</f>
        <v/>
      </c>
      <c r="M155" s="44">
        <f>IF($A155="",0,$B155*MIN(1,$C155*$J$8)*IF($I155=1,LGD_LC,MIN(1,LGD+$K$8))*(1-$E155))</f>
        <v/>
      </c>
      <c r="N155" s="44">
        <f>IF($A155="",0,$B155*MIN(1,$C155*$J$9)*IF($I155=1,LGD_LC,MIN(1,LGD+$K$9))*(1-$E155))</f>
        <v/>
      </c>
      <c r="O155" s="44">
        <f>IF($A155="",0,$B155*MIN(1,$C155*$J$10)*IF($I155=1,LGD_LC,MIN(1,LGD+$K$10))*(1-$E155))</f>
        <v/>
      </c>
      <c r="P155" s="44">
        <f>IF($A155="",0,$B155*MIN(1,$C155*$J$12)*IF($I155=1,LGD_LC,MIN(1,LGD+$K$12))*(1-$E155))</f>
        <v/>
      </c>
      <c r="Q155" s="44">
        <f>IF($A155="",0,$B155*(TSOFR3M+$H$6/10000+$F155)*$G155/DayBasis)</f>
        <v/>
      </c>
      <c r="R155" s="44">
        <f>IF($A155="",0,$B155*(TSOFR3M+$H$7/10000+$F155)*$G155/DayBasis)</f>
        <v/>
      </c>
      <c r="S155" s="44">
        <f>IF($A155="",0,$B155*(TSOFR3M+$H$8/10000+$F155)*$G155/DayBasis)</f>
        <v/>
      </c>
      <c r="T155" s="44">
        <f>IF($A155="",0,$B155*(TSOFR3M+$H$9/10000+$F155)*$G155/DayBasis)</f>
        <v/>
      </c>
      <c r="U155" s="44">
        <f>IF($A155="",0,$B155*(TSOFR3M+$H$10/10000+$F155)*$G155/DayBasis)</f>
        <v/>
      </c>
      <c r="V155" s="44">
        <f>IF($A155="",0,$B155*(TSOFR3M+$H$12/10000+$F155)*$G155/DayBasis)</f>
        <v/>
      </c>
      <c r="W155" s="44">
        <f>IF(OR($A155="",$M$6&lt;&gt;"Y",$O$6=""),0,IF($H155&gt;=$O$6,$B155*(TSOFR3M+$H$6/10000+$F155)*$N$6/DayBasis,0))</f>
        <v/>
      </c>
      <c r="X155" s="44">
        <f>IF(OR($A155="",$M$7&lt;&gt;"Y",$O$7=""),0,IF($H155&gt;=$O$7,$B155*(TSOFR3M+$H$7/10000+$F155)*$N$7/DayBasis,0))</f>
        <v/>
      </c>
      <c r="Y155" s="44">
        <f>IF(OR($A155="",$M$8&lt;&gt;"Y",$O$8=""),0,IF($H155&gt;=$O$8,$B155*(TSOFR3M+$H$8/10000+$F155)*$N$8/DayBasis,0))</f>
        <v/>
      </c>
      <c r="Z155" s="44">
        <f>IF(OR($A155="",$M$9&lt;&gt;"Y",$O$9=""),0,IF($H155&gt;=$O$9,$B155*(TSOFR3M+$H$9/10000+$F155)*$N$9/DayBasis,0))</f>
        <v/>
      </c>
      <c r="AA155" s="44">
        <f>IF(OR($A155="",$M$10&lt;&gt;"Y",$O$10=""),0,IF($H155&gt;=$O$10,$B155*(TSOFR3M+$H$10/10000+$F155)*$N$10/DayBasis,0))</f>
        <v/>
      </c>
      <c r="AB155" s="44">
        <f>IF(OR($A155="",$M$12&lt;&gt;"Y",$O$12=""),0,IF($H155&gt;=$O$12,$B155*(TSOFR3M+$H$12/10000+$F155)*$N$12/DayBasis,0))</f>
        <v/>
      </c>
      <c r="AC155" s="50">
        <f>IF($A155="",0,MIN(1,$C155*$C$39))</f>
        <v/>
      </c>
      <c r="AD155" s="44">
        <f>IF($A155="",0,$B155*IF($I155=1,LGD_LC,MIN(1,LGD+$C$40))*(1-$E155))</f>
        <v/>
      </c>
      <c r="AE155" s="44">
        <f>IF(OR($A155="",$B155&lt;=0,$AC155&lt;=0),0,IF($AC155&gt;=1,$AD155,IF(_xlfn.NORM.S.INV(RAND())*SQRT(1-Rho)+$C$41*SQRT(Rho)&lt;_xlfn.NORM.S.INV($AC155),$AD155,0)))</f>
        <v/>
      </c>
      <c r="AG155" t="n">
        <v>149</v>
      </c>
      <c r="AH155" s="35" t="n">
        <v>0</v>
      </c>
    </row>
    <row r="156">
      <c r="A156" s="7">
        <f>IF('02_Buyers'!$A93="","",'02_Buyers'!$A93)</f>
        <v/>
      </c>
      <c r="B156" s="44">
        <f>IF($A156="",0,'02_Buyers'!$Z93)</f>
        <v/>
      </c>
      <c r="C156" s="50">
        <f>IF($A156="",0,'02_Buyers'!$AM93)</f>
        <v/>
      </c>
      <c r="D156" s="50">
        <f>IF($A156="",0,'02_Buyers'!$AN93)</f>
        <v/>
      </c>
      <c r="E156" s="50">
        <f>IF($A156="",0,'02_Buyers'!$AO93)</f>
        <v/>
      </c>
      <c r="F156" s="50">
        <f>IF($A156="",0,'02_Buyers'!$AP93)</f>
        <v/>
      </c>
      <c r="G156" s="45">
        <f>IF($A156="",0,'02_Buyers'!$V93)</f>
        <v/>
      </c>
      <c r="H156" s="45">
        <f>IF(OR($A156="",'02_Buyers'!$AC93=""),0,'02_Buyers'!$AC93)</f>
        <v/>
      </c>
      <c r="I156" s="45">
        <f>IF($A156="",0,IF(OR('02_Buyers'!$U93="LC_SIGHT",'02_Buyers'!$U93="LC_USANCE"),1,0))</f>
        <v/>
      </c>
      <c r="J156" s="7">
        <f>IF($A156="","",'02_Buyers'!$T93)</f>
        <v/>
      </c>
      <c r="K156" s="44">
        <f>IF($A156="",0,$B156*MIN(1,$C156*$J$6)*IF($I156=1,LGD_LC,MIN(1,LGD+$K$6))*(1-$E156))</f>
        <v/>
      </c>
      <c r="L156" s="44">
        <f>IF($A156="",0,$B156*MIN(1,$C156*$J$7)*IF($I156=1,LGD_LC,MIN(1,LGD+$K$7))*(1-$E156))</f>
        <v/>
      </c>
      <c r="M156" s="44">
        <f>IF($A156="",0,$B156*MIN(1,$C156*$J$8)*IF($I156=1,LGD_LC,MIN(1,LGD+$K$8))*(1-$E156))</f>
        <v/>
      </c>
      <c r="N156" s="44">
        <f>IF($A156="",0,$B156*MIN(1,$C156*$J$9)*IF($I156=1,LGD_LC,MIN(1,LGD+$K$9))*(1-$E156))</f>
        <v/>
      </c>
      <c r="O156" s="44">
        <f>IF($A156="",0,$B156*MIN(1,$C156*$J$10)*IF($I156=1,LGD_LC,MIN(1,LGD+$K$10))*(1-$E156))</f>
        <v/>
      </c>
      <c r="P156" s="44">
        <f>IF($A156="",0,$B156*MIN(1,$C156*$J$12)*IF($I156=1,LGD_LC,MIN(1,LGD+$K$12))*(1-$E156))</f>
        <v/>
      </c>
      <c r="Q156" s="44">
        <f>IF($A156="",0,$B156*(TSOFR3M+$H$6/10000+$F156)*$G156/DayBasis)</f>
        <v/>
      </c>
      <c r="R156" s="44">
        <f>IF($A156="",0,$B156*(TSOFR3M+$H$7/10000+$F156)*$G156/DayBasis)</f>
        <v/>
      </c>
      <c r="S156" s="44">
        <f>IF($A156="",0,$B156*(TSOFR3M+$H$8/10000+$F156)*$G156/DayBasis)</f>
        <v/>
      </c>
      <c r="T156" s="44">
        <f>IF($A156="",0,$B156*(TSOFR3M+$H$9/10000+$F156)*$G156/DayBasis)</f>
        <v/>
      </c>
      <c r="U156" s="44">
        <f>IF($A156="",0,$B156*(TSOFR3M+$H$10/10000+$F156)*$G156/DayBasis)</f>
        <v/>
      </c>
      <c r="V156" s="44">
        <f>IF($A156="",0,$B156*(TSOFR3M+$H$12/10000+$F156)*$G156/DayBasis)</f>
        <v/>
      </c>
      <c r="W156" s="44">
        <f>IF(OR($A156="",$M$6&lt;&gt;"Y",$O$6=""),0,IF($H156&gt;=$O$6,$B156*(TSOFR3M+$H$6/10000+$F156)*$N$6/DayBasis,0))</f>
        <v/>
      </c>
      <c r="X156" s="44">
        <f>IF(OR($A156="",$M$7&lt;&gt;"Y",$O$7=""),0,IF($H156&gt;=$O$7,$B156*(TSOFR3M+$H$7/10000+$F156)*$N$7/DayBasis,0))</f>
        <v/>
      </c>
      <c r="Y156" s="44">
        <f>IF(OR($A156="",$M$8&lt;&gt;"Y",$O$8=""),0,IF($H156&gt;=$O$8,$B156*(TSOFR3M+$H$8/10000+$F156)*$N$8/DayBasis,0))</f>
        <v/>
      </c>
      <c r="Z156" s="44">
        <f>IF(OR($A156="",$M$9&lt;&gt;"Y",$O$9=""),0,IF($H156&gt;=$O$9,$B156*(TSOFR3M+$H$9/10000+$F156)*$N$9/DayBasis,0))</f>
        <v/>
      </c>
      <c r="AA156" s="44">
        <f>IF(OR($A156="",$M$10&lt;&gt;"Y",$O$10=""),0,IF($H156&gt;=$O$10,$B156*(TSOFR3M+$H$10/10000+$F156)*$N$10/DayBasis,0))</f>
        <v/>
      </c>
      <c r="AB156" s="44">
        <f>IF(OR($A156="",$M$12&lt;&gt;"Y",$O$12=""),0,IF($H156&gt;=$O$12,$B156*(TSOFR3M+$H$12/10000+$F156)*$N$12/DayBasis,0))</f>
        <v/>
      </c>
      <c r="AC156" s="50">
        <f>IF($A156="",0,MIN(1,$C156*$C$39))</f>
        <v/>
      </c>
      <c r="AD156" s="44">
        <f>IF($A156="",0,$B156*IF($I156=1,LGD_LC,MIN(1,LGD+$C$40))*(1-$E156))</f>
        <v/>
      </c>
      <c r="AE156" s="44">
        <f>IF(OR($A156="",$B156&lt;=0,$AC156&lt;=0),0,IF($AC156&gt;=1,$AD156,IF(_xlfn.NORM.S.INV(RAND())*SQRT(1-Rho)+$C$41*SQRT(Rho)&lt;_xlfn.NORM.S.INV($AC156),$AD156,0)))</f>
        <v/>
      </c>
      <c r="AG156" t="n">
        <v>150</v>
      </c>
      <c r="AH156" s="35" t="n">
        <v>0</v>
      </c>
    </row>
    <row r="157">
      <c r="A157" s="7">
        <f>IF('02_Buyers'!$A94="","",'02_Buyers'!$A94)</f>
        <v/>
      </c>
      <c r="B157" s="44">
        <f>IF($A157="",0,'02_Buyers'!$Z94)</f>
        <v/>
      </c>
      <c r="C157" s="50">
        <f>IF($A157="",0,'02_Buyers'!$AM94)</f>
        <v/>
      </c>
      <c r="D157" s="50">
        <f>IF($A157="",0,'02_Buyers'!$AN94)</f>
        <v/>
      </c>
      <c r="E157" s="50">
        <f>IF($A157="",0,'02_Buyers'!$AO94)</f>
        <v/>
      </c>
      <c r="F157" s="50">
        <f>IF($A157="",0,'02_Buyers'!$AP94)</f>
        <v/>
      </c>
      <c r="G157" s="45">
        <f>IF($A157="",0,'02_Buyers'!$V94)</f>
        <v/>
      </c>
      <c r="H157" s="45">
        <f>IF(OR($A157="",'02_Buyers'!$AC94=""),0,'02_Buyers'!$AC94)</f>
        <v/>
      </c>
      <c r="I157" s="45">
        <f>IF($A157="",0,IF(OR('02_Buyers'!$U94="LC_SIGHT",'02_Buyers'!$U94="LC_USANCE"),1,0))</f>
        <v/>
      </c>
      <c r="J157" s="7">
        <f>IF($A157="","",'02_Buyers'!$T94)</f>
        <v/>
      </c>
      <c r="K157" s="44">
        <f>IF($A157="",0,$B157*MIN(1,$C157*$J$6)*IF($I157=1,LGD_LC,MIN(1,LGD+$K$6))*(1-$E157))</f>
        <v/>
      </c>
      <c r="L157" s="44">
        <f>IF($A157="",0,$B157*MIN(1,$C157*$J$7)*IF($I157=1,LGD_LC,MIN(1,LGD+$K$7))*(1-$E157))</f>
        <v/>
      </c>
      <c r="M157" s="44">
        <f>IF($A157="",0,$B157*MIN(1,$C157*$J$8)*IF($I157=1,LGD_LC,MIN(1,LGD+$K$8))*(1-$E157))</f>
        <v/>
      </c>
      <c r="N157" s="44">
        <f>IF($A157="",0,$B157*MIN(1,$C157*$J$9)*IF($I157=1,LGD_LC,MIN(1,LGD+$K$9))*(1-$E157))</f>
        <v/>
      </c>
      <c r="O157" s="44">
        <f>IF($A157="",0,$B157*MIN(1,$C157*$J$10)*IF($I157=1,LGD_LC,MIN(1,LGD+$K$10))*(1-$E157))</f>
        <v/>
      </c>
      <c r="P157" s="44">
        <f>IF($A157="",0,$B157*MIN(1,$C157*$J$12)*IF($I157=1,LGD_LC,MIN(1,LGD+$K$12))*(1-$E157))</f>
        <v/>
      </c>
      <c r="Q157" s="44">
        <f>IF($A157="",0,$B157*(TSOFR3M+$H$6/10000+$F157)*$G157/DayBasis)</f>
        <v/>
      </c>
      <c r="R157" s="44">
        <f>IF($A157="",0,$B157*(TSOFR3M+$H$7/10000+$F157)*$G157/DayBasis)</f>
        <v/>
      </c>
      <c r="S157" s="44">
        <f>IF($A157="",0,$B157*(TSOFR3M+$H$8/10000+$F157)*$G157/DayBasis)</f>
        <v/>
      </c>
      <c r="T157" s="44">
        <f>IF($A157="",0,$B157*(TSOFR3M+$H$9/10000+$F157)*$G157/DayBasis)</f>
        <v/>
      </c>
      <c r="U157" s="44">
        <f>IF($A157="",0,$B157*(TSOFR3M+$H$10/10000+$F157)*$G157/DayBasis)</f>
        <v/>
      </c>
      <c r="V157" s="44">
        <f>IF($A157="",0,$B157*(TSOFR3M+$H$12/10000+$F157)*$G157/DayBasis)</f>
        <v/>
      </c>
      <c r="W157" s="44">
        <f>IF(OR($A157="",$M$6&lt;&gt;"Y",$O$6=""),0,IF($H157&gt;=$O$6,$B157*(TSOFR3M+$H$6/10000+$F157)*$N$6/DayBasis,0))</f>
        <v/>
      </c>
      <c r="X157" s="44">
        <f>IF(OR($A157="",$M$7&lt;&gt;"Y",$O$7=""),0,IF($H157&gt;=$O$7,$B157*(TSOFR3M+$H$7/10000+$F157)*$N$7/DayBasis,0))</f>
        <v/>
      </c>
      <c r="Y157" s="44">
        <f>IF(OR($A157="",$M$8&lt;&gt;"Y",$O$8=""),0,IF($H157&gt;=$O$8,$B157*(TSOFR3M+$H$8/10000+$F157)*$N$8/DayBasis,0))</f>
        <v/>
      </c>
      <c r="Z157" s="44">
        <f>IF(OR($A157="",$M$9&lt;&gt;"Y",$O$9=""),0,IF($H157&gt;=$O$9,$B157*(TSOFR3M+$H$9/10000+$F157)*$N$9/DayBasis,0))</f>
        <v/>
      </c>
      <c r="AA157" s="44">
        <f>IF(OR($A157="",$M$10&lt;&gt;"Y",$O$10=""),0,IF($H157&gt;=$O$10,$B157*(TSOFR3M+$H$10/10000+$F157)*$N$10/DayBasis,0))</f>
        <v/>
      </c>
      <c r="AB157" s="44">
        <f>IF(OR($A157="",$M$12&lt;&gt;"Y",$O$12=""),0,IF($H157&gt;=$O$12,$B157*(TSOFR3M+$H$12/10000+$F157)*$N$12/DayBasis,0))</f>
        <v/>
      </c>
      <c r="AC157" s="50">
        <f>IF($A157="",0,MIN(1,$C157*$C$39))</f>
        <v/>
      </c>
      <c r="AD157" s="44">
        <f>IF($A157="",0,$B157*IF($I157=1,LGD_LC,MIN(1,LGD+$C$40))*(1-$E157))</f>
        <v/>
      </c>
      <c r="AE157" s="44">
        <f>IF(OR($A157="",$B157&lt;=0,$AC157&lt;=0),0,IF($AC157&gt;=1,$AD157,IF(_xlfn.NORM.S.INV(RAND())*SQRT(1-Rho)+$C$41*SQRT(Rho)&lt;_xlfn.NORM.S.INV($AC157),$AD157,0)))</f>
        <v/>
      </c>
      <c r="AG157" t="n">
        <v>151</v>
      </c>
      <c r="AH157" s="35" t="n">
        <v>0</v>
      </c>
    </row>
    <row r="158">
      <c r="A158" s="7">
        <f>IF('02_Buyers'!$A95="","",'02_Buyers'!$A95)</f>
        <v/>
      </c>
      <c r="B158" s="44">
        <f>IF($A158="",0,'02_Buyers'!$Z95)</f>
        <v/>
      </c>
      <c r="C158" s="50">
        <f>IF($A158="",0,'02_Buyers'!$AM95)</f>
        <v/>
      </c>
      <c r="D158" s="50">
        <f>IF($A158="",0,'02_Buyers'!$AN95)</f>
        <v/>
      </c>
      <c r="E158" s="50">
        <f>IF($A158="",0,'02_Buyers'!$AO95)</f>
        <v/>
      </c>
      <c r="F158" s="50">
        <f>IF($A158="",0,'02_Buyers'!$AP95)</f>
        <v/>
      </c>
      <c r="G158" s="45">
        <f>IF($A158="",0,'02_Buyers'!$V95)</f>
        <v/>
      </c>
      <c r="H158" s="45">
        <f>IF(OR($A158="",'02_Buyers'!$AC95=""),0,'02_Buyers'!$AC95)</f>
        <v/>
      </c>
      <c r="I158" s="45">
        <f>IF($A158="",0,IF(OR('02_Buyers'!$U95="LC_SIGHT",'02_Buyers'!$U95="LC_USANCE"),1,0))</f>
        <v/>
      </c>
      <c r="J158" s="7">
        <f>IF($A158="","",'02_Buyers'!$T95)</f>
        <v/>
      </c>
      <c r="K158" s="44">
        <f>IF($A158="",0,$B158*MIN(1,$C158*$J$6)*IF($I158=1,LGD_LC,MIN(1,LGD+$K$6))*(1-$E158))</f>
        <v/>
      </c>
      <c r="L158" s="44">
        <f>IF($A158="",0,$B158*MIN(1,$C158*$J$7)*IF($I158=1,LGD_LC,MIN(1,LGD+$K$7))*(1-$E158))</f>
        <v/>
      </c>
      <c r="M158" s="44">
        <f>IF($A158="",0,$B158*MIN(1,$C158*$J$8)*IF($I158=1,LGD_LC,MIN(1,LGD+$K$8))*(1-$E158))</f>
        <v/>
      </c>
      <c r="N158" s="44">
        <f>IF($A158="",0,$B158*MIN(1,$C158*$J$9)*IF($I158=1,LGD_LC,MIN(1,LGD+$K$9))*(1-$E158))</f>
        <v/>
      </c>
      <c r="O158" s="44">
        <f>IF($A158="",0,$B158*MIN(1,$C158*$J$10)*IF($I158=1,LGD_LC,MIN(1,LGD+$K$10))*(1-$E158))</f>
        <v/>
      </c>
      <c r="P158" s="44">
        <f>IF($A158="",0,$B158*MIN(1,$C158*$J$12)*IF($I158=1,LGD_LC,MIN(1,LGD+$K$12))*(1-$E158))</f>
        <v/>
      </c>
      <c r="Q158" s="44">
        <f>IF($A158="",0,$B158*(TSOFR3M+$H$6/10000+$F158)*$G158/DayBasis)</f>
        <v/>
      </c>
      <c r="R158" s="44">
        <f>IF($A158="",0,$B158*(TSOFR3M+$H$7/10000+$F158)*$G158/DayBasis)</f>
        <v/>
      </c>
      <c r="S158" s="44">
        <f>IF($A158="",0,$B158*(TSOFR3M+$H$8/10000+$F158)*$G158/DayBasis)</f>
        <v/>
      </c>
      <c r="T158" s="44">
        <f>IF($A158="",0,$B158*(TSOFR3M+$H$9/10000+$F158)*$G158/DayBasis)</f>
        <v/>
      </c>
      <c r="U158" s="44">
        <f>IF($A158="",0,$B158*(TSOFR3M+$H$10/10000+$F158)*$G158/DayBasis)</f>
        <v/>
      </c>
      <c r="V158" s="44">
        <f>IF($A158="",0,$B158*(TSOFR3M+$H$12/10000+$F158)*$G158/DayBasis)</f>
        <v/>
      </c>
      <c r="W158" s="44">
        <f>IF(OR($A158="",$M$6&lt;&gt;"Y",$O$6=""),0,IF($H158&gt;=$O$6,$B158*(TSOFR3M+$H$6/10000+$F158)*$N$6/DayBasis,0))</f>
        <v/>
      </c>
      <c r="X158" s="44">
        <f>IF(OR($A158="",$M$7&lt;&gt;"Y",$O$7=""),0,IF($H158&gt;=$O$7,$B158*(TSOFR3M+$H$7/10000+$F158)*$N$7/DayBasis,0))</f>
        <v/>
      </c>
      <c r="Y158" s="44">
        <f>IF(OR($A158="",$M$8&lt;&gt;"Y",$O$8=""),0,IF($H158&gt;=$O$8,$B158*(TSOFR3M+$H$8/10000+$F158)*$N$8/DayBasis,0))</f>
        <v/>
      </c>
      <c r="Z158" s="44">
        <f>IF(OR($A158="",$M$9&lt;&gt;"Y",$O$9=""),0,IF($H158&gt;=$O$9,$B158*(TSOFR3M+$H$9/10000+$F158)*$N$9/DayBasis,0))</f>
        <v/>
      </c>
      <c r="AA158" s="44">
        <f>IF(OR($A158="",$M$10&lt;&gt;"Y",$O$10=""),0,IF($H158&gt;=$O$10,$B158*(TSOFR3M+$H$10/10000+$F158)*$N$10/DayBasis,0))</f>
        <v/>
      </c>
      <c r="AB158" s="44">
        <f>IF(OR($A158="",$M$12&lt;&gt;"Y",$O$12=""),0,IF($H158&gt;=$O$12,$B158*(TSOFR3M+$H$12/10000+$F158)*$N$12/DayBasis,0))</f>
        <v/>
      </c>
      <c r="AC158" s="50">
        <f>IF($A158="",0,MIN(1,$C158*$C$39))</f>
        <v/>
      </c>
      <c r="AD158" s="44">
        <f>IF($A158="",0,$B158*IF($I158=1,LGD_LC,MIN(1,LGD+$C$40))*(1-$E158))</f>
        <v/>
      </c>
      <c r="AE158" s="44">
        <f>IF(OR($A158="",$B158&lt;=0,$AC158&lt;=0),0,IF($AC158&gt;=1,$AD158,IF(_xlfn.NORM.S.INV(RAND())*SQRT(1-Rho)+$C$41*SQRT(Rho)&lt;_xlfn.NORM.S.INV($AC158),$AD158,0)))</f>
        <v/>
      </c>
      <c r="AG158" t="n">
        <v>152</v>
      </c>
      <c r="AH158" s="35" t="n">
        <v>0</v>
      </c>
    </row>
    <row r="159">
      <c r="A159" s="7">
        <f>IF('02_Buyers'!$A96="","",'02_Buyers'!$A96)</f>
        <v/>
      </c>
      <c r="B159" s="44">
        <f>IF($A159="",0,'02_Buyers'!$Z96)</f>
        <v/>
      </c>
      <c r="C159" s="50">
        <f>IF($A159="",0,'02_Buyers'!$AM96)</f>
        <v/>
      </c>
      <c r="D159" s="50">
        <f>IF($A159="",0,'02_Buyers'!$AN96)</f>
        <v/>
      </c>
      <c r="E159" s="50">
        <f>IF($A159="",0,'02_Buyers'!$AO96)</f>
        <v/>
      </c>
      <c r="F159" s="50">
        <f>IF($A159="",0,'02_Buyers'!$AP96)</f>
        <v/>
      </c>
      <c r="G159" s="45">
        <f>IF($A159="",0,'02_Buyers'!$V96)</f>
        <v/>
      </c>
      <c r="H159" s="45">
        <f>IF(OR($A159="",'02_Buyers'!$AC96=""),0,'02_Buyers'!$AC96)</f>
        <v/>
      </c>
      <c r="I159" s="45">
        <f>IF($A159="",0,IF(OR('02_Buyers'!$U96="LC_SIGHT",'02_Buyers'!$U96="LC_USANCE"),1,0))</f>
        <v/>
      </c>
      <c r="J159" s="7">
        <f>IF($A159="","",'02_Buyers'!$T96)</f>
        <v/>
      </c>
      <c r="K159" s="44">
        <f>IF($A159="",0,$B159*MIN(1,$C159*$J$6)*IF($I159=1,LGD_LC,MIN(1,LGD+$K$6))*(1-$E159))</f>
        <v/>
      </c>
      <c r="L159" s="44">
        <f>IF($A159="",0,$B159*MIN(1,$C159*$J$7)*IF($I159=1,LGD_LC,MIN(1,LGD+$K$7))*(1-$E159))</f>
        <v/>
      </c>
      <c r="M159" s="44">
        <f>IF($A159="",0,$B159*MIN(1,$C159*$J$8)*IF($I159=1,LGD_LC,MIN(1,LGD+$K$8))*(1-$E159))</f>
        <v/>
      </c>
      <c r="N159" s="44">
        <f>IF($A159="",0,$B159*MIN(1,$C159*$J$9)*IF($I159=1,LGD_LC,MIN(1,LGD+$K$9))*(1-$E159))</f>
        <v/>
      </c>
      <c r="O159" s="44">
        <f>IF($A159="",0,$B159*MIN(1,$C159*$J$10)*IF($I159=1,LGD_LC,MIN(1,LGD+$K$10))*(1-$E159))</f>
        <v/>
      </c>
      <c r="P159" s="44">
        <f>IF($A159="",0,$B159*MIN(1,$C159*$J$12)*IF($I159=1,LGD_LC,MIN(1,LGD+$K$12))*(1-$E159))</f>
        <v/>
      </c>
      <c r="Q159" s="44">
        <f>IF($A159="",0,$B159*(TSOFR3M+$H$6/10000+$F159)*$G159/DayBasis)</f>
        <v/>
      </c>
      <c r="R159" s="44">
        <f>IF($A159="",0,$B159*(TSOFR3M+$H$7/10000+$F159)*$G159/DayBasis)</f>
        <v/>
      </c>
      <c r="S159" s="44">
        <f>IF($A159="",0,$B159*(TSOFR3M+$H$8/10000+$F159)*$G159/DayBasis)</f>
        <v/>
      </c>
      <c r="T159" s="44">
        <f>IF($A159="",0,$B159*(TSOFR3M+$H$9/10000+$F159)*$G159/DayBasis)</f>
        <v/>
      </c>
      <c r="U159" s="44">
        <f>IF($A159="",0,$B159*(TSOFR3M+$H$10/10000+$F159)*$G159/DayBasis)</f>
        <v/>
      </c>
      <c r="V159" s="44">
        <f>IF($A159="",0,$B159*(TSOFR3M+$H$12/10000+$F159)*$G159/DayBasis)</f>
        <v/>
      </c>
      <c r="W159" s="44">
        <f>IF(OR($A159="",$M$6&lt;&gt;"Y",$O$6=""),0,IF($H159&gt;=$O$6,$B159*(TSOFR3M+$H$6/10000+$F159)*$N$6/DayBasis,0))</f>
        <v/>
      </c>
      <c r="X159" s="44">
        <f>IF(OR($A159="",$M$7&lt;&gt;"Y",$O$7=""),0,IF($H159&gt;=$O$7,$B159*(TSOFR3M+$H$7/10000+$F159)*$N$7/DayBasis,0))</f>
        <v/>
      </c>
      <c r="Y159" s="44">
        <f>IF(OR($A159="",$M$8&lt;&gt;"Y",$O$8=""),0,IF($H159&gt;=$O$8,$B159*(TSOFR3M+$H$8/10000+$F159)*$N$8/DayBasis,0))</f>
        <v/>
      </c>
      <c r="Z159" s="44">
        <f>IF(OR($A159="",$M$9&lt;&gt;"Y",$O$9=""),0,IF($H159&gt;=$O$9,$B159*(TSOFR3M+$H$9/10000+$F159)*$N$9/DayBasis,0))</f>
        <v/>
      </c>
      <c r="AA159" s="44">
        <f>IF(OR($A159="",$M$10&lt;&gt;"Y",$O$10=""),0,IF($H159&gt;=$O$10,$B159*(TSOFR3M+$H$10/10000+$F159)*$N$10/DayBasis,0))</f>
        <v/>
      </c>
      <c r="AB159" s="44">
        <f>IF(OR($A159="",$M$12&lt;&gt;"Y",$O$12=""),0,IF($H159&gt;=$O$12,$B159*(TSOFR3M+$H$12/10000+$F159)*$N$12/DayBasis,0))</f>
        <v/>
      </c>
      <c r="AC159" s="50">
        <f>IF($A159="",0,MIN(1,$C159*$C$39))</f>
        <v/>
      </c>
      <c r="AD159" s="44">
        <f>IF($A159="",0,$B159*IF($I159=1,LGD_LC,MIN(1,LGD+$C$40))*(1-$E159))</f>
        <v/>
      </c>
      <c r="AE159" s="44">
        <f>IF(OR($A159="",$B159&lt;=0,$AC159&lt;=0),0,IF($AC159&gt;=1,$AD159,IF(_xlfn.NORM.S.INV(RAND())*SQRT(1-Rho)+$C$41*SQRT(Rho)&lt;_xlfn.NORM.S.INV($AC159),$AD159,0)))</f>
        <v/>
      </c>
      <c r="AG159" t="n">
        <v>153</v>
      </c>
      <c r="AH159" s="35" t="n">
        <v>0</v>
      </c>
    </row>
    <row r="160">
      <c r="A160" s="7">
        <f>IF('02_Buyers'!$A97="","",'02_Buyers'!$A97)</f>
        <v/>
      </c>
      <c r="B160" s="44">
        <f>IF($A160="",0,'02_Buyers'!$Z97)</f>
        <v/>
      </c>
      <c r="C160" s="50">
        <f>IF($A160="",0,'02_Buyers'!$AM97)</f>
        <v/>
      </c>
      <c r="D160" s="50">
        <f>IF($A160="",0,'02_Buyers'!$AN97)</f>
        <v/>
      </c>
      <c r="E160" s="50">
        <f>IF($A160="",0,'02_Buyers'!$AO97)</f>
        <v/>
      </c>
      <c r="F160" s="50">
        <f>IF($A160="",0,'02_Buyers'!$AP97)</f>
        <v/>
      </c>
      <c r="G160" s="45">
        <f>IF($A160="",0,'02_Buyers'!$V97)</f>
        <v/>
      </c>
      <c r="H160" s="45">
        <f>IF(OR($A160="",'02_Buyers'!$AC97=""),0,'02_Buyers'!$AC97)</f>
        <v/>
      </c>
      <c r="I160" s="45">
        <f>IF($A160="",0,IF(OR('02_Buyers'!$U97="LC_SIGHT",'02_Buyers'!$U97="LC_USANCE"),1,0))</f>
        <v/>
      </c>
      <c r="J160" s="7">
        <f>IF($A160="","",'02_Buyers'!$T97)</f>
        <v/>
      </c>
      <c r="K160" s="44">
        <f>IF($A160="",0,$B160*MIN(1,$C160*$J$6)*IF($I160=1,LGD_LC,MIN(1,LGD+$K$6))*(1-$E160))</f>
        <v/>
      </c>
      <c r="L160" s="44">
        <f>IF($A160="",0,$B160*MIN(1,$C160*$J$7)*IF($I160=1,LGD_LC,MIN(1,LGD+$K$7))*(1-$E160))</f>
        <v/>
      </c>
      <c r="M160" s="44">
        <f>IF($A160="",0,$B160*MIN(1,$C160*$J$8)*IF($I160=1,LGD_LC,MIN(1,LGD+$K$8))*(1-$E160))</f>
        <v/>
      </c>
      <c r="N160" s="44">
        <f>IF($A160="",0,$B160*MIN(1,$C160*$J$9)*IF($I160=1,LGD_LC,MIN(1,LGD+$K$9))*(1-$E160))</f>
        <v/>
      </c>
      <c r="O160" s="44">
        <f>IF($A160="",0,$B160*MIN(1,$C160*$J$10)*IF($I160=1,LGD_LC,MIN(1,LGD+$K$10))*(1-$E160))</f>
        <v/>
      </c>
      <c r="P160" s="44">
        <f>IF($A160="",0,$B160*MIN(1,$C160*$J$12)*IF($I160=1,LGD_LC,MIN(1,LGD+$K$12))*(1-$E160))</f>
        <v/>
      </c>
      <c r="Q160" s="44">
        <f>IF($A160="",0,$B160*(TSOFR3M+$H$6/10000+$F160)*$G160/DayBasis)</f>
        <v/>
      </c>
      <c r="R160" s="44">
        <f>IF($A160="",0,$B160*(TSOFR3M+$H$7/10000+$F160)*$G160/DayBasis)</f>
        <v/>
      </c>
      <c r="S160" s="44">
        <f>IF($A160="",0,$B160*(TSOFR3M+$H$8/10000+$F160)*$G160/DayBasis)</f>
        <v/>
      </c>
      <c r="T160" s="44">
        <f>IF($A160="",0,$B160*(TSOFR3M+$H$9/10000+$F160)*$G160/DayBasis)</f>
        <v/>
      </c>
      <c r="U160" s="44">
        <f>IF($A160="",0,$B160*(TSOFR3M+$H$10/10000+$F160)*$G160/DayBasis)</f>
        <v/>
      </c>
      <c r="V160" s="44">
        <f>IF($A160="",0,$B160*(TSOFR3M+$H$12/10000+$F160)*$G160/DayBasis)</f>
        <v/>
      </c>
      <c r="W160" s="44">
        <f>IF(OR($A160="",$M$6&lt;&gt;"Y",$O$6=""),0,IF($H160&gt;=$O$6,$B160*(TSOFR3M+$H$6/10000+$F160)*$N$6/DayBasis,0))</f>
        <v/>
      </c>
      <c r="X160" s="44">
        <f>IF(OR($A160="",$M$7&lt;&gt;"Y",$O$7=""),0,IF($H160&gt;=$O$7,$B160*(TSOFR3M+$H$7/10000+$F160)*$N$7/DayBasis,0))</f>
        <v/>
      </c>
      <c r="Y160" s="44">
        <f>IF(OR($A160="",$M$8&lt;&gt;"Y",$O$8=""),0,IF($H160&gt;=$O$8,$B160*(TSOFR3M+$H$8/10000+$F160)*$N$8/DayBasis,0))</f>
        <v/>
      </c>
      <c r="Z160" s="44">
        <f>IF(OR($A160="",$M$9&lt;&gt;"Y",$O$9=""),0,IF($H160&gt;=$O$9,$B160*(TSOFR3M+$H$9/10000+$F160)*$N$9/DayBasis,0))</f>
        <v/>
      </c>
      <c r="AA160" s="44">
        <f>IF(OR($A160="",$M$10&lt;&gt;"Y",$O$10=""),0,IF($H160&gt;=$O$10,$B160*(TSOFR3M+$H$10/10000+$F160)*$N$10/DayBasis,0))</f>
        <v/>
      </c>
      <c r="AB160" s="44">
        <f>IF(OR($A160="",$M$12&lt;&gt;"Y",$O$12=""),0,IF($H160&gt;=$O$12,$B160*(TSOFR3M+$H$12/10000+$F160)*$N$12/DayBasis,0))</f>
        <v/>
      </c>
      <c r="AC160" s="50">
        <f>IF($A160="",0,MIN(1,$C160*$C$39))</f>
        <v/>
      </c>
      <c r="AD160" s="44">
        <f>IF($A160="",0,$B160*IF($I160=1,LGD_LC,MIN(1,LGD+$C$40))*(1-$E160))</f>
        <v/>
      </c>
      <c r="AE160" s="44">
        <f>IF(OR($A160="",$B160&lt;=0,$AC160&lt;=0),0,IF($AC160&gt;=1,$AD160,IF(_xlfn.NORM.S.INV(RAND())*SQRT(1-Rho)+$C$41*SQRT(Rho)&lt;_xlfn.NORM.S.INV($AC160),$AD160,0)))</f>
        <v/>
      </c>
      <c r="AG160" t="n">
        <v>154</v>
      </c>
      <c r="AH160" s="35" t="n">
        <v>0</v>
      </c>
    </row>
    <row r="161">
      <c r="A161" s="7">
        <f>IF('02_Buyers'!$A98="","",'02_Buyers'!$A98)</f>
        <v/>
      </c>
      <c r="B161" s="44">
        <f>IF($A161="",0,'02_Buyers'!$Z98)</f>
        <v/>
      </c>
      <c r="C161" s="50">
        <f>IF($A161="",0,'02_Buyers'!$AM98)</f>
        <v/>
      </c>
      <c r="D161" s="50">
        <f>IF($A161="",0,'02_Buyers'!$AN98)</f>
        <v/>
      </c>
      <c r="E161" s="50">
        <f>IF($A161="",0,'02_Buyers'!$AO98)</f>
        <v/>
      </c>
      <c r="F161" s="50">
        <f>IF($A161="",0,'02_Buyers'!$AP98)</f>
        <v/>
      </c>
      <c r="G161" s="45">
        <f>IF($A161="",0,'02_Buyers'!$V98)</f>
        <v/>
      </c>
      <c r="H161" s="45">
        <f>IF(OR($A161="",'02_Buyers'!$AC98=""),0,'02_Buyers'!$AC98)</f>
        <v/>
      </c>
      <c r="I161" s="45">
        <f>IF($A161="",0,IF(OR('02_Buyers'!$U98="LC_SIGHT",'02_Buyers'!$U98="LC_USANCE"),1,0))</f>
        <v/>
      </c>
      <c r="J161" s="7">
        <f>IF($A161="","",'02_Buyers'!$T98)</f>
        <v/>
      </c>
      <c r="K161" s="44">
        <f>IF($A161="",0,$B161*MIN(1,$C161*$J$6)*IF($I161=1,LGD_LC,MIN(1,LGD+$K$6))*(1-$E161))</f>
        <v/>
      </c>
      <c r="L161" s="44">
        <f>IF($A161="",0,$B161*MIN(1,$C161*$J$7)*IF($I161=1,LGD_LC,MIN(1,LGD+$K$7))*(1-$E161))</f>
        <v/>
      </c>
      <c r="M161" s="44">
        <f>IF($A161="",0,$B161*MIN(1,$C161*$J$8)*IF($I161=1,LGD_LC,MIN(1,LGD+$K$8))*(1-$E161))</f>
        <v/>
      </c>
      <c r="N161" s="44">
        <f>IF($A161="",0,$B161*MIN(1,$C161*$J$9)*IF($I161=1,LGD_LC,MIN(1,LGD+$K$9))*(1-$E161))</f>
        <v/>
      </c>
      <c r="O161" s="44">
        <f>IF($A161="",0,$B161*MIN(1,$C161*$J$10)*IF($I161=1,LGD_LC,MIN(1,LGD+$K$10))*(1-$E161))</f>
        <v/>
      </c>
      <c r="P161" s="44">
        <f>IF($A161="",0,$B161*MIN(1,$C161*$J$12)*IF($I161=1,LGD_LC,MIN(1,LGD+$K$12))*(1-$E161))</f>
        <v/>
      </c>
      <c r="Q161" s="44">
        <f>IF($A161="",0,$B161*(TSOFR3M+$H$6/10000+$F161)*$G161/DayBasis)</f>
        <v/>
      </c>
      <c r="R161" s="44">
        <f>IF($A161="",0,$B161*(TSOFR3M+$H$7/10000+$F161)*$G161/DayBasis)</f>
        <v/>
      </c>
      <c r="S161" s="44">
        <f>IF($A161="",0,$B161*(TSOFR3M+$H$8/10000+$F161)*$G161/DayBasis)</f>
        <v/>
      </c>
      <c r="T161" s="44">
        <f>IF($A161="",0,$B161*(TSOFR3M+$H$9/10000+$F161)*$G161/DayBasis)</f>
        <v/>
      </c>
      <c r="U161" s="44">
        <f>IF($A161="",0,$B161*(TSOFR3M+$H$10/10000+$F161)*$G161/DayBasis)</f>
        <v/>
      </c>
      <c r="V161" s="44">
        <f>IF($A161="",0,$B161*(TSOFR3M+$H$12/10000+$F161)*$G161/DayBasis)</f>
        <v/>
      </c>
      <c r="W161" s="44">
        <f>IF(OR($A161="",$M$6&lt;&gt;"Y",$O$6=""),0,IF($H161&gt;=$O$6,$B161*(TSOFR3M+$H$6/10000+$F161)*$N$6/DayBasis,0))</f>
        <v/>
      </c>
      <c r="X161" s="44">
        <f>IF(OR($A161="",$M$7&lt;&gt;"Y",$O$7=""),0,IF($H161&gt;=$O$7,$B161*(TSOFR3M+$H$7/10000+$F161)*$N$7/DayBasis,0))</f>
        <v/>
      </c>
      <c r="Y161" s="44">
        <f>IF(OR($A161="",$M$8&lt;&gt;"Y",$O$8=""),0,IF($H161&gt;=$O$8,$B161*(TSOFR3M+$H$8/10000+$F161)*$N$8/DayBasis,0))</f>
        <v/>
      </c>
      <c r="Z161" s="44">
        <f>IF(OR($A161="",$M$9&lt;&gt;"Y",$O$9=""),0,IF($H161&gt;=$O$9,$B161*(TSOFR3M+$H$9/10000+$F161)*$N$9/DayBasis,0))</f>
        <v/>
      </c>
      <c r="AA161" s="44">
        <f>IF(OR($A161="",$M$10&lt;&gt;"Y",$O$10=""),0,IF($H161&gt;=$O$10,$B161*(TSOFR3M+$H$10/10000+$F161)*$N$10/DayBasis,0))</f>
        <v/>
      </c>
      <c r="AB161" s="44">
        <f>IF(OR($A161="",$M$12&lt;&gt;"Y",$O$12=""),0,IF($H161&gt;=$O$12,$B161*(TSOFR3M+$H$12/10000+$F161)*$N$12/DayBasis,0))</f>
        <v/>
      </c>
      <c r="AC161" s="50">
        <f>IF($A161="",0,MIN(1,$C161*$C$39))</f>
        <v/>
      </c>
      <c r="AD161" s="44">
        <f>IF($A161="",0,$B161*IF($I161=1,LGD_LC,MIN(1,LGD+$C$40))*(1-$E161))</f>
        <v/>
      </c>
      <c r="AE161" s="44">
        <f>IF(OR($A161="",$B161&lt;=0,$AC161&lt;=0),0,IF($AC161&gt;=1,$AD161,IF(_xlfn.NORM.S.INV(RAND())*SQRT(1-Rho)+$C$41*SQRT(Rho)&lt;_xlfn.NORM.S.INV($AC161),$AD161,0)))</f>
        <v/>
      </c>
      <c r="AG161" t="n">
        <v>155</v>
      </c>
      <c r="AH161" s="35" t="n">
        <v>0</v>
      </c>
    </row>
    <row r="162">
      <c r="A162" s="7">
        <f>IF('02_Buyers'!$A99="","",'02_Buyers'!$A99)</f>
        <v/>
      </c>
      <c r="B162" s="44">
        <f>IF($A162="",0,'02_Buyers'!$Z99)</f>
        <v/>
      </c>
      <c r="C162" s="50">
        <f>IF($A162="",0,'02_Buyers'!$AM99)</f>
        <v/>
      </c>
      <c r="D162" s="50">
        <f>IF($A162="",0,'02_Buyers'!$AN99)</f>
        <v/>
      </c>
      <c r="E162" s="50">
        <f>IF($A162="",0,'02_Buyers'!$AO99)</f>
        <v/>
      </c>
      <c r="F162" s="50">
        <f>IF($A162="",0,'02_Buyers'!$AP99)</f>
        <v/>
      </c>
      <c r="G162" s="45">
        <f>IF($A162="",0,'02_Buyers'!$V99)</f>
        <v/>
      </c>
      <c r="H162" s="45">
        <f>IF(OR($A162="",'02_Buyers'!$AC99=""),0,'02_Buyers'!$AC99)</f>
        <v/>
      </c>
      <c r="I162" s="45">
        <f>IF($A162="",0,IF(OR('02_Buyers'!$U99="LC_SIGHT",'02_Buyers'!$U99="LC_USANCE"),1,0))</f>
        <v/>
      </c>
      <c r="J162" s="7">
        <f>IF($A162="","",'02_Buyers'!$T99)</f>
        <v/>
      </c>
      <c r="K162" s="44">
        <f>IF($A162="",0,$B162*MIN(1,$C162*$J$6)*IF($I162=1,LGD_LC,MIN(1,LGD+$K$6))*(1-$E162))</f>
        <v/>
      </c>
      <c r="L162" s="44">
        <f>IF($A162="",0,$B162*MIN(1,$C162*$J$7)*IF($I162=1,LGD_LC,MIN(1,LGD+$K$7))*(1-$E162))</f>
        <v/>
      </c>
      <c r="M162" s="44">
        <f>IF($A162="",0,$B162*MIN(1,$C162*$J$8)*IF($I162=1,LGD_LC,MIN(1,LGD+$K$8))*(1-$E162))</f>
        <v/>
      </c>
      <c r="N162" s="44">
        <f>IF($A162="",0,$B162*MIN(1,$C162*$J$9)*IF($I162=1,LGD_LC,MIN(1,LGD+$K$9))*(1-$E162))</f>
        <v/>
      </c>
      <c r="O162" s="44">
        <f>IF($A162="",0,$B162*MIN(1,$C162*$J$10)*IF($I162=1,LGD_LC,MIN(1,LGD+$K$10))*(1-$E162))</f>
        <v/>
      </c>
      <c r="P162" s="44">
        <f>IF($A162="",0,$B162*MIN(1,$C162*$J$12)*IF($I162=1,LGD_LC,MIN(1,LGD+$K$12))*(1-$E162))</f>
        <v/>
      </c>
      <c r="Q162" s="44">
        <f>IF($A162="",0,$B162*(TSOFR3M+$H$6/10000+$F162)*$G162/DayBasis)</f>
        <v/>
      </c>
      <c r="R162" s="44">
        <f>IF($A162="",0,$B162*(TSOFR3M+$H$7/10000+$F162)*$G162/DayBasis)</f>
        <v/>
      </c>
      <c r="S162" s="44">
        <f>IF($A162="",0,$B162*(TSOFR3M+$H$8/10000+$F162)*$G162/DayBasis)</f>
        <v/>
      </c>
      <c r="T162" s="44">
        <f>IF($A162="",0,$B162*(TSOFR3M+$H$9/10000+$F162)*$G162/DayBasis)</f>
        <v/>
      </c>
      <c r="U162" s="44">
        <f>IF($A162="",0,$B162*(TSOFR3M+$H$10/10000+$F162)*$G162/DayBasis)</f>
        <v/>
      </c>
      <c r="V162" s="44">
        <f>IF($A162="",0,$B162*(TSOFR3M+$H$12/10000+$F162)*$G162/DayBasis)</f>
        <v/>
      </c>
      <c r="W162" s="44">
        <f>IF(OR($A162="",$M$6&lt;&gt;"Y",$O$6=""),0,IF($H162&gt;=$O$6,$B162*(TSOFR3M+$H$6/10000+$F162)*$N$6/DayBasis,0))</f>
        <v/>
      </c>
      <c r="X162" s="44">
        <f>IF(OR($A162="",$M$7&lt;&gt;"Y",$O$7=""),0,IF($H162&gt;=$O$7,$B162*(TSOFR3M+$H$7/10000+$F162)*$N$7/DayBasis,0))</f>
        <v/>
      </c>
      <c r="Y162" s="44">
        <f>IF(OR($A162="",$M$8&lt;&gt;"Y",$O$8=""),0,IF($H162&gt;=$O$8,$B162*(TSOFR3M+$H$8/10000+$F162)*$N$8/DayBasis,0))</f>
        <v/>
      </c>
      <c r="Z162" s="44">
        <f>IF(OR($A162="",$M$9&lt;&gt;"Y",$O$9=""),0,IF($H162&gt;=$O$9,$B162*(TSOFR3M+$H$9/10000+$F162)*$N$9/DayBasis,0))</f>
        <v/>
      </c>
      <c r="AA162" s="44">
        <f>IF(OR($A162="",$M$10&lt;&gt;"Y",$O$10=""),0,IF($H162&gt;=$O$10,$B162*(TSOFR3M+$H$10/10000+$F162)*$N$10/DayBasis,0))</f>
        <v/>
      </c>
      <c r="AB162" s="44">
        <f>IF(OR($A162="",$M$12&lt;&gt;"Y",$O$12=""),0,IF($H162&gt;=$O$12,$B162*(TSOFR3M+$H$12/10000+$F162)*$N$12/DayBasis,0))</f>
        <v/>
      </c>
      <c r="AC162" s="50">
        <f>IF($A162="",0,MIN(1,$C162*$C$39))</f>
        <v/>
      </c>
      <c r="AD162" s="44">
        <f>IF($A162="",0,$B162*IF($I162=1,LGD_LC,MIN(1,LGD+$C$40))*(1-$E162))</f>
        <v/>
      </c>
      <c r="AE162" s="44">
        <f>IF(OR($A162="",$B162&lt;=0,$AC162&lt;=0),0,IF($AC162&gt;=1,$AD162,IF(_xlfn.NORM.S.INV(RAND())*SQRT(1-Rho)+$C$41*SQRT(Rho)&lt;_xlfn.NORM.S.INV($AC162),$AD162,0)))</f>
        <v/>
      </c>
      <c r="AG162" t="n">
        <v>156</v>
      </c>
      <c r="AH162" s="35" t="n">
        <v>0</v>
      </c>
    </row>
    <row r="163">
      <c r="A163" s="7">
        <f>IF('02_Buyers'!$A100="","",'02_Buyers'!$A100)</f>
        <v/>
      </c>
      <c r="B163" s="44">
        <f>IF($A163="",0,'02_Buyers'!$Z100)</f>
        <v/>
      </c>
      <c r="C163" s="50">
        <f>IF($A163="",0,'02_Buyers'!$AM100)</f>
        <v/>
      </c>
      <c r="D163" s="50">
        <f>IF($A163="",0,'02_Buyers'!$AN100)</f>
        <v/>
      </c>
      <c r="E163" s="50">
        <f>IF($A163="",0,'02_Buyers'!$AO100)</f>
        <v/>
      </c>
      <c r="F163" s="50">
        <f>IF($A163="",0,'02_Buyers'!$AP100)</f>
        <v/>
      </c>
      <c r="G163" s="45">
        <f>IF($A163="",0,'02_Buyers'!$V100)</f>
        <v/>
      </c>
      <c r="H163" s="45">
        <f>IF(OR($A163="",'02_Buyers'!$AC100=""),0,'02_Buyers'!$AC100)</f>
        <v/>
      </c>
      <c r="I163" s="45">
        <f>IF($A163="",0,IF(OR('02_Buyers'!$U100="LC_SIGHT",'02_Buyers'!$U100="LC_USANCE"),1,0))</f>
        <v/>
      </c>
      <c r="J163" s="7">
        <f>IF($A163="","",'02_Buyers'!$T100)</f>
        <v/>
      </c>
      <c r="K163" s="44">
        <f>IF($A163="",0,$B163*MIN(1,$C163*$J$6)*IF($I163=1,LGD_LC,MIN(1,LGD+$K$6))*(1-$E163))</f>
        <v/>
      </c>
      <c r="L163" s="44">
        <f>IF($A163="",0,$B163*MIN(1,$C163*$J$7)*IF($I163=1,LGD_LC,MIN(1,LGD+$K$7))*(1-$E163))</f>
        <v/>
      </c>
      <c r="M163" s="44">
        <f>IF($A163="",0,$B163*MIN(1,$C163*$J$8)*IF($I163=1,LGD_LC,MIN(1,LGD+$K$8))*(1-$E163))</f>
        <v/>
      </c>
      <c r="N163" s="44">
        <f>IF($A163="",0,$B163*MIN(1,$C163*$J$9)*IF($I163=1,LGD_LC,MIN(1,LGD+$K$9))*(1-$E163))</f>
        <v/>
      </c>
      <c r="O163" s="44">
        <f>IF($A163="",0,$B163*MIN(1,$C163*$J$10)*IF($I163=1,LGD_LC,MIN(1,LGD+$K$10))*(1-$E163))</f>
        <v/>
      </c>
      <c r="P163" s="44">
        <f>IF($A163="",0,$B163*MIN(1,$C163*$J$12)*IF($I163=1,LGD_LC,MIN(1,LGD+$K$12))*(1-$E163))</f>
        <v/>
      </c>
      <c r="Q163" s="44">
        <f>IF($A163="",0,$B163*(TSOFR3M+$H$6/10000+$F163)*$G163/DayBasis)</f>
        <v/>
      </c>
      <c r="R163" s="44">
        <f>IF($A163="",0,$B163*(TSOFR3M+$H$7/10000+$F163)*$G163/DayBasis)</f>
        <v/>
      </c>
      <c r="S163" s="44">
        <f>IF($A163="",0,$B163*(TSOFR3M+$H$8/10000+$F163)*$G163/DayBasis)</f>
        <v/>
      </c>
      <c r="T163" s="44">
        <f>IF($A163="",0,$B163*(TSOFR3M+$H$9/10000+$F163)*$G163/DayBasis)</f>
        <v/>
      </c>
      <c r="U163" s="44">
        <f>IF($A163="",0,$B163*(TSOFR3M+$H$10/10000+$F163)*$G163/DayBasis)</f>
        <v/>
      </c>
      <c r="V163" s="44">
        <f>IF($A163="",0,$B163*(TSOFR3M+$H$12/10000+$F163)*$G163/DayBasis)</f>
        <v/>
      </c>
      <c r="W163" s="44">
        <f>IF(OR($A163="",$M$6&lt;&gt;"Y",$O$6=""),0,IF($H163&gt;=$O$6,$B163*(TSOFR3M+$H$6/10000+$F163)*$N$6/DayBasis,0))</f>
        <v/>
      </c>
      <c r="X163" s="44">
        <f>IF(OR($A163="",$M$7&lt;&gt;"Y",$O$7=""),0,IF($H163&gt;=$O$7,$B163*(TSOFR3M+$H$7/10000+$F163)*$N$7/DayBasis,0))</f>
        <v/>
      </c>
      <c r="Y163" s="44">
        <f>IF(OR($A163="",$M$8&lt;&gt;"Y",$O$8=""),0,IF($H163&gt;=$O$8,$B163*(TSOFR3M+$H$8/10000+$F163)*$N$8/DayBasis,0))</f>
        <v/>
      </c>
      <c r="Z163" s="44">
        <f>IF(OR($A163="",$M$9&lt;&gt;"Y",$O$9=""),0,IF($H163&gt;=$O$9,$B163*(TSOFR3M+$H$9/10000+$F163)*$N$9/DayBasis,0))</f>
        <v/>
      </c>
      <c r="AA163" s="44">
        <f>IF(OR($A163="",$M$10&lt;&gt;"Y",$O$10=""),0,IF($H163&gt;=$O$10,$B163*(TSOFR3M+$H$10/10000+$F163)*$N$10/DayBasis,0))</f>
        <v/>
      </c>
      <c r="AB163" s="44">
        <f>IF(OR($A163="",$M$12&lt;&gt;"Y",$O$12=""),0,IF($H163&gt;=$O$12,$B163*(TSOFR3M+$H$12/10000+$F163)*$N$12/DayBasis,0))</f>
        <v/>
      </c>
      <c r="AC163" s="50">
        <f>IF($A163="",0,MIN(1,$C163*$C$39))</f>
        <v/>
      </c>
      <c r="AD163" s="44">
        <f>IF($A163="",0,$B163*IF($I163=1,LGD_LC,MIN(1,LGD+$C$40))*(1-$E163))</f>
        <v/>
      </c>
      <c r="AE163" s="44">
        <f>IF(OR($A163="",$B163&lt;=0,$AC163&lt;=0),0,IF($AC163&gt;=1,$AD163,IF(_xlfn.NORM.S.INV(RAND())*SQRT(1-Rho)+$C$41*SQRT(Rho)&lt;_xlfn.NORM.S.INV($AC163),$AD163,0)))</f>
        <v/>
      </c>
      <c r="AG163" t="n">
        <v>157</v>
      </c>
      <c r="AH163" s="35" t="n">
        <v>0</v>
      </c>
    </row>
    <row r="164">
      <c r="A164" s="7">
        <f>IF('02_Buyers'!$A101="","",'02_Buyers'!$A101)</f>
        <v/>
      </c>
      <c r="B164" s="44">
        <f>IF($A164="",0,'02_Buyers'!$Z101)</f>
        <v/>
      </c>
      <c r="C164" s="50">
        <f>IF($A164="",0,'02_Buyers'!$AM101)</f>
        <v/>
      </c>
      <c r="D164" s="50">
        <f>IF($A164="",0,'02_Buyers'!$AN101)</f>
        <v/>
      </c>
      <c r="E164" s="50">
        <f>IF($A164="",0,'02_Buyers'!$AO101)</f>
        <v/>
      </c>
      <c r="F164" s="50">
        <f>IF($A164="",0,'02_Buyers'!$AP101)</f>
        <v/>
      </c>
      <c r="G164" s="45">
        <f>IF($A164="",0,'02_Buyers'!$V101)</f>
        <v/>
      </c>
      <c r="H164" s="45">
        <f>IF(OR($A164="",'02_Buyers'!$AC101=""),0,'02_Buyers'!$AC101)</f>
        <v/>
      </c>
      <c r="I164" s="45">
        <f>IF($A164="",0,IF(OR('02_Buyers'!$U101="LC_SIGHT",'02_Buyers'!$U101="LC_USANCE"),1,0))</f>
        <v/>
      </c>
      <c r="J164" s="7">
        <f>IF($A164="","",'02_Buyers'!$T101)</f>
        <v/>
      </c>
      <c r="K164" s="44">
        <f>IF($A164="",0,$B164*MIN(1,$C164*$J$6)*IF($I164=1,LGD_LC,MIN(1,LGD+$K$6))*(1-$E164))</f>
        <v/>
      </c>
      <c r="L164" s="44">
        <f>IF($A164="",0,$B164*MIN(1,$C164*$J$7)*IF($I164=1,LGD_LC,MIN(1,LGD+$K$7))*(1-$E164))</f>
        <v/>
      </c>
      <c r="M164" s="44">
        <f>IF($A164="",0,$B164*MIN(1,$C164*$J$8)*IF($I164=1,LGD_LC,MIN(1,LGD+$K$8))*(1-$E164))</f>
        <v/>
      </c>
      <c r="N164" s="44">
        <f>IF($A164="",0,$B164*MIN(1,$C164*$J$9)*IF($I164=1,LGD_LC,MIN(1,LGD+$K$9))*(1-$E164))</f>
        <v/>
      </c>
      <c r="O164" s="44">
        <f>IF($A164="",0,$B164*MIN(1,$C164*$J$10)*IF($I164=1,LGD_LC,MIN(1,LGD+$K$10))*(1-$E164))</f>
        <v/>
      </c>
      <c r="P164" s="44">
        <f>IF($A164="",0,$B164*MIN(1,$C164*$J$12)*IF($I164=1,LGD_LC,MIN(1,LGD+$K$12))*(1-$E164))</f>
        <v/>
      </c>
      <c r="Q164" s="44">
        <f>IF($A164="",0,$B164*(TSOFR3M+$H$6/10000+$F164)*$G164/DayBasis)</f>
        <v/>
      </c>
      <c r="R164" s="44">
        <f>IF($A164="",0,$B164*(TSOFR3M+$H$7/10000+$F164)*$G164/DayBasis)</f>
        <v/>
      </c>
      <c r="S164" s="44">
        <f>IF($A164="",0,$B164*(TSOFR3M+$H$8/10000+$F164)*$G164/DayBasis)</f>
        <v/>
      </c>
      <c r="T164" s="44">
        <f>IF($A164="",0,$B164*(TSOFR3M+$H$9/10000+$F164)*$G164/DayBasis)</f>
        <v/>
      </c>
      <c r="U164" s="44">
        <f>IF($A164="",0,$B164*(TSOFR3M+$H$10/10000+$F164)*$G164/DayBasis)</f>
        <v/>
      </c>
      <c r="V164" s="44">
        <f>IF($A164="",0,$B164*(TSOFR3M+$H$12/10000+$F164)*$G164/DayBasis)</f>
        <v/>
      </c>
      <c r="W164" s="44">
        <f>IF(OR($A164="",$M$6&lt;&gt;"Y",$O$6=""),0,IF($H164&gt;=$O$6,$B164*(TSOFR3M+$H$6/10000+$F164)*$N$6/DayBasis,0))</f>
        <v/>
      </c>
      <c r="X164" s="44">
        <f>IF(OR($A164="",$M$7&lt;&gt;"Y",$O$7=""),0,IF($H164&gt;=$O$7,$B164*(TSOFR3M+$H$7/10000+$F164)*$N$7/DayBasis,0))</f>
        <v/>
      </c>
      <c r="Y164" s="44">
        <f>IF(OR($A164="",$M$8&lt;&gt;"Y",$O$8=""),0,IF($H164&gt;=$O$8,$B164*(TSOFR3M+$H$8/10000+$F164)*$N$8/DayBasis,0))</f>
        <v/>
      </c>
      <c r="Z164" s="44">
        <f>IF(OR($A164="",$M$9&lt;&gt;"Y",$O$9=""),0,IF($H164&gt;=$O$9,$B164*(TSOFR3M+$H$9/10000+$F164)*$N$9/DayBasis,0))</f>
        <v/>
      </c>
      <c r="AA164" s="44">
        <f>IF(OR($A164="",$M$10&lt;&gt;"Y",$O$10=""),0,IF($H164&gt;=$O$10,$B164*(TSOFR3M+$H$10/10000+$F164)*$N$10/DayBasis,0))</f>
        <v/>
      </c>
      <c r="AB164" s="44">
        <f>IF(OR($A164="",$M$12&lt;&gt;"Y",$O$12=""),0,IF($H164&gt;=$O$12,$B164*(TSOFR3M+$H$12/10000+$F164)*$N$12/DayBasis,0))</f>
        <v/>
      </c>
      <c r="AC164" s="50">
        <f>IF($A164="",0,MIN(1,$C164*$C$39))</f>
        <v/>
      </c>
      <c r="AD164" s="44">
        <f>IF($A164="",0,$B164*IF($I164=1,LGD_LC,MIN(1,LGD+$C$40))*(1-$E164))</f>
        <v/>
      </c>
      <c r="AE164" s="44">
        <f>IF(OR($A164="",$B164&lt;=0,$AC164&lt;=0),0,IF($AC164&gt;=1,$AD164,IF(_xlfn.NORM.S.INV(RAND())*SQRT(1-Rho)+$C$41*SQRT(Rho)&lt;_xlfn.NORM.S.INV($AC164),$AD164,0)))</f>
        <v/>
      </c>
      <c r="AG164" t="n">
        <v>158</v>
      </c>
      <c r="AH164" s="35" t="n">
        <v>0</v>
      </c>
    </row>
    <row r="165">
      <c r="A165" s="7">
        <f>IF('02_Buyers'!$A102="","",'02_Buyers'!$A102)</f>
        <v/>
      </c>
      <c r="B165" s="44">
        <f>IF($A165="",0,'02_Buyers'!$Z102)</f>
        <v/>
      </c>
      <c r="C165" s="50">
        <f>IF($A165="",0,'02_Buyers'!$AM102)</f>
        <v/>
      </c>
      <c r="D165" s="50">
        <f>IF($A165="",0,'02_Buyers'!$AN102)</f>
        <v/>
      </c>
      <c r="E165" s="50">
        <f>IF($A165="",0,'02_Buyers'!$AO102)</f>
        <v/>
      </c>
      <c r="F165" s="50">
        <f>IF($A165="",0,'02_Buyers'!$AP102)</f>
        <v/>
      </c>
      <c r="G165" s="45">
        <f>IF($A165="",0,'02_Buyers'!$V102)</f>
        <v/>
      </c>
      <c r="H165" s="45">
        <f>IF(OR($A165="",'02_Buyers'!$AC102=""),0,'02_Buyers'!$AC102)</f>
        <v/>
      </c>
      <c r="I165" s="45">
        <f>IF($A165="",0,IF(OR('02_Buyers'!$U102="LC_SIGHT",'02_Buyers'!$U102="LC_USANCE"),1,0))</f>
        <v/>
      </c>
      <c r="J165" s="7">
        <f>IF($A165="","",'02_Buyers'!$T102)</f>
        <v/>
      </c>
      <c r="K165" s="44">
        <f>IF($A165="",0,$B165*MIN(1,$C165*$J$6)*IF($I165=1,LGD_LC,MIN(1,LGD+$K$6))*(1-$E165))</f>
        <v/>
      </c>
      <c r="L165" s="44">
        <f>IF($A165="",0,$B165*MIN(1,$C165*$J$7)*IF($I165=1,LGD_LC,MIN(1,LGD+$K$7))*(1-$E165))</f>
        <v/>
      </c>
      <c r="M165" s="44">
        <f>IF($A165="",0,$B165*MIN(1,$C165*$J$8)*IF($I165=1,LGD_LC,MIN(1,LGD+$K$8))*(1-$E165))</f>
        <v/>
      </c>
      <c r="N165" s="44">
        <f>IF($A165="",0,$B165*MIN(1,$C165*$J$9)*IF($I165=1,LGD_LC,MIN(1,LGD+$K$9))*(1-$E165))</f>
        <v/>
      </c>
      <c r="O165" s="44">
        <f>IF($A165="",0,$B165*MIN(1,$C165*$J$10)*IF($I165=1,LGD_LC,MIN(1,LGD+$K$10))*(1-$E165))</f>
        <v/>
      </c>
      <c r="P165" s="44">
        <f>IF($A165="",0,$B165*MIN(1,$C165*$J$12)*IF($I165=1,LGD_LC,MIN(1,LGD+$K$12))*(1-$E165))</f>
        <v/>
      </c>
      <c r="Q165" s="44">
        <f>IF($A165="",0,$B165*(TSOFR3M+$H$6/10000+$F165)*$G165/DayBasis)</f>
        <v/>
      </c>
      <c r="R165" s="44">
        <f>IF($A165="",0,$B165*(TSOFR3M+$H$7/10000+$F165)*$G165/DayBasis)</f>
        <v/>
      </c>
      <c r="S165" s="44">
        <f>IF($A165="",0,$B165*(TSOFR3M+$H$8/10000+$F165)*$G165/DayBasis)</f>
        <v/>
      </c>
      <c r="T165" s="44">
        <f>IF($A165="",0,$B165*(TSOFR3M+$H$9/10000+$F165)*$G165/DayBasis)</f>
        <v/>
      </c>
      <c r="U165" s="44">
        <f>IF($A165="",0,$B165*(TSOFR3M+$H$10/10000+$F165)*$G165/DayBasis)</f>
        <v/>
      </c>
      <c r="V165" s="44">
        <f>IF($A165="",0,$B165*(TSOFR3M+$H$12/10000+$F165)*$G165/DayBasis)</f>
        <v/>
      </c>
      <c r="W165" s="44">
        <f>IF(OR($A165="",$M$6&lt;&gt;"Y",$O$6=""),0,IF($H165&gt;=$O$6,$B165*(TSOFR3M+$H$6/10000+$F165)*$N$6/DayBasis,0))</f>
        <v/>
      </c>
      <c r="X165" s="44">
        <f>IF(OR($A165="",$M$7&lt;&gt;"Y",$O$7=""),0,IF($H165&gt;=$O$7,$B165*(TSOFR3M+$H$7/10000+$F165)*$N$7/DayBasis,0))</f>
        <v/>
      </c>
      <c r="Y165" s="44">
        <f>IF(OR($A165="",$M$8&lt;&gt;"Y",$O$8=""),0,IF($H165&gt;=$O$8,$B165*(TSOFR3M+$H$8/10000+$F165)*$N$8/DayBasis,0))</f>
        <v/>
      </c>
      <c r="Z165" s="44">
        <f>IF(OR($A165="",$M$9&lt;&gt;"Y",$O$9=""),0,IF($H165&gt;=$O$9,$B165*(TSOFR3M+$H$9/10000+$F165)*$N$9/DayBasis,0))</f>
        <v/>
      </c>
      <c r="AA165" s="44">
        <f>IF(OR($A165="",$M$10&lt;&gt;"Y",$O$10=""),0,IF($H165&gt;=$O$10,$B165*(TSOFR3M+$H$10/10000+$F165)*$N$10/DayBasis,0))</f>
        <v/>
      </c>
      <c r="AB165" s="44">
        <f>IF(OR($A165="",$M$12&lt;&gt;"Y",$O$12=""),0,IF($H165&gt;=$O$12,$B165*(TSOFR3M+$H$12/10000+$F165)*$N$12/DayBasis,0))</f>
        <v/>
      </c>
      <c r="AC165" s="50">
        <f>IF($A165="",0,MIN(1,$C165*$C$39))</f>
        <v/>
      </c>
      <c r="AD165" s="44">
        <f>IF($A165="",0,$B165*IF($I165=1,LGD_LC,MIN(1,LGD+$C$40))*(1-$E165))</f>
        <v/>
      </c>
      <c r="AE165" s="44">
        <f>IF(OR($A165="",$B165&lt;=0,$AC165&lt;=0),0,IF($AC165&gt;=1,$AD165,IF(_xlfn.NORM.S.INV(RAND())*SQRT(1-Rho)+$C$41*SQRT(Rho)&lt;_xlfn.NORM.S.INV($AC165),$AD165,0)))</f>
        <v/>
      </c>
      <c r="AG165" t="n">
        <v>159</v>
      </c>
      <c r="AH165" s="35" t="n">
        <v>0</v>
      </c>
    </row>
    <row r="166">
      <c r="A166" s="7">
        <f>IF('02_Buyers'!$A103="","",'02_Buyers'!$A103)</f>
        <v/>
      </c>
      <c r="B166" s="44">
        <f>IF($A166="",0,'02_Buyers'!$Z103)</f>
        <v/>
      </c>
      <c r="C166" s="50">
        <f>IF($A166="",0,'02_Buyers'!$AM103)</f>
        <v/>
      </c>
      <c r="D166" s="50">
        <f>IF($A166="",0,'02_Buyers'!$AN103)</f>
        <v/>
      </c>
      <c r="E166" s="50">
        <f>IF($A166="",0,'02_Buyers'!$AO103)</f>
        <v/>
      </c>
      <c r="F166" s="50">
        <f>IF($A166="",0,'02_Buyers'!$AP103)</f>
        <v/>
      </c>
      <c r="G166" s="45">
        <f>IF($A166="",0,'02_Buyers'!$V103)</f>
        <v/>
      </c>
      <c r="H166" s="45">
        <f>IF(OR($A166="",'02_Buyers'!$AC103=""),0,'02_Buyers'!$AC103)</f>
        <v/>
      </c>
      <c r="I166" s="45">
        <f>IF($A166="",0,IF(OR('02_Buyers'!$U103="LC_SIGHT",'02_Buyers'!$U103="LC_USANCE"),1,0))</f>
        <v/>
      </c>
      <c r="J166" s="7">
        <f>IF($A166="","",'02_Buyers'!$T103)</f>
        <v/>
      </c>
      <c r="K166" s="44">
        <f>IF($A166="",0,$B166*MIN(1,$C166*$J$6)*IF($I166=1,LGD_LC,MIN(1,LGD+$K$6))*(1-$E166))</f>
        <v/>
      </c>
      <c r="L166" s="44">
        <f>IF($A166="",0,$B166*MIN(1,$C166*$J$7)*IF($I166=1,LGD_LC,MIN(1,LGD+$K$7))*(1-$E166))</f>
        <v/>
      </c>
      <c r="M166" s="44">
        <f>IF($A166="",0,$B166*MIN(1,$C166*$J$8)*IF($I166=1,LGD_LC,MIN(1,LGD+$K$8))*(1-$E166))</f>
        <v/>
      </c>
      <c r="N166" s="44">
        <f>IF($A166="",0,$B166*MIN(1,$C166*$J$9)*IF($I166=1,LGD_LC,MIN(1,LGD+$K$9))*(1-$E166))</f>
        <v/>
      </c>
      <c r="O166" s="44">
        <f>IF($A166="",0,$B166*MIN(1,$C166*$J$10)*IF($I166=1,LGD_LC,MIN(1,LGD+$K$10))*(1-$E166))</f>
        <v/>
      </c>
      <c r="P166" s="44">
        <f>IF($A166="",0,$B166*MIN(1,$C166*$J$12)*IF($I166=1,LGD_LC,MIN(1,LGD+$K$12))*(1-$E166))</f>
        <v/>
      </c>
      <c r="Q166" s="44">
        <f>IF($A166="",0,$B166*(TSOFR3M+$H$6/10000+$F166)*$G166/DayBasis)</f>
        <v/>
      </c>
      <c r="R166" s="44">
        <f>IF($A166="",0,$B166*(TSOFR3M+$H$7/10000+$F166)*$G166/DayBasis)</f>
        <v/>
      </c>
      <c r="S166" s="44">
        <f>IF($A166="",0,$B166*(TSOFR3M+$H$8/10000+$F166)*$G166/DayBasis)</f>
        <v/>
      </c>
      <c r="T166" s="44">
        <f>IF($A166="",0,$B166*(TSOFR3M+$H$9/10000+$F166)*$G166/DayBasis)</f>
        <v/>
      </c>
      <c r="U166" s="44">
        <f>IF($A166="",0,$B166*(TSOFR3M+$H$10/10000+$F166)*$G166/DayBasis)</f>
        <v/>
      </c>
      <c r="V166" s="44">
        <f>IF($A166="",0,$B166*(TSOFR3M+$H$12/10000+$F166)*$G166/DayBasis)</f>
        <v/>
      </c>
      <c r="W166" s="44">
        <f>IF(OR($A166="",$M$6&lt;&gt;"Y",$O$6=""),0,IF($H166&gt;=$O$6,$B166*(TSOFR3M+$H$6/10000+$F166)*$N$6/DayBasis,0))</f>
        <v/>
      </c>
      <c r="X166" s="44">
        <f>IF(OR($A166="",$M$7&lt;&gt;"Y",$O$7=""),0,IF($H166&gt;=$O$7,$B166*(TSOFR3M+$H$7/10000+$F166)*$N$7/DayBasis,0))</f>
        <v/>
      </c>
      <c r="Y166" s="44">
        <f>IF(OR($A166="",$M$8&lt;&gt;"Y",$O$8=""),0,IF($H166&gt;=$O$8,$B166*(TSOFR3M+$H$8/10000+$F166)*$N$8/DayBasis,0))</f>
        <v/>
      </c>
      <c r="Z166" s="44">
        <f>IF(OR($A166="",$M$9&lt;&gt;"Y",$O$9=""),0,IF($H166&gt;=$O$9,$B166*(TSOFR3M+$H$9/10000+$F166)*$N$9/DayBasis,0))</f>
        <v/>
      </c>
      <c r="AA166" s="44">
        <f>IF(OR($A166="",$M$10&lt;&gt;"Y",$O$10=""),0,IF($H166&gt;=$O$10,$B166*(TSOFR3M+$H$10/10000+$F166)*$N$10/DayBasis,0))</f>
        <v/>
      </c>
      <c r="AB166" s="44">
        <f>IF(OR($A166="",$M$12&lt;&gt;"Y",$O$12=""),0,IF($H166&gt;=$O$12,$B166*(TSOFR3M+$H$12/10000+$F166)*$N$12/DayBasis,0))</f>
        <v/>
      </c>
      <c r="AC166" s="50">
        <f>IF($A166="",0,MIN(1,$C166*$C$39))</f>
        <v/>
      </c>
      <c r="AD166" s="44">
        <f>IF($A166="",0,$B166*IF($I166=1,LGD_LC,MIN(1,LGD+$C$40))*(1-$E166))</f>
        <v/>
      </c>
      <c r="AE166" s="44">
        <f>IF(OR($A166="",$B166&lt;=0,$AC166&lt;=0),0,IF($AC166&gt;=1,$AD166,IF(_xlfn.NORM.S.INV(RAND())*SQRT(1-Rho)+$C$41*SQRT(Rho)&lt;_xlfn.NORM.S.INV($AC166),$AD166,0)))</f>
        <v/>
      </c>
      <c r="AG166" t="n">
        <v>160</v>
      </c>
      <c r="AH166" s="35" t="n">
        <v>0</v>
      </c>
    </row>
    <row r="167">
      <c r="A167" s="7">
        <f>IF('02_Buyers'!$A104="","",'02_Buyers'!$A104)</f>
        <v/>
      </c>
      <c r="B167" s="44">
        <f>IF($A167="",0,'02_Buyers'!$Z104)</f>
        <v/>
      </c>
      <c r="C167" s="50">
        <f>IF($A167="",0,'02_Buyers'!$AM104)</f>
        <v/>
      </c>
      <c r="D167" s="50">
        <f>IF($A167="",0,'02_Buyers'!$AN104)</f>
        <v/>
      </c>
      <c r="E167" s="50">
        <f>IF($A167="",0,'02_Buyers'!$AO104)</f>
        <v/>
      </c>
      <c r="F167" s="50">
        <f>IF($A167="",0,'02_Buyers'!$AP104)</f>
        <v/>
      </c>
      <c r="G167" s="45">
        <f>IF($A167="",0,'02_Buyers'!$V104)</f>
        <v/>
      </c>
      <c r="H167" s="45">
        <f>IF(OR($A167="",'02_Buyers'!$AC104=""),0,'02_Buyers'!$AC104)</f>
        <v/>
      </c>
      <c r="I167" s="45">
        <f>IF($A167="",0,IF(OR('02_Buyers'!$U104="LC_SIGHT",'02_Buyers'!$U104="LC_USANCE"),1,0))</f>
        <v/>
      </c>
      <c r="J167" s="7">
        <f>IF($A167="","",'02_Buyers'!$T104)</f>
        <v/>
      </c>
      <c r="K167" s="44">
        <f>IF($A167="",0,$B167*MIN(1,$C167*$J$6)*IF($I167=1,LGD_LC,MIN(1,LGD+$K$6))*(1-$E167))</f>
        <v/>
      </c>
      <c r="L167" s="44">
        <f>IF($A167="",0,$B167*MIN(1,$C167*$J$7)*IF($I167=1,LGD_LC,MIN(1,LGD+$K$7))*(1-$E167))</f>
        <v/>
      </c>
      <c r="M167" s="44">
        <f>IF($A167="",0,$B167*MIN(1,$C167*$J$8)*IF($I167=1,LGD_LC,MIN(1,LGD+$K$8))*(1-$E167))</f>
        <v/>
      </c>
      <c r="N167" s="44">
        <f>IF($A167="",0,$B167*MIN(1,$C167*$J$9)*IF($I167=1,LGD_LC,MIN(1,LGD+$K$9))*(1-$E167))</f>
        <v/>
      </c>
      <c r="O167" s="44">
        <f>IF($A167="",0,$B167*MIN(1,$C167*$J$10)*IF($I167=1,LGD_LC,MIN(1,LGD+$K$10))*(1-$E167))</f>
        <v/>
      </c>
      <c r="P167" s="44">
        <f>IF($A167="",0,$B167*MIN(1,$C167*$J$12)*IF($I167=1,LGD_LC,MIN(1,LGD+$K$12))*(1-$E167))</f>
        <v/>
      </c>
      <c r="Q167" s="44">
        <f>IF($A167="",0,$B167*(TSOFR3M+$H$6/10000+$F167)*$G167/DayBasis)</f>
        <v/>
      </c>
      <c r="R167" s="44">
        <f>IF($A167="",0,$B167*(TSOFR3M+$H$7/10000+$F167)*$G167/DayBasis)</f>
        <v/>
      </c>
      <c r="S167" s="44">
        <f>IF($A167="",0,$B167*(TSOFR3M+$H$8/10000+$F167)*$G167/DayBasis)</f>
        <v/>
      </c>
      <c r="T167" s="44">
        <f>IF($A167="",0,$B167*(TSOFR3M+$H$9/10000+$F167)*$G167/DayBasis)</f>
        <v/>
      </c>
      <c r="U167" s="44">
        <f>IF($A167="",0,$B167*(TSOFR3M+$H$10/10000+$F167)*$G167/DayBasis)</f>
        <v/>
      </c>
      <c r="V167" s="44">
        <f>IF($A167="",0,$B167*(TSOFR3M+$H$12/10000+$F167)*$G167/DayBasis)</f>
        <v/>
      </c>
      <c r="W167" s="44">
        <f>IF(OR($A167="",$M$6&lt;&gt;"Y",$O$6=""),0,IF($H167&gt;=$O$6,$B167*(TSOFR3M+$H$6/10000+$F167)*$N$6/DayBasis,0))</f>
        <v/>
      </c>
      <c r="X167" s="44">
        <f>IF(OR($A167="",$M$7&lt;&gt;"Y",$O$7=""),0,IF($H167&gt;=$O$7,$B167*(TSOFR3M+$H$7/10000+$F167)*$N$7/DayBasis,0))</f>
        <v/>
      </c>
      <c r="Y167" s="44">
        <f>IF(OR($A167="",$M$8&lt;&gt;"Y",$O$8=""),0,IF($H167&gt;=$O$8,$B167*(TSOFR3M+$H$8/10000+$F167)*$N$8/DayBasis,0))</f>
        <v/>
      </c>
      <c r="Z167" s="44">
        <f>IF(OR($A167="",$M$9&lt;&gt;"Y",$O$9=""),0,IF($H167&gt;=$O$9,$B167*(TSOFR3M+$H$9/10000+$F167)*$N$9/DayBasis,0))</f>
        <v/>
      </c>
      <c r="AA167" s="44">
        <f>IF(OR($A167="",$M$10&lt;&gt;"Y",$O$10=""),0,IF($H167&gt;=$O$10,$B167*(TSOFR3M+$H$10/10000+$F167)*$N$10/DayBasis,0))</f>
        <v/>
      </c>
      <c r="AB167" s="44">
        <f>IF(OR($A167="",$M$12&lt;&gt;"Y",$O$12=""),0,IF($H167&gt;=$O$12,$B167*(TSOFR3M+$H$12/10000+$F167)*$N$12/DayBasis,0))</f>
        <v/>
      </c>
      <c r="AC167" s="50">
        <f>IF($A167="",0,MIN(1,$C167*$C$39))</f>
        <v/>
      </c>
      <c r="AD167" s="44">
        <f>IF($A167="",0,$B167*IF($I167=1,LGD_LC,MIN(1,LGD+$C$40))*(1-$E167))</f>
        <v/>
      </c>
      <c r="AE167" s="44">
        <f>IF(OR($A167="",$B167&lt;=0,$AC167&lt;=0),0,IF($AC167&gt;=1,$AD167,IF(_xlfn.NORM.S.INV(RAND())*SQRT(1-Rho)+$C$41*SQRT(Rho)&lt;_xlfn.NORM.S.INV($AC167),$AD167,0)))</f>
        <v/>
      </c>
      <c r="AG167" t="n">
        <v>161</v>
      </c>
      <c r="AH167" s="35" t="n">
        <v>0</v>
      </c>
    </row>
    <row r="168">
      <c r="A168" s="7">
        <f>IF('02_Buyers'!$A105="","",'02_Buyers'!$A105)</f>
        <v/>
      </c>
      <c r="B168" s="44">
        <f>IF($A168="",0,'02_Buyers'!$Z105)</f>
        <v/>
      </c>
      <c r="C168" s="50">
        <f>IF($A168="",0,'02_Buyers'!$AM105)</f>
        <v/>
      </c>
      <c r="D168" s="50">
        <f>IF($A168="",0,'02_Buyers'!$AN105)</f>
        <v/>
      </c>
      <c r="E168" s="50">
        <f>IF($A168="",0,'02_Buyers'!$AO105)</f>
        <v/>
      </c>
      <c r="F168" s="50">
        <f>IF($A168="",0,'02_Buyers'!$AP105)</f>
        <v/>
      </c>
      <c r="G168" s="45">
        <f>IF($A168="",0,'02_Buyers'!$V105)</f>
        <v/>
      </c>
      <c r="H168" s="45">
        <f>IF(OR($A168="",'02_Buyers'!$AC105=""),0,'02_Buyers'!$AC105)</f>
        <v/>
      </c>
      <c r="I168" s="45">
        <f>IF($A168="",0,IF(OR('02_Buyers'!$U105="LC_SIGHT",'02_Buyers'!$U105="LC_USANCE"),1,0))</f>
        <v/>
      </c>
      <c r="J168" s="7">
        <f>IF($A168="","",'02_Buyers'!$T105)</f>
        <v/>
      </c>
      <c r="K168" s="44">
        <f>IF($A168="",0,$B168*MIN(1,$C168*$J$6)*IF($I168=1,LGD_LC,MIN(1,LGD+$K$6))*(1-$E168))</f>
        <v/>
      </c>
      <c r="L168" s="44">
        <f>IF($A168="",0,$B168*MIN(1,$C168*$J$7)*IF($I168=1,LGD_LC,MIN(1,LGD+$K$7))*(1-$E168))</f>
        <v/>
      </c>
      <c r="M168" s="44">
        <f>IF($A168="",0,$B168*MIN(1,$C168*$J$8)*IF($I168=1,LGD_LC,MIN(1,LGD+$K$8))*(1-$E168))</f>
        <v/>
      </c>
      <c r="N168" s="44">
        <f>IF($A168="",0,$B168*MIN(1,$C168*$J$9)*IF($I168=1,LGD_LC,MIN(1,LGD+$K$9))*(1-$E168))</f>
        <v/>
      </c>
      <c r="O168" s="44">
        <f>IF($A168="",0,$B168*MIN(1,$C168*$J$10)*IF($I168=1,LGD_LC,MIN(1,LGD+$K$10))*(1-$E168))</f>
        <v/>
      </c>
      <c r="P168" s="44">
        <f>IF($A168="",0,$B168*MIN(1,$C168*$J$12)*IF($I168=1,LGD_LC,MIN(1,LGD+$K$12))*(1-$E168))</f>
        <v/>
      </c>
      <c r="Q168" s="44">
        <f>IF($A168="",0,$B168*(TSOFR3M+$H$6/10000+$F168)*$G168/DayBasis)</f>
        <v/>
      </c>
      <c r="R168" s="44">
        <f>IF($A168="",0,$B168*(TSOFR3M+$H$7/10000+$F168)*$G168/DayBasis)</f>
        <v/>
      </c>
      <c r="S168" s="44">
        <f>IF($A168="",0,$B168*(TSOFR3M+$H$8/10000+$F168)*$G168/DayBasis)</f>
        <v/>
      </c>
      <c r="T168" s="44">
        <f>IF($A168="",0,$B168*(TSOFR3M+$H$9/10000+$F168)*$G168/DayBasis)</f>
        <v/>
      </c>
      <c r="U168" s="44">
        <f>IF($A168="",0,$B168*(TSOFR3M+$H$10/10000+$F168)*$G168/DayBasis)</f>
        <v/>
      </c>
      <c r="V168" s="44">
        <f>IF($A168="",0,$B168*(TSOFR3M+$H$12/10000+$F168)*$G168/DayBasis)</f>
        <v/>
      </c>
      <c r="W168" s="44">
        <f>IF(OR($A168="",$M$6&lt;&gt;"Y",$O$6=""),0,IF($H168&gt;=$O$6,$B168*(TSOFR3M+$H$6/10000+$F168)*$N$6/DayBasis,0))</f>
        <v/>
      </c>
      <c r="X168" s="44">
        <f>IF(OR($A168="",$M$7&lt;&gt;"Y",$O$7=""),0,IF($H168&gt;=$O$7,$B168*(TSOFR3M+$H$7/10000+$F168)*$N$7/DayBasis,0))</f>
        <v/>
      </c>
      <c r="Y168" s="44">
        <f>IF(OR($A168="",$M$8&lt;&gt;"Y",$O$8=""),0,IF($H168&gt;=$O$8,$B168*(TSOFR3M+$H$8/10000+$F168)*$N$8/DayBasis,0))</f>
        <v/>
      </c>
      <c r="Z168" s="44">
        <f>IF(OR($A168="",$M$9&lt;&gt;"Y",$O$9=""),0,IF($H168&gt;=$O$9,$B168*(TSOFR3M+$H$9/10000+$F168)*$N$9/DayBasis,0))</f>
        <v/>
      </c>
      <c r="AA168" s="44">
        <f>IF(OR($A168="",$M$10&lt;&gt;"Y",$O$10=""),0,IF($H168&gt;=$O$10,$B168*(TSOFR3M+$H$10/10000+$F168)*$N$10/DayBasis,0))</f>
        <v/>
      </c>
      <c r="AB168" s="44">
        <f>IF(OR($A168="",$M$12&lt;&gt;"Y",$O$12=""),0,IF($H168&gt;=$O$12,$B168*(TSOFR3M+$H$12/10000+$F168)*$N$12/DayBasis,0))</f>
        <v/>
      </c>
      <c r="AC168" s="50">
        <f>IF($A168="",0,MIN(1,$C168*$C$39))</f>
        <v/>
      </c>
      <c r="AD168" s="44">
        <f>IF($A168="",0,$B168*IF($I168=1,LGD_LC,MIN(1,LGD+$C$40))*(1-$E168))</f>
        <v/>
      </c>
      <c r="AE168" s="44">
        <f>IF(OR($A168="",$B168&lt;=0,$AC168&lt;=0),0,IF($AC168&gt;=1,$AD168,IF(_xlfn.NORM.S.INV(RAND())*SQRT(1-Rho)+$C$41*SQRT(Rho)&lt;_xlfn.NORM.S.INV($AC168),$AD168,0)))</f>
        <v/>
      </c>
      <c r="AG168" t="n">
        <v>162</v>
      </c>
      <c r="AH168" s="35" t="n">
        <v>0</v>
      </c>
    </row>
    <row r="169">
      <c r="A169" s="7">
        <f>IF('02_Buyers'!$A106="","",'02_Buyers'!$A106)</f>
        <v/>
      </c>
      <c r="B169" s="44">
        <f>IF($A169="",0,'02_Buyers'!$Z106)</f>
        <v/>
      </c>
      <c r="C169" s="50">
        <f>IF($A169="",0,'02_Buyers'!$AM106)</f>
        <v/>
      </c>
      <c r="D169" s="50">
        <f>IF($A169="",0,'02_Buyers'!$AN106)</f>
        <v/>
      </c>
      <c r="E169" s="50">
        <f>IF($A169="",0,'02_Buyers'!$AO106)</f>
        <v/>
      </c>
      <c r="F169" s="50">
        <f>IF($A169="",0,'02_Buyers'!$AP106)</f>
        <v/>
      </c>
      <c r="G169" s="45">
        <f>IF($A169="",0,'02_Buyers'!$V106)</f>
        <v/>
      </c>
      <c r="H169" s="45">
        <f>IF(OR($A169="",'02_Buyers'!$AC106=""),0,'02_Buyers'!$AC106)</f>
        <v/>
      </c>
      <c r="I169" s="45">
        <f>IF($A169="",0,IF(OR('02_Buyers'!$U106="LC_SIGHT",'02_Buyers'!$U106="LC_USANCE"),1,0))</f>
        <v/>
      </c>
      <c r="J169" s="7">
        <f>IF($A169="","",'02_Buyers'!$T106)</f>
        <v/>
      </c>
      <c r="K169" s="44">
        <f>IF($A169="",0,$B169*MIN(1,$C169*$J$6)*IF($I169=1,LGD_LC,MIN(1,LGD+$K$6))*(1-$E169))</f>
        <v/>
      </c>
      <c r="L169" s="44">
        <f>IF($A169="",0,$B169*MIN(1,$C169*$J$7)*IF($I169=1,LGD_LC,MIN(1,LGD+$K$7))*(1-$E169))</f>
        <v/>
      </c>
      <c r="M169" s="44">
        <f>IF($A169="",0,$B169*MIN(1,$C169*$J$8)*IF($I169=1,LGD_LC,MIN(1,LGD+$K$8))*(1-$E169))</f>
        <v/>
      </c>
      <c r="N169" s="44">
        <f>IF($A169="",0,$B169*MIN(1,$C169*$J$9)*IF($I169=1,LGD_LC,MIN(1,LGD+$K$9))*(1-$E169))</f>
        <v/>
      </c>
      <c r="O169" s="44">
        <f>IF($A169="",0,$B169*MIN(1,$C169*$J$10)*IF($I169=1,LGD_LC,MIN(1,LGD+$K$10))*(1-$E169))</f>
        <v/>
      </c>
      <c r="P169" s="44">
        <f>IF($A169="",0,$B169*MIN(1,$C169*$J$12)*IF($I169=1,LGD_LC,MIN(1,LGD+$K$12))*(1-$E169))</f>
        <v/>
      </c>
      <c r="Q169" s="44">
        <f>IF($A169="",0,$B169*(TSOFR3M+$H$6/10000+$F169)*$G169/DayBasis)</f>
        <v/>
      </c>
      <c r="R169" s="44">
        <f>IF($A169="",0,$B169*(TSOFR3M+$H$7/10000+$F169)*$G169/DayBasis)</f>
        <v/>
      </c>
      <c r="S169" s="44">
        <f>IF($A169="",0,$B169*(TSOFR3M+$H$8/10000+$F169)*$G169/DayBasis)</f>
        <v/>
      </c>
      <c r="T169" s="44">
        <f>IF($A169="",0,$B169*(TSOFR3M+$H$9/10000+$F169)*$G169/DayBasis)</f>
        <v/>
      </c>
      <c r="U169" s="44">
        <f>IF($A169="",0,$B169*(TSOFR3M+$H$10/10000+$F169)*$G169/DayBasis)</f>
        <v/>
      </c>
      <c r="V169" s="44">
        <f>IF($A169="",0,$B169*(TSOFR3M+$H$12/10000+$F169)*$G169/DayBasis)</f>
        <v/>
      </c>
      <c r="W169" s="44">
        <f>IF(OR($A169="",$M$6&lt;&gt;"Y",$O$6=""),0,IF($H169&gt;=$O$6,$B169*(TSOFR3M+$H$6/10000+$F169)*$N$6/DayBasis,0))</f>
        <v/>
      </c>
      <c r="X169" s="44">
        <f>IF(OR($A169="",$M$7&lt;&gt;"Y",$O$7=""),0,IF($H169&gt;=$O$7,$B169*(TSOFR3M+$H$7/10000+$F169)*$N$7/DayBasis,0))</f>
        <v/>
      </c>
      <c r="Y169" s="44">
        <f>IF(OR($A169="",$M$8&lt;&gt;"Y",$O$8=""),0,IF($H169&gt;=$O$8,$B169*(TSOFR3M+$H$8/10000+$F169)*$N$8/DayBasis,0))</f>
        <v/>
      </c>
      <c r="Z169" s="44">
        <f>IF(OR($A169="",$M$9&lt;&gt;"Y",$O$9=""),0,IF($H169&gt;=$O$9,$B169*(TSOFR3M+$H$9/10000+$F169)*$N$9/DayBasis,0))</f>
        <v/>
      </c>
      <c r="AA169" s="44">
        <f>IF(OR($A169="",$M$10&lt;&gt;"Y",$O$10=""),0,IF($H169&gt;=$O$10,$B169*(TSOFR3M+$H$10/10000+$F169)*$N$10/DayBasis,0))</f>
        <v/>
      </c>
      <c r="AB169" s="44">
        <f>IF(OR($A169="",$M$12&lt;&gt;"Y",$O$12=""),0,IF($H169&gt;=$O$12,$B169*(TSOFR3M+$H$12/10000+$F169)*$N$12/DayBasis,0))</f>
        <v/>
      </c>
      <c r="AC169" s="50">
        <f>IF($A169="",0,MIN(1,$C169*$C$39))</f>
        <v/>
      </c>
      <c r="AD169" s="44">
        <f>IF($A169="",0,$B169*IF($I169=1,LGD_LC,MIN(1,LGD+$C$40))*(1-$E169))</f>
        <v/>
      </c>
      <c r="AE169" s="44">
        <f>IF(OR($A169="",$B169&lt;=0,$AC169&lt;=0),0,IF($AC169&gt;=1,$AD169,IF(_xlfn.NORM.S.INV(RAND())*SQRT(1-Rho)+$C$41*SQRT(Rho)&lt;_xlfn.NORM.S.INV($AC169),$AD169,0)))</f>
        <v/>
      </c>
      <c r="AG169" t="n">
        <v>163</v>
      </c>
      <c r="AH169" s="35" t="n">
        <v>0</v>
      </c>
    </row>
    <row r="170">
      <c r="A170" s="7">
        <f>IF('02_Buyers'!$A107="","",'02_Buyers'!$A107)</f>
        <v/>
      </c>
      <c r="B170" s="44">
        <f>IF($A170="",0,'02_Buyers'!$Z107)</f>
        <v/>
      </c>
      <c r="C170" s="50">
        <f>IF($A170="",0,'02_Buyers'!$AM107)</f>
        <v/>
      </c>
      <c r="D170" s="50">
        <f>IF($A170="",0,'02_Buyers'!$AN107)</f>
        <v/>
      </c>
      <c r="E170" s="50">
        <f>IF($A170="",0,'02_Buyers'!$AO107)</f>
        <v/>
      </c>
      <c r="F170" s="50">
        <f>IF($A170="",0,'02_Buyers'!$AP107)</f>
        <v/>
      </c>
      <c r="G170" s="45">
        <f>IF($A170="",0,'02_Buyers'!$V107)</f>
        <v/>
      </c>
      <c r="H170" s="45">
        <f>IF(OR($A170="",'02_Buyers'!$AC107=""),0,'02_Buyers'!$AC107)</f>
        <v/>
      </c>
      <c r="I170" s="45">
        <f>IF($A170="",0,IF(OR('02_Buyers'!$U107="LC_SIGHT",'02_Buyers'!$U107="LC_USANCE"),1,0))</f>
        <v/>
      </c>
      <c r="J170" s="7">
        <f>IF($A170="","",'02_Buyers'!$T107)</f>
        <v/>
      </c>
      <c r="K170" s="44">
        <f>IF($A170="",0,$B170*MIN(1,$C170*$J$6)*IF($I170=1,LGD_LC,MIN(1,LGD+$K$6))*(1-$E170))</f>
        <v/>
      </c>
      <c r="L170" s="44">
        <f>IF($A170="",0,$B170*MIN(1,$C170*$J$7)*IF($I170=1,LGD_LC,MIN(1,LGD+$K$7))*(1-$E170))</f>
        <v/>
      </c>
      <c r="M170" s="44">
        <f>IF($A170="",0,$B170*MIN(1,$C170*$J$8)*IF($I170=1,LGD_LC,MIN(1,LGD+$K$8))*(1-$E170))</f>
        <v/>
      </c>
      <c r="N170" s="44">
        <f>IF($A170="",0,$B170*MIN(1,$C170*$J$9)*IF($I170=1,LGD_LC,MIN(1,LGD+$K$9))*(1-$E170))</f>
        <v/>
      </c>
      <c r="O170" s="44">
        <f>IF($A170="",0,$B170*MIN(1,$C170*$J$10)*IF($I170=1,LGD_LC,MIN(1,LGD+$K$10))*(1-$E170))</f>
        <v/>
      </c>
      <c r="P170" s="44">
        <f>IF($A170="",0,$B170*MIN(1,$C170*$J$12)*IF($I170=1,LGD_LC,MIN(1,LGD+$K$12))*(1-$E170))</f>
        <v/>
      </c>
      <c r="Q170" s="44">
        <f>IF($A170="",0,$B170*(TSOFR3M+$H$6/10000+$F170)*$G170/DayBasis)</f>
        <v/>
      </c>
      <c r="R170" s="44">
        <f>IF($A170="",0,$B170*(TSOFR3M+$H$7/10000+$F170)*$G170/DayBasis)</f>
        <v/>
      </c>
      <c r="S170" s="44">
        <f>IF($A170="",0,$B170*(TSOFR3M+$H$8/10000+$F170)*$G170/DayBasis)</f>
        <v/>
      </c>
      <c r="T170" s="44">
        <f>IF($A170="",0,$B170*(TSOFR3M+$H$9/10000+$F170)*$G170/DayBasis)</f>
        <v/>
      </c>
      <c r="U170" s="44">
        <f>IF($A170="",0,$B170*(TSOFR3M+$H$10/10000+$F170)*$G170/DayBasis)</f>
        <v/>
      </c>
      <c r="V170" s="44">
        <f>IF($A170="",0,$B170*(TSOFR3M+$H$12/10000+$F170)*$G170/DayBasis)</f>
        <v/>
      </c>
      <c r="W170" s="44">
        <f>IF(OR($A170="",$M$6&lt;&gt;"Y",$O$6=""),0,IF($H170&gt;=$O$6,$B170*(TSOFR3M+$H$6/10000+$F170)*$N$6/DayBasis,0))</f>
        <v/>
      </c>
      <c r="X170" s="44">
        <f>IF(OR($A170="",$M$7&lt;&gt;"Y",$O$7=""),0,IF($H170&gt;=$O$7,$B170*(TSOFR3M+$H$7/10000+$F170)*$N$7/DayBasis,0))</f>
        <v/>
      </c>
      <c r="Y170" s="44">
        <f>IF(OR($A170="",$M$8&lt;&gt;"Y",$O$8=""),0,IF($H170&gt;=$O$8,$B170*(TSOFR3M+$H$8/10000+$F170)*$N$8/DayBasis,0))</f>
        <v/>
      </c>
      <c r="Z170" s="44">
        <f>IF(OR($A170="",$M$9&lt;&gt;"Y",$O$9=""),0,IF($H170&gt;=$O$9,$B170*(TSOFR3M+$H$9/10000+$F170)*$N$9/DayBasis,0))</f>
        <v/>
      </c>
      <c r="AA170" s="44">
        <f>IF(OR($A170="",$M$10&lt;&gt;"Y",$O$10=""),0,IF($H170&gt;=$O$10,$B170*(TSOFR3M+$H$10/10000+$F170)*$N$10/DayBasis,0))</f>
        <v/>
      </c>
      <c r="AB170" s="44">
        <f>IF(OR($A170="",$M$12&lt;&gt;"Y",$O$12=""),0,IF($H170&gt;=$O$12,$B170*(TSOFR3M+$H$12/10000+$F170)*$N$12/DayBasis,0))</f>
        <v/>
      </c>
      <c r="AC170" s="50">
        <f>IF($A170="",0,MIN(1,$C170*$C$39))</f>
        <v/>
      </c>
      <c r="AD170" s="44">
        <f>IF($A170="",0,$B170*IF($I170=1,LGD_LC,MIN(1,LGD+$C$40))*(1-$E170))</f>
        <v/>
      </c>
      <c r="AE170" s="44">
        <f>IF(OR($A170="",$B170&lt;=0,$AC170&lt;=0),0,IF($AC170&gt;=1,$AD170,IF(_xlfn.NORM.S.INV(RAND())*SQRT(1-Rho)+$C$41*SQRT(Rho)&lt;_xlfn.NORM.S.INV($AC170),$AD170,0)))</f>
        <v/>
      </c>
      <c r="AG170" t="n">
        <v>164</v>
      </c>
      <c r="AH170" s="35" t="n">
        <v>0</v>
      </c>
    </row>
    <row r="171">
      <c r="A171" s="7">
        <f>IF('02_Buyers'!$A108="","",'02_Buyers'!$A108)</f>
        <v/>
      </c>
      <c r="B171" s="44">
        <f>IF($A171="",0,'02_Buyers'!$Z108)</f>
        <v/>
      </c>
      <c r="C171" s="50">
        <f>IF($A171="",0,'02_Buyers'!$AM108)</f>
        <v/>
      </c>
      <c r="D171" s="50">
        <f>IF($A171="",0,'02_Buyers'!$AN108)</f>
        <v/>
      </c>
      <c r="E171" s="50">
        <f>IF($A171="",0,'02_Buyers'!$AO108)</f>
        <v/>
      </c>
      <c r="F171" s="50">
        <f>IF($A171="",0,'02_Buyers'!$AP108)</f>
        <v/>
      </c>
      <c r="G171" s="45">
        <f>IF($A171="",0,'02_Buyers'!$V108)</f>
        <v/>
      </c>
      <c r="H171" s="45">
        <f>IF(OR($A171="",'02_Buyers'!$AC108=""),0,'02_Buyers'!$AC108)</f>
        <v/>
      </c>
      <c r="I171" s="45">
        <f>IF($A171="",0,IF(OR('02_Buyers'!$U108="LC_SIGHT",'02_Buyers'!$U108="LC_USANCE"),1,0))</f>
        <v/>
      </c>
      <c r="J171" s="7">
        <f>IF($A171="","",'02_Buyers'!$T108)</f>
        <v/>
      </c>
      <c r="K171" s="44">
        <f>IF($A171="",0,$B171*MIN(1,$C171*$J$6)*IF($I171=1,LGD_LC,MIN(1,LGD+$K$6))*(1-$E171))</f>
        <v/>
      </c>
      <c r="L171" s="44">
        <f>IF($A171="",0,$B171*MIN(1,$C171*$J$7)*IF($I171=1,LGD_LC,MIN(1,LGD+$K$7))*(1-$E171))</f>
        <v/>
      </c>
      <c r="M171" s="44">
        <f>IF($A171="",0,$B171*MIN(1,$C171*$J$8)*IF($I171=1,LGD_LC,MIN(1,LGD+$K$8))*(1-$E171))</f>
        <v/>
      </c>
      <c r="N171" s="44">
        <f>IF($A171="",0,$B171*MIN(1,$C171*$J$9)*IF($I171=1,LGD_LC,MIN(1,LGD+$K$9))*(1-$E171))</f>
        <v/>
      </c>
      <c r="O171" s="44">
        <f>IF($A171="",0,$B171*MIN(1,$C171*$J$10)*IF($I171=1,LGD_LC,MIN(1,LGD+$K$10))*(1-$E171))</f>
        <v/>
      </c>
      <c r="P171" s="44">
        <f>IF($A171="",0,$B171*MIN(1,$C171*$J$12)*IF($I171=1,LGD_LC,MIN(1,LGD+$K$12))*(1-$E171))</f>
        <v/>
      </c>
      <c r="Q171" s="44">
        <f>IF($A171="",0,$B171*(TSOFR3M+$H$6/10000+$F171)*$G171/DayBasis)</f>
        <v/>
      </c>
      <c r="R171" s="44">
        <f>IF($A171="",0,$B171*(TSOFR3M+$H$7/10000+$F171)*$G171/DayBasis)</f>
        <v/>
      </c>
      <c r="S171" s="44">
        <f>IF($A171="",0,$B171*(TSOFR3M+$H$8/10000+$F171)*$G171/DayBasis)</f>
        <v/>
      </c>
      <c r="T171" s="44">
        <f>IF($A171="",0,$B171*(TSOFR3M+$H$9/10000+$F171)*$G171/DayBasis)</f>
        <v/>
      </c>
      <c r="U171" s="44">
        <f>IF($A171="",0,$B171*(TSOFR3M+$H$10/10000+$F171)*$G171/DayBasis)</f>
        <v/>
      </c>
      <c r="V171" s="44">
        <f>IF($A171="",0,$B171*(TSOFR3M+$H$12/10000+$F171)*$G171/DayBasis)</f>
        <v/>
      </c>
      <c r="W171" s="44">
        <f>IF(OR($A171="",$M$6&lt;&gt;"Y",$O$6=""),0,IF($H171&gt;=$O$6,$B171*(TSOFR3M+$H$6/10000+$F171)*$N$6/DayBasis,0))</f>
        <v/>
      </c>
      <c r="X171" s="44">
        <f>IF(OR($A171="",$M$7&lt;&gt;"Y",$O$7=""),0,IF($H171&gt;=$O$7,$B171*(TSOFR3M+$H$7/10000+$F171)*$N$7/DayBasis,0))</f>
        <v/>
      </c>
      <c r="Y171" s="44">
        <f>IF(OR($A171="",$M$8&lt;&gt;"Y",$O$8=""),0,IF($H171&gt;=$O$8,$B171*(TSOFR3M+$H$8/10000+$F171)*$N$8/DayBasis,0))</f>
        <v/>
      </c>
      <c r="Z171" s="44">
        <f>IF(OR($A171="",$M$9&lt;&gt;"Y",$O$9=""),0,IF($H171&gt;=$O$9,$B171*(TSOFR3M+$H$9/10000+$F171)*$N$9/DayBasis,0))</f>
        <v/>
      </c>
      <c r="AA171" s="44">
        <f>IF(OR($A171="",$M$10&lt;&gt;"Y",$O$10=""),0,IF($H171&gt;=$O$10,$B171*(TSOFR3M+$H$10/10000+$F171)*$N$10/DayBasis,0))</f>
        <v/>
      </c>
      <c r="AB171" s="44">
        <f>IF(OR($A171="",$M$12&lt;&gt;"Y",$O$12=""),0,IF($H171&gt;=$O$12,$B171*(TSOFR3M+$H$12/10000+$F171)*$N$12/DayBasis,0))</f>
        <v/>
      </c>
      <c r="AC171" s="50">
        <f>IF($A171="",0,MIN(1,$C171*$C$39))</f>
        <v/>
      </c>
      <c r="AD171" s="44">
        <f>IF($A171="",0,$B171*IF($I171=1,LGD_LC,MIN(1,LGD+$C$40))*(1-$E171))</f>
        <v/>
      </c>
      <c r="AE171" s="44">
        <f>IF(OR($A171="",$B171&lt;=0,$AC171&lt;=0),0,IF($AC171&gt;=1,$AD171,IF(_xlfn.NORM.S.INV(RAND())*SQRT(1-Rho)+$C$41*SQRT(Rho)&lt;_xlfn.NORM.S.INV($AC171),$AD171,0)))</f>
        <v/>
      </c>
      <c r="AG171" t="n">
        <v>165</v>
      </c>
      <c r="AH171" s="35" t="n">
        <v>0</v>
      </c>
    </row>
    <row r="172">
      <c r="A172" s="7">
        <f>IF('02_Buyers'!$A109="","",'02_Buyers'!$A109)</f>
        <v/>
      </c>
      <c r="B172" s="44">
        <f>IF($A172="",0,'02_Buyers'!$Z109)</f>
        <v/>
      </c>
      <c r="C172" s="50">
        <f>IF($A172="",0,'02_Buyers'!$AM109)</f>
        <v/>
      </c>
      <c r="D172" s="50">
        <f>IF($A172="",0,'02_Buyers'!$AN109)</f>
        <v/>
      </c>
      <c r="E172" s="50">
        <f>IF($A172="",0,'02_Buyers'!$AO109)</f>
        <v/>
      </c>
      <c r="F172" s="50">
        <f>IF($A172="",0,'02_Buyers'!$AP109)</f>
        <v/>
      </c>
      <c r="G172" s="45">
        <f>IF($A172="",0,'02_Buyers'!$V109)</f>
        <v/>
      </c>
      <c r="H172" s="45">
        <f>IF(OR($A172="",'02_Buyers'!$AC109=""),0,'02_Buyers'!$AC109)</f>
        <v/>
      </c>
      <c r="I172" s="45">
        <f>IF($A172="",0,IF(OR('02_Buyers'!$U109="LC_SIGHT",'02_Buyers'!$U109="LC_USANCE"),1,0))</f>
        <v/>
      </c>
      <c r="J172" s="7">
        <f>IF($A172="","",'02_Buyers'!$T109)</f>
        <v/>
      </c>
      <c r="K172" s="44">
        <f>IF($A172="",0,$B172*MIN(1,$C172*$J$6)*IF($I172=1,LGD_LC,MIN(1,LGD+$K$6))*(1-$E172))</f>
        <v/>
      </c>
      <c r="L172" s="44">
        <f>IF($A172="",0,$B172*MIN(1,$C172*$J$7)*IF($I172=1,LGD_LC,MIN(1,LGD+$K$7))*(1-$E172))</f>
        <v/>
      </c>
      <c r="M172" s="44">
        <f>IF($A172="",0,$B172*MIN(1,$C172*$J$8)*IF($I172=1,LGD_LC,MIN(1,LGD+$K$8))*(1-$E172))</f>
        <v/>
      </c>
      <c r="N172" s="44">
        <f>IF($A172="",0,$B172*MIN(1,$C172*$J$9)*IF($I172=1,LGD_LC,MIN(1,LGD+$K$9))*(1-$E172))</f>
        <v/>
      </c>
      <c r="O172" s="44">
        <f>IF($A172="",0,$B172*MIN(1,$C172*$J$10)*IF($I172=1,LGD_LC,MIN(1,LGD+$K$10))*(1-$E172))</f>
        <v/>
      </c>
      <c r="P172" s="44">
        <f>IF($A172="",0,$B172*MIN(1,$C172*$J$12)*IF($I172=1,LGD_LC,MIN(1,LGD+$K$12))*(1-$E172))</f>
        <v/>
      </c>
      <c r="Q172" s="44">
        <f>IF($A172="",0,$B172*(TSOFR3M+$H$6/10000+$F172)*$G172/DayBasis)</f>
        <v/>
      </c>
      <c r="R172" s="44">
        <f>IF($A172="",0,$B172*(TSOFR3M+$H$7/10000+$F172)*$G172/DayBasis)</f>
        <v/>
      </c>
      <c r="S172" s="44">
        <f>IF($A172="",0,$B172*(TSOFR3M+$H$8/10000+$F172)*$G172/DayBasis)</f>
        <v/>
      </c>
      <c r="T172" s="44">
        <f>IF($A172="",0,$B172*(TSOFR3M+$H$9/10000+$F172)*$G172/DayBasis)</f>
        <v/>
      </c>
      <c r="U172" s="44">
        <f>IF($A172="",0,$B172*(TSOFR3M+$H$10/10000+$F172)*$G172/DayBasis)</f>
        <v/>
      </c>
      <c r="V172" s="44">
        <f>IF($A172="",0,$B172*(TSOFR3M+$H$12/10000+$F172)*$G172/DayBasis)</f>
        <v/>
      </c>
      <c r="W172" s="44">
        <f>IF(OR($A172="",$M$6&lt;&gt;"Y",$O$6=""),0,IF($H172&gt;=$O$6,$B172*(TSOFR3M+$H$6/10000+$F172)*$N$6/DayBasis,0))</f>
        <v/>
      </c>
      <c r="X172" s="44">
        <f>IF(OR($A172="",$M$7&lt;&gt;"Y",$O$7=""),0,IF($H172&gt;=$O$7,$B172*(TSOFR3M+$H$7/10000+$F172)*$N$7/DayBasis,0))</f>
        <v/>
      </c>
      <c r="Y172" s="44">
        <f>IF(OR($A172="",$M$8&lt;&gt;"Y",$O$8=""),0,IF($H172&gt;=$O$8,$B172*(TSOFR3M+$H$8/10000+$F172)*$N$8/DayBasis,0))</f>
        <v/>
      </c>
      <c r="Z172" s="44">
        <f>IF(OR($A172="",$M$9&lt;&gt;"Y",$O$9=""),0,IF($H172&gt;=$O$9,$B172*(TSOFR3M+$H$9/10000+$F172)*$N$9/DayBasis,0))</f>
        <v/>
      </c>
      <c r="AA172" s="44">
        <f>IF(OR($A172="",$M$10&lt;&gt;"Y",$O$10=""),0,IF($H172&gt;=$O$10,$B172*(TSOFR3M+$H$10/10000+$F172)*$N$10/DayBasis,0))</f>
        <v/>
      </c>
      <c r="AB172" s="44">
        <f>IF(OR($A172="",$M$12&lt;&gt;"Y",$O$12=""),0,IF($H172&gt;=$O$12,$B172*(TSOFR3M+$H$12/10000+$F172)*$N$12/DayBasis,0))</f>
        <v/>
      </c>
      <c r="AC172" s="50">
        <f>IF($A172="",0,MIN(1,$C172*$C$39))</f>
        <v/>
      </c>
      <c r="AD172" s="44">
        <f>IF($A172="",0,$B172*IF($I172=1,LGD_LC,MIN(1,LGD+$C$40))*(1-$E172))</f>
        <v/>
      </c>
      <c r="AE172" s="44">
        <f>IF(OR($A172="",$B172&lt;=0,$AC172&lt;=0),0,IF($AC172&gt;=1,$AD172,IF(_xlfn.NORM.S.INV(RAND())*SQRT(1-Rho)+$C$41*SQRT(Rho)&lt;_xlfn.NORM.S.INV($AC172),$AD172,0)))</f>
        <v/>
      </c>
      <c r="AG172" t="n">
        <v>166</v>
      </c>
      <c r="AH172" s="35" t="n">
        <v>0</v>
      </c>
    </row>
    <row r="173">
      <c r="A173" s="7">
        <f>IF('02_Buyers'!$A110="","",'02_Buyers'!$A110)</f>
        <v/>
      </c>
      <c r="B173" s="44">
        <f>IF($A173="",0,'02_Buyers'!$Z110)</f>
        <v/>
      </c>
      <c r="C173" s="50">
        <f>IF($A173="",0,'02_Buyers'!$AM110)</f>
        <v/>
      </c>
      <c r="D173" s="50">
        <f>IF($A173="",0,'02_Buyers'!$AN110)</f>
        <v/>
      </c>
      <c r="E173" s="50">
        <f>IF($A173="",0,'02_Buyers'!$AO110)</f>
        <v/>
      </c>
      <c r="F173" s="50">
        <f>IF($A173="",0,'02_Buyers'!$AP110)</f>
        <v/>
      </c>
      <c r="G173" s="45">
        <f>IF($A173="",0,'02_Buyers'!$V110)</f>
        <v/>
      </c>
      <c r="H173" s="45">
        <f>IF(OR($A173="",'02_Buyers'!$AC110=""),0,'02_Buyers'!$AC110)</f>
        <v/>
      </c>
      <c r="I173" s="45">
        <f>IF($A173="",0,IF(OR('02_Buyers'!$U110="LC_SIGHT",'02_Buyers'!$U110="LC_USANCE"),1,0))</f>
        <v/>
      </c>
      <c r="J173" s="7">
        <f>IF($A173="","",'02_Buyers'!$T110)</f>
        <v/>
      </c>
      <c r="K173" s="44">
        <f>IF($A173="",0,$B173*MIN(1,$C173*$J$6)*IF($I173=1,LGD_LC,MIN(1,LGD+$K$6))*(1-$E173))</f>
        <v/>
      </c>
      <c r="L173" s="44">
        <f>IF($A173="",0,$B173*MIN(1,$C173*$J$7)*IF($I173=1,LGD_LC,MIN(1,LGD+$K$7))*(1-$E173))</f>
        <v/>
      </c>
      <c r="M173" s="44">
        <f>IF($A173="",0,$B173*MIN(1,$C173*$J$8)*IF($I173=1,LGD_LC,MIN(1,LGD+$K$8))*(1-$E173))</f>
        <v/>
      </c>
      <c r="N173" s="44">
        <f>IF($A173="",0,$B173*MIN(1,$C173*$J$9)*IF($I173=1,LGD_LC,MIN(1,LGD+$K$9))*(1-$E173))</f>
        <v/>
      </c>
      <c r="O173" s="44">
        <f>IF($A173="",0,$B173*MIN(1,$C173*$J$10)*IF($I173=1,LGD_LC,MIN(1,LGD+$K$10))*(1-$E173))</f>
        <v/>
      </c>
      <c r="P173" s="44">
        <f>IF($A173="",0,$B173*MIN(1,$C173*$J$12)*IF($I173=1,LGD_LC,MIN(1,LGD+$K$12))*(1-$E173))</f>
        <v/>
      </c>
      <c r="Q173" s="44">
        <f>IF($A173="",0,$B173*(TSOFR3M+$H$6/10000+$F173)*$G173/DayBasis)</f>
        <v/>
      </c>
      <c r="R173" s="44">
        <f>IF($A173="",0,$B173*(TSOFR3M+$H$7/10000+$F173)*$G173/DayBasis)</f>
        <v/>
      </c>
      <c r="S173" s="44">
        <f>IF($A173="",0,$B173*(TSOFR3M+$H$8/10000+$F173)*$G173/DayBasis)</f>
        <v/>
      </c>
      <c r="T173" s="44">
        <f>IF($A173="",0,$B173*(TSOFR3M+$H$9/10000+$F173)*$G173/DayBasis)</f>
        <v/>
      </c>
      <c r="U173" s="44">
        <f>IF($A173="",0,$B173*(TSOFR3M+$H$10/10000+$F173)*$G173/DayBasis)</f>
        <v/>
      </c>
      <c r="V173" s="44">
        <f>IF($A173="",0,$B173*(TSOFR3M+$H$12/10000+$F173)*$G173/DayBasis)</f>
        <v/>
      </c>
      <c r="W173" s="44">
        <f>IF(OR($A173="",$M$6&lt;&gt;"Y",$O$6=""),0,IF($H173&gt;=$O$6,$B173*(TSOFR3M+$H$6/10000+$F173)*$N$6/DayBasis,0))</f>
        <v/>
      </c>
      <c r="X173" s="44">
        <f>IF(OR($A173="",$M$7&lt;&gt;"Y",$O$7=""),0,IF($H173&gt;=$O$7,$B173*(TSOFR3M+$H$7/10000+$F173)*$N$7/DayBasis,0))</f>
        <v/>
      </c>
      <c r="Y173" s="44">
        <f>IF(OR($A173="",$M$8&lt;&gt;"Y",$O$8=""),0,IF($H173&gt;=$O$8,$B173*(TSOFR3M+$H$8/10000+$F173)*$N$8/DayBasis,0))</f>
        <v/>
      </c>
      <c r="Z173" s="44">
        <f>IF(OR($A173="",$M$9&lt;&gt;"Y",$O$9=""),0,IF($H173&gt;=$O$9,$B173*(TSOFR3M+$H$9/10000+$F173)*$N$9/DayBasis,0))</f>
        <v/>
      </c>
      <c r="AA173" s="44">
        <f>IF(OR($A173="",$M$10&lt;&gt;"Y",$O$10=""),0,IF($H173&gt;=$O$10,$B173*(TSOFR3M+$H$10/10000+$F173)*$N$10/DayBasis,0))</f>
        <v/>
      </c>
      <c r="AB173" s="44">
        <f>IF(OR($A173="",$M$12&lt;&gt;"Y",$O$12=""),0,IF($H173&gt;=$O$12,$B173*(TSOFR3M+$H$12/10000+$F173)*$N$12/DayBasis,0))</f>
        <v/>
      </c>
      <c r="AC173" s="50">
        <f>IF($A173="",0,MIN(1,$C173*$C$39))</f>
        <v/>
      </c>
      <c r="AD173" s="44">
        <f>IF($A173="",0,$B173*IF($I173=1,LGD_LC,MIN(1,LGD+$C$40))*(1-$E173))</f>
        <v/>
      </c>
      <c r="AE173" s="44">
        <f>IF(OR($A173="",$B173&lt;=0,$AC173&lt;=0),0,IF($AC173&gt;=1,$AD173,IF(_xlfn.NORM.S.INV(RAND())*SQRT(1-Rho)+$C$41*SQRT(Rho)&lt;_xlfn.NORM.S.INV($AC173),$AD173,0)))</f>
        <v/>
      </c>
      <c r="AG173" t="n">
        <v>167</v>
      </c>
      <c r="AH173" s="35" t="n">
        <v>0</v>
      </c>
    </row>
    <row r="174">
      <c r="A174" s="7">
        <f>IF('02_Buyers'!$A111="","",'02_Buyers'!$A111)</f>
        <v/>
      </c>
      <c r="B174" s="44">
        <f>IF($A174="",0,'02_Buyers'!$Z111)</f>
        <v/>
      </c>
      <c r="C174" s="50">
        <f>IF($A174="",0,'02_Buyers'!$AM111)</f>
        <v/>
      </c>
      <c r="D174" s="50">
        <f>IF($A174="",0,'02_Buyers'!$AN111)</f>
        <v/>
      </c>
      <c r="E174" s="50">
        <f>IF($A174="",0,'02_Buyers'!$AO111)</f>
        <v/>
      </c>
      <c r="F174" s="50">
        <f>IF($A174="",0,'02_Buyers'!$AP111)</f>
        <v/>
      </c>
      <c r="G174" s="45">
        <f>IF($A174="",0,'02_Buyers'!$V111)</f>
        <v/>
      </c>
      <c r="H174" s="45">
        <f>IF(OR($A174="",'02_Buyers'!$AC111=""),0,'02_Buyers'!$AC111)</f>
        <v/>
      </c>
      <c r="I174" s="45">
        <f>IF($A174="",0,IF(OR('02_Buyers'!$U111="LC_SIGHT",'02_Buyers'!$U111="LC_USANCE"),1,0))</f>
        <v/>
      </c>
      <c r="J174" s="7">
        <f>IF($A174="","",'02_Buyers'!$T111)</f>
        <v/>
      </c>
      <c r="K174" s="44">
        <f>IF($A174="",0,$B174*MIN(1,$C174*$J$6)*IF($I174=1,LGD_LC,MIN(1,LGD+$K$6))*(1-$E174))</f>
        <v/>
      </c>
      <c r="L174" s="44">
        <f>IF($A174="",0,$B174*MIN(1,$C174*$J$7)*IF($I174=1,LGD_LC,MIN(1,LGD+$K$7))*(1-$E174))</f>
        <v/>
      </c>
      <c r="M174" s="44">
        <f>IF($A174="",0,$B174*MIN(1,$C174*$J$8)*IF($I174=1,LGD_LC,MIN(1,LGD+$K$8))*(1-$E174))</f>
        <v/>
      </c>
      <c r="N174" s="44">
        <f>IF($A174="",0,$B174*MIN(1,$C174*$J$9)*IF($I174=1,LGD_LC,MIN(1,LGD+$K$9))*(1-$E174))</f>
        <v/>
      </c>
      <c r="O174" s="44">
        <f>IF($A174="",0,$B174*MIN(1,$C174*$J$10)*IF($I174=1,LGD_LC,MIN(1,LGD+$K$10))*(1-$E174))</f>
        <v/>
      </c>
      <c r="P174" s="44">
        <f>IF($A174="",0,$B174*MIN(1,$C174*$J$12)*IF($I174=1,LGD_LC,MIN(1,LGD+$K$12))*(1-$E174))</f>
        <v/>
      </c>
      <c r="Q174" s="44">
        <f>IF($A174="",0,$B174*(TSOFR3M+$H$6/10000+$F174)*$G174/DayBasis)</f>
        <v/>
      </c>
      <c r="R174" s="44">
        <f>IF($A174="",0,$B174*(TSOFR3M+$H$7/10000+$F174)*$G174/DayBasis)</f>
        <v/>
      </c>
      <c r="S174" s="44">
        <f>IF($A174="",0,$B174*(TSOFR3M+$H$8/10000+$F174)*$G174/DayBasis)</f>
        <v/>
      </c>
      <c r="T174" s="44">
        <f>IF($A174="",0,$B174*(TSOFR3M+$H$9/10000+$F174)*$G174/DayBasis)</f>
        <v/>
      </c>
      <c r="U174" s="44">
        <f>IF($A174="",0,$B174*(TSOFR3M+$H$10/10000+$F174)*$G174/DayBasis)</f>
        <v/>
      </c>
      <c r="V174" s="44">
        <f>IF($A174="",0,$B174*(TSOFR3M+$H$12/10000+$F174)*$G174/DayBasis)</f>
        <v/>
      </c>
      <c r="W174" s="44">
        <f>IF(OR($A174="",$M$6&lt;&gt;"Y",$O$6=""),0,IF($H174&gt;=$O$6,$B174*(TSOFR3M+$H$6/10000+$F174)*$N$6/DayBasis,0))</f>
        <v/>
      </c>
      <c r="X174" s="44">
        <f>IF(OR($A174="",$M$7&lt;&gt;"Y",$O$7=""),0,IF($H174&gt;=$O$7,$B174*(TSOFR3M+$H$7/10000+$F174)*$N$7/DayBasis,0))</f>
        <v/>
      </c>
      <c r="Y174" s="44">
        <f>IF(OR($A174="",$M$8&lt;&gt;"Y",$O$8=""),0,IF($H174&gt;=$O$8,$B174*(TSOFR3M+$H$8/10000+$F174)*$N$8/DayBasis,0))</f>
        <v/>
      </c>
      <c r="Z174" s="44">
        <f>IF(OR($A174="",$M$9&lt;&gt;"Y",$O$9=""),0,IF($H174&gt;=$O$9,$B174*(TSOFR3M+$H$9/10000+$F174)*$N$9/DayBasis,0))</f>
        <v/>
      </c>
      <c r="AA174" s="44">
        <f>IF(OR($A174="",$M$10&lt;&gt;"Y",$O$10=""),0,IF($H174&gt;=$O$10,$B174*(TSOFR3M+$H$10/10000+$F174)*$N$10/DayBasis,0))</f>
        <v/>
      </c>
      <c r="AB174" s="44">
        <f>IF(OR($A174="",$M$12&lt;&gt;"Y",$O$12=""),0,IF($H174&gt;=$O$12,$B174*(TSOFR3M+$H$12/10000+$F174)*$N$12/DayBasis,0))</f>
        <v/>
      </c>
      <c r="AC174" s="50">
        <f>IF($A174="",0,MIN(1,$C174*$C$39))</f>
        <v/>
      </c>
      <c r="AD174" s="44">
        <f>IF($A174="",0,$B174*IF($I174=1,LGD_LC,MIN(1,LGD+$C$40))*(1-$E174))</f>
        <v/>
      </c>
      <c r="AE174" s="44">
        <f>IF(OR($A174="",$B174&lt;=0,$AC174&lt;=0),0,IF($AC174&gt;=1,$AD174,IF(_xlfn.NORM.S.INV(RAND())*SQRT(1-Rho)+$C$41*SQRT(Rho)&lt;_xlfn.NORM.S.INV($AC174),$AD174,0)))</f>
        <v/>
      </c>
      <c r="AG174" t="n">
        <v>168</v>
      </c>
      <c r="AH174" s="35" t="n">
        <v>0</v>
      </c>
    </row>
    <row r="175">
      <c r="A175" s="7">
        <f>IF('02_Buyers'!$A112="","",'02_Buyers'!$A112)</f>
        <v/>
      </c>
      <c r="B175" s="44">
        <f>IF($A175="",0,'02_Buyers'!$Z112)</f>
        <v/>
      </c>
      <c r="C175" s="50">
        <f>IF($A175="",0,'02_Buyers'!$AM112)</f>
        <v/>
      </c>
      <c r="D175" s="50">
        <f>IF($A175="",0,'02_Buyers'!$AN112)</f>
        <v/>
      </c>
      <c r="E175" s="50">
        <f>IF($A175="",0,'02_Buyers'!$AO112)</f>
        <v/>
      </c>
      <c r="F175" s="50">
        <f>IF($A175="",0,'02_Buyers'!$AP112)</f>
        <v/>
      </c>
      <c r="G175" s="45">
        <f>IF($A175="",0,'02_Buyers'!$V112)</f>
        <v/>
      </c>
      <c r="H175" s="45">
        <f>IF(OR($A175="",'02_Buyers'!$AC112=""),0,'02_Buyers'!$AC112)</f>
        <v/>
      </c>
      <c r="I175" s="45">
        <f>IF($A175="",0,IF(OR('02_Buyers'!$U112="LC_SIGHT",'02_Buyers'!$U112="LC_USANCE"),1,0))</f>
        <v/>
      </c>
      <c r="J175" s="7">
        <f>IF($A175="","",'02_Buyers'!$T112)</f>
        <v/>
      </c>
      <c r="K175" s="44">
        <f>IF($A175="",0,$B175*MIN(1,$C175*$J$6)*IF($I175=1,LGD_LC,MIN(1,LGD+$K$6))*(1-$E175))</f>
        <v/>
      </c>
      <c r="L175" s="44">
        <f>IF($A175="",0,$B175*MIN(1,$C175*$J$7)*IF($I175=1,LGD_LC,MIN(1,LGD+$K$7))*(1-$E175))</f>
        <v/>
      </c>
      <c r="M175" s="44">
        <f>IF($A175="",0,$B175*MIN(1,$C175*$J$8)*IF($I175=1,LGD_LC,MIN(1,LGD+$K$8))*(1-$E175))</f>
        <v/>
      </c>
      <c r="N175" s="44">
        <f>IF($A175="",0,$B175*MIN(1,$C175*$J$9)*IF($I175=1,LGD_LC,MIN(1,LGD+$K$9))*(1-$E175))</f>
        <v/>
      </c>
      <c r="O175" s="44">
        <f>IF($A175="",0,$B175*MIN(1,$C175*$J$10)*IF($I175=1,LGD_LC,MIN(1,LGD+$K$10))*(1-$E175))</f>
        <v/>
      </c>
      <c r="P175" s="44">
        <f>IF($A175="",0,$B175*MIN(1,$C175*$J$12)*IF($I175=1,LGD_LC,MIN(1,LGD+$K$12))*(1-$E175))</f>
        <v/>
      </c>
      <c r="Q175" s="44">
        <f>IF($A175="",0,$B175*(TSOFR3M+$H$6/10000+$F175)*$G175/DayBasis)</f>
        <v/>
      </c>
      <c r="R175" s="44">
        <f>IF($A175="",0,$B175*(TSOFR3M+$H$7/10000+$F175)*$G175/DayBasis)</f>
        <v/>
      </c>
      <c r="S175" s="44">
        <f>IF($A175="",0,$B175*(TSOFR3M+$H$8/10000+$F175)*$G175/DayBasis)</f>
        <v/>
      </c>
      <c r="T175" s="44">
        <f>IF($A175="",0,$B175*(TSOFR3M+$H$9/10000+$F175)*$G175/DayBasis)</f>
        <v/>
      </c>
      <c r="U175" s="44">
        <f>IF($A175="",0,$B175*(TSOFR3M+$H$10/10000+$F175)*$G175/DayBasis)</f>
        <v/>
      </c>
      <c r="V175" s="44">
        <f>IF($A175="",0,$B175*(TSOFR3M+$H$12/10000+$F175)*$G175/DayBasis)</f>
        <v/>
      </c>
      <c r="W175" s="44">
        <f>IF(OR($A175="",$M$6&lt;&gt;"Y",$O$6=""),0,IF($H175&gt;=$O$6,$B175*(TSOFR3M+$H$6/10000+$F175)*$N$6/DayBasis,0))</f>
        <v/>
      </c>
      <c r="X175" s="44">
        <f>IF(OR($A175="",$M$7&lt;&gt;"Y",$O$7=""),0,IF($H175&gt;=$O$7,$B175*(TSOFR3M+$H$7/10000+$F175)*$N$7/DayBasis,0))</f>
        <v/>
      </c>
      <c r="Y175" s="44">
        <f>IF(OR($A175="",$M$8&lt;&gt;"Y",$O$8=""),0,IF($H175&gt;=$O$8,$B175*(TSOFR3M+$H$8/10000+$F175)*$N$8/DayBasis,0))</f>
        <v/>
      </c>
      <c r="Z175" s="44">
        <f>IF(OR($A175="",$M$9&lt;&gt;"Y",$O$9=""),0,IF($H175&gt;=$O$9,$B175*(TSOFR3M+$H$9/10000+$F175)*$N$9/DayBasis,0))</f>
        <v/>
      </c>
      <c r="AA175" s="44">
        <f>IF(OR($A175="",$M$10&lt;&gt;"Y",$O$10=""),0,IF($H175&gt;=$O$10,$B175*(TSOFR3M+$H$10/10000+$F175)*$N$10/DayBasis,0))</f>
        <v/>
      </c>
      <c r="AB175" s="44">
        <f>IF(OR($A175="",$M$12&lt;&gt;"Y",$O$12=""),0,IF($H175&gt;=$O$12,$B175*(TSOFR3M+$H$12/10000+$F175)*$N$12/DayBasis,0))</f>
        <v/>
      </c>
      <c r="AC175" s="50">
        <f>IF($A175="",0,MIN(1,$C175*$C$39))</f>
        <v/>
      </c>
      <c r="AD175" s="44">
        <f>IF($A175="",0,$B175*IF($I175=1,LGD_LC,MIN(1,LGD+$C$40))*(1-$E175))</f>
        <v/>
      </c>
      <c r="AE175" s="44">
        <f>IF(OR($A175="",$B175&lt;=0,$AC175&lt;=0),0,IF($AC175&gt;=1,$AD175,IF(_xlfn.NORM.S.INV(RAND())*SQRT(1-Rho)+$C$41*SQRT(Rho)&lt;_xlfn.NORM.S.INV($AC175),$AD175,0)))</f>
        <v/>
      </c>
      <c r="AG175" t="n">
        <v>169</v>
      </c>
      <c r="AH175" s="35" t="n">
        <v>0</v>
      </c>
    </row>
    <row r="176">
      <c r="A176" s="7">
        <f>IF('02_Buyers'!$A113="","",'02_Buyers'!$A113)</f>
        <v/>
      </c>
      <c r="B176" s="44">
        <f>IF($A176="",0,'02_Buyers'!$Z113)</f>
        <v/>
      </c>
      <c r="C176" s="50">
        <f>IF($A176="",0,'02_Buyers'!$AM113)</f>
        <v/>
      </c>
      <c r="D176" s="50">
        <f>IF($A176="",0,'02_Buyers'!$AN113)</f>
        <v/>
      </c>
      <c r="E176" s="50">
        <f>IF($A176="",0,'02_Buyers'!$AO113)</f>
        <v/>
      </c>
      <c r="F176" s="50">
        <f>IF($A176="",0,'02_Buyers'!$AP113)</f>
        <v/>
      </c>
      <c r="G176" s="45">
        <f>IF($A176="",0,'02_Buyers'!$V113)</f>
        <v/>
      </c>
      <c r="H176" s="45">
        <f>IF(OR($A176="",'02_Buyers'!$AC113=""),0,'02_Buyers'!$AC113)</f>
        <v/>
      </c>
      <c r="I176" s="45">
        <f>IF($A176="",0,IF(OR('02_Buyers'!$U113="LC_SIGHT",'02_Buyers'!$U113="LC_USANCE"),1,0))</f>
        <v/>
      </c>
      <c r="J176" s="7">
        <f>IF($A176="","",'02_Buyers'!$T113)</f>
        <v/>
      </c>
      <c r="K176" s="44">
        <f>IF($A176="",0,$B176*MIN(1,$C176*$J$6)*IF($I176=1,LGD_LC,MIN(1,LGD+$K$6))*(1-$E176))</f>
        <v/>
      </c>
      <c r="L176" s="44">
        <f>IF($A176="",0,$B176*MIN(1,$C176*$J$7)*IF($I176=1,LGD_LC,MIN(1,LGD+$K$7))*(1-$E176))</f>
        <v/>
      </c>
      <c r="M176" s="44">
        <f>IF($A176="",0,$B176*MIN(1,$C176*$J$8)*IF($I176=1,LGD_LC,MIN(1,LGD+$K$8))*(1-$E176))</f>
        <v/>
      </c>
      <c r="N176" s="44">
        <f>IF($A176="",0,$B176*MIN(1,$C176*$J$9)*IF($I176=1,LGD_LC,MIN(1,LGD+$K$9))*(1-$E176))</f>
        <v/>
      </c>
      <c r="O176" s="44">
        <f>IF($A176="",0,$B176*MIN(1,$C176*$J$10)*IF($I176=1,LGD_LC,MIN(1,LGD+$K$10))*(1-$E176))</f>
        <v/>
      </c>
      <c r="P176" s="44">
        <f>IF($A176="",0,$B176*MIN(1,$C176*$J$12)*IF($I176=1,LGD_LC,MIN(1,LGD+$K$12))*(1-$E176))</f>
        <v/>
      </c>
      <c r="Q176" s="44">
        <f>IF($A176="",0,$B176*(TSOFR3M+$H$6/10000+$F176)*$G176/DayBasis)</f>
        <v/>
      </c>
      <c r="R176" s="44">
        <f>IF($A176="",0,$B176*(TSOFR3M+$H$7/10000+$F176)*$G176/DayBasis)</f>
        <v/>
      </c>
      <c r="S176" s="44">
        <f>IF($A176="",0,$B176*(TSOFR3M+$H$8/10000+$F176)*$G176/DayBasis)</f>
        <v/>
      </c>
      <c r="T176" s="44">
        <f>IF($A176="",0,$B176*(TSOFR3M+$H$9/10000+$F176)*$G176/DayBasis)</f>
        <v/>
      </c>
      <c r="U176" s="44">
        <f>IF($A176="",0,$B176*(TSOFR3M+$H$10/10000+$F176)*$G176/DayBasis)</f>
        <v/>
      </c>
      <c r="V176" s="44">
        <f>IF($A176="",0,$B176*(TSOFR3M+$H$12/10000+$F176)*$G176/DayBasis)</f>
        <v/>
      </c>
      <c r="W176" s="44">
        <f>IF(OR($A176="",$M$6&lt;&gt;"Y",$O$6=""),0,IF($H176&gt;=$O$6,$B176*(TSOFR3M+$H$6/10000+$F176)*$N$6/DayBasis,0))</f>
        <v/>
      </c>
      <c r="X176" s="44">
        <f>IF(OR($A176="",$M$7&lt;&gt;"Y",$O$7=""),0,IF($H176&gt;=$O$7,$B176*(TSOFR3M+$H$7/10000+$F176)*$N$7/DayBasis,0))</f>
        <v/>
      </c>
      <c r="Y176" s="44">
        <f>IF(OR($A176="",$M$8&lt;&gt;"Y",$O$8=""),0,IF($H176&gt;=$O$8,$B176*(TSOFR3M+$H$8/10000+$F176)*$N$8/DayBasis,0))</f>
        <v/>
      </c>
      <c r="Z176" s="44">
        <f>IF(OR($A176="",$M$9&lt;&gt;"Y",$O$9=""),0,IF($H176&gt;=$O$9,$B176*(TSOFR3M+$H$9/10000+$F176)*$N$9/DayBasis,0))</f>
        <v/>
      </c>
      <c r="AA176" s="44">
        <f>IF(OR($A176="",$M$10&lt;&gt;"Y",$O$10=""),0,IF($H176&gt;=$O$10,$B176*(TSOFR3M+$H$10/10000+$F176)*$N$10/DayBasis,0))</f>
        <v/>
      </c>
      <c r="AB176" s="44">
        <f>IF(OR($A176="",$M$12&lt;&gt;"Y",$O$12=""),0,IF($H176&gt;=$O$12,$B176*(TSOFR3M+$H$12/10000+$F176)*$N$12/DayBasis,0))</f>
        <v/>
      </c>
      <c r="AC176" s="50">
        <f>IF($A176="",0,MIN(1,$C176*$C$39))</f>
        <v/>
      </c>
      <c r="AD176" s="44">
        <f>IF($A176="",0,$B176*IF($I176=1,LGD_LC,MIN(1,LGD+$C$40))*(1-$E176))</f>
        <v/>
      </c>
      <c r="AE176" s="44">
        <f>IF(OR($A176="",$B176&lt;=0,$AC176&lt;=0),0,IF($AC176&gt;=1,$AD176,IF(_xlfn.NORM.S.INV(RAND())*SQRT(1-Rho)+$C$41*SQRT(Rho)&lt;_xlfn.NORM.S.INV($AC176),$AD176,0)))</f>
        <v/>
      </c>
      <c r="AG176" t="n">
        <v>170</v>
      </c>
      <c r="AH176" s="35" t="n">
        <v>0</v>
      </c>
    </row>
    <row r="177">
      <c r="A177" s="7">
        <f>IF('02_Buyers'!$A114="","",'02_Buyers'!$A114)</f>
        <v/>
      </c>
      <c r="B177" s="44">
        <f>IF($A177="",0,'02_Buyers'!$Z114)</f>
        <v/>
      </c>
      <c r="C177" s="50">
        <f>IF($A177="",0,'02_Buyers'!$AM114)</f>
        <v/>
      </c>
      <c r="D177" s="50">
        <f>IF($A177="",0,'02_Buyers'!$AN114)</f>
        <v/>
      </c>
      <c r="E177" s="50">
        <f>IF($A177="",0,'02_Buyers'!$AO114)</f>
        <v/>
      </c>
      <c r="F177" s="50">
        <f>IF($A177="",0,'02_Buyers'!$AP114)</f>
        <v/>
      </c>
      <c r="G177" s="45">
        <f>IF($A177="",0,'02_Buyers'!$V114)</f>
        <v/>
      </c>
      <c r="H177" s="45">
        <f>IF(OR($A177="",'02_Buyers'!$AC114=""),0,'02_Buyers'!$AC114)</f>
        <v/>
      </c>
      <c r="I177" s="45">
        <f>IF($A177="",0,IF(OR('02_Buyers'!$U114="LC_SIGHT",'02_Buyers'!$U114="LC_USANCE"),1,0))</f>
        <v/>
      </c>
      <c r="J177" s="7">
        <f>IF($A177="","",'02_Buyers'!$T114)</f>
        <v/>
      </c>
      <c r="K177" s="44">
        <f>IF($A177="",0,$B177*MIN(1,$C177*$J$6)*IF($I177=1,LGD_LC,MIN(1,LGD+$K$6))*(1-$E177))</f>
        <v/>
      </c>
      <c r="L177" s="44">
        <f>IF($A177="",0,$B177*MIN(1,$C177*$J$7)*IF($I177=1,LGD_LC,MIN(1,LGD+$K$7))*(1-$E177))</f>
        <v/>
      </c>
      <c r="M177" s="44">
        <f>IF($A177="",0,$B177*MIN(1,$C177*$J$8)*IF($I177=1,LGD_LC,MIN(1,LGD+$K$8))*(1-$E177))</f>
        <v/>
      </c>
      <c r="N177" s="44">
        <f>IF($A177="",0,$B177*MIN(1,$C177*$J$9)*IF($I177=1,LGD_LC,MIN(1,LGD+$K$9))*(1-$E177))</f>
        <v/>
      </c>
      <c r="O177" s="44">
        <f>IF($A177="",0,$B177*MIN(1,$C177*$J$10)*IF($I177=1,LGD_LC,MIN(1,LGD+$K$10))*(1-$E177))</f>
        <v/>
      </c>
      <c r="P177" s="44">
        <f>IF($A177="",0,$B177*MIN(1,$C177*$J$12)*IF($I177=1,LGD_LC,MIN(1,LGD+$K$12))*(1-$E177))</f>
        <v/>
      </c>
      <c r="Q177" s="44">
        <f>IF($A177="",0,$B177*(TSOFR3M+$H$6/10000+$F177)*$G177/DayBasis)</f>
        <v/>
      </c>
      <c r="R177" s="44">
        <f>IF($A177="",0,$B177*(TSOFR3M+$H$7/10000+$F177)*$G177/DayBasis)</f>
        <v/>
      </c>
      <c r="S177" s="44">
        <f>IF($A177="",0,$B177*(TSOFR3M+$H$8/10000+$F177)*$G177/DayBasis)</f>
        <v/>
      </c>
      <c r="T177" s="44">
        <f>IF($A177="",0,$B177*(TSOFR3M+$H$9/10000+$F177)*$G177/DayBasis)</f>
        <v/>
      </c>
      <c r="U177" s="44">
        <f>IF($A177="",0,$B177*(TSOFR3M+$H$10/10000+$F177)*$G177/DayBasis)</f>
        <v/>
      </c>
      <c r="V177" s="44">
        <f>IF($A177="",0,$B177*(TSOFR3M+$H$12/10000+$F177)*$G177/DayBasis)</f>
        <v/>
      </c>
      <c r="W177" s="44">
        <f>IF(OR($A177="",$M$6&lt;&gt;"Y",$O$6=""),0,IF($H177&gt;=$O$6,$B177*(TSOFR3M+$H$6/10000+$F177)*$N$6/DayBasis,0))</f>
        <v/>
      </c>
      <c r="X177" s="44">
        <f>IF(OR($A177="",$M$7&lt;&gt;"Y",$O$7=""),0,IF($H177&gt;=$O$7,$B177*(TSOFR3M+$H$7/10000+$F177)*$N$7/DayBasis,0))</f>
        <v/>
      </c>
      <c r="Y177" s="44">
        <f>IF(OR($A177="",$M$8&lt;&gt;"Y",$O$8=""),0,IF($H177&gt;=$O$8,$B177*(TSOFR3M+$H$8/10000+$F177)*$N$8/DayBasis,0))</f>
        <v/>
      </c>
      <c r="Z177" s="44">
        <f>IF(OR($A177="",$M$9&lt;&gt;"Y",$O$9=""),0,IF($H177&gt;=$O$9,$B177*(TSOFR3M+$H$9/10000+$F177)*$N$9/DayBasis,0))</f>
        <v/>
      </c>
      <c r="AA177" s="44">
        <f>IF(OR($A177="",$M$10&lt;&gt;"Y",$O$10=""),0,IF($H177&gt;=$O$10,$B177*(TSOFR3M+$H$10/10000+$F177)*$N$10/DayBasis,0))</f>
        <v/>
      </c>
      <c r="AB177" s="44">
        <f>IF(OR($A177="",$M$12&lt;&gt;"Y",$O$12=""),0,IF($H177&gt;=$O$12,$B177*(TSOFR3M+$H$12/10000+$F177)*$N$12/DayBasis,0))</f>
        <v/>
      </c>
      <c r="AC177" s="50">
        <f>IF($A177="",0,MIN(1,$C177*$C$39))</f>
        <v/>
      </c>
      <c r="AD177" s="44">
        <f>IF($A177="",0,$B177*IF($I177=1,LGD_LC,MIN(1,LGD+$C$40))*(1-$E177))</f>
        <v/>
      </c>
      <c r="AE177" s="44">
        <f>IF(OR($A177="",$B177&lt;=0,$AC177&lt;=0),0,IF($AC177&gt;=1,$AD177,IF(_xlfn.NORM.S.INV(RAND())*SQRT(1-Rho)+$C$41*SQRT(Rho)&lt;_xlfn.NORM.S.INV($AC177),$AD177,0)))</f>
        <v/>
      </c>
      <c r="AG177" t="n">
        <v>171</v>
      </c>
      <c r="AH177" s="35" t="n">
        <v>0</v>
      </c>
    </row>
    <row r="178">
      <c r="A178" s="7">
        <f>IF('02_Buyers'!$A115="","",'02_Buyers'!$A115)</f>
        <v/>
      </c>
      <c r="B178" s="44">
        <f>IF($A178="",0,'02_Buyers'!$Z115)</f>
        <v/>
      </c>
      <c r="C178" s="50">
        <f>IF($A178="",0,'02_Buyers'!$AM115)</f>
        <v/>
      </c>
      <c r="D178" s="50">
        <f>IF($A178="",0,'02_Buyers'!$AN115)</f>
        <v/>
      </c>
      <c r="E178" s="50">
        <f>IF($A178="",0,'02_Buyers'!$AO115)</f>
        <v/>
      </c>
      <c r="F178" s="50">
        <f>IF($A178="",0,'02_Buyers'!$AP115)</f>
        <v/>
      </c>
      <c r="G178" s="45">
        <f>IF($A178="",0,'02_Buyers'!$V115)</f>
        <v/>
      </c>
      <c r="H178" s="45">
        <f>IF(OR($A178="",'02_Buyers'!$AC115=""),0,'02_Buyers'!$AC115)</f>
        <v/>
      </c>
      <c r="I178" s="45">
        <f>IF($A178="",0,IF(OR('02_Buyers'!$U115="LC_SIGHT",'02_Buyers'!$U115="LC_USANCE"),1,0))</f>
        <v/>
      </c>
      <c r="J178" s="7">
        <f>IF($A178="","",'02_Buyers'!$T115)</f>
        <v/>
      </c>
      <c r="K178" s="44">
        <f>IF($A178="",0,$B178*MIN(1,$C178*$J$6)*IF($I178=1,LGD_LC,MIN(1,LGD+$K$6))*(1-$E178))</f>
        <v/>
      </c>
      <c r="L178" s="44">
        <f>IF($A178="",0,$B178*MIN(1,$C178*$J$7)*IF($I178=1,LGD_LC,MIN(1,LGD+$K$7))*(1-$E178))</f>
        <v/>
      </c>
      <c r="M178" s="44">
        <f>IF($A178="",0,$B178*MIN(1,$C178*$J$8)*IF($I178=1,LGD_LC,MIN(1,LGD+$K$8))*(1-$E178))</f>
        <v/>
      </c>
      <c r="N178" s="44">
        <f>IF($A178="",0,$B178*MIN(1,$C178*$J$9)*IF($I178=1,LGD_LC,MIN(1,LGD+$K$9))*(1-$E178))</f>
        <v/>
      </c>
      <c r="O178" s="44">
        <f>IF($A178="",0,$B178*MIN(1,$C178*$J$10)*IF($I178=1,LGD_LC,MIN(1,LGD+$K$10))*(1-$E178))</f>
        <v/>
      </c>
      <c r="P178" s="44">
        <f>IF($A178="",0,$B178*MIN(1,$C178*$J$12)*IF($I178=1,LGD_LC,MIN(1,LGD+$K$12))*(1-$E178))</f>
        <v/>
      </c>
      <c r="Q178" s="44">
        <f>IF($A178="",0,$B178*(TSOFR3M+$H$6/10000+$F178)*$G178/DayBasis)</f>
        <v/>
      </c>
      <c r="R178" s="44">
        <f>IF($A178="",0,$B178*(TSOFR3M+$H$7/10000+$F178)*$G178/DayBasis)</f>
        <v/>
      </c>
      <c r="S178" s="44">
        <f>IF($A178="",0,$B178*(TSOFR3M+$H$8/10000+$F178)*$G178/DayBasis)</f>
        <v/>
      </c>
      <c r="T178" s="44">
        <f>IF($A178="",0,$B178*(TSOFR3M+$H$9/10000+$F178)*$G178/DayBasis)</f>
        <v/>
      </c>
      <c r="U178" s="44">
        <f>IF($A178="",0,$B178*(TSOFR3M+$H$10/10000+$F178)*$G178/DayBasis)</f>
        <v/>
      </c>
      <c r="V178" s="44">
        <f>IF($A178="",0,$B178*(TSOFR3M+$H$12/10000+$F178)*$G178/DayBasis)</f>
        <v/>
      </c>
      <c r="W178" s="44">
        <f>IF(OR($A178="",$M$6&lt;&gt;"Y",$O$6=""),0,IF($H178&gt;=$O$6,$B178*(TSOFR3M+$H$6/10000+$F178)*$N$6/DayBasis,0))</f>
        <v/>
      </c>
      <c r="X178" s="44">
        <f>IF(OR($A178="",$M$7&lt;&gt;"Y",$O$7=""),0,IF($H178&gt;=$O$7,$B178*(TSOFR3M+$H$7/10000+$F178)*$N$7/DayBasis,0))</f>
        <v/>
      </c>
      <c r="Y178" s="44">
        <f>IF(OR($A178="",$M$8&lt;&gt;"Y",$O$8=""),0,IF($H178&gt;=$O$8,$B178*(TSOFR3M+$H$8/10000+$F178)*$N$8/DayBasis,0))</f>
        <v/>
      </c>
      <c r="Z178" s="44">
        <f>IF(OR($A178="",$M$9&lt;&gt;"Y",$O$9=""),0,IF($H178&gt;=$O$9,$B178*(TSOFR3M+$H$9/10000+$F178)*$N$9/DayBasis,0))</f>
        <v/>
      </c>
      <c r="AA178" s="44">
        <f>IF(OR($A178="",$M$10&lt;&gt;"Y",$O$10=""),0,IF($H178&gt;=$O$10,$B178*(TSOFR3M+$H$10/10000+$F178)*$N$10/DayBasis,0))</f>
        <v/>
      </c>
      <c r="AB178" s="44">
        <f>IF(OR($A178="",$M$12&lt;&gt;"Y",$O$12=""),0,IF($H178&gt;=$O$12,$B178*(TSOFR3M+$H$12/10000+$F178)*$N$12/DayBasis,0))</f>
        <v/>
      </c>
      <c r="AC178" s="50">
        <f>IF($A178="",0,MIN(1,$C178*$C$39))</f>
        <v/>
      </c>
      <c r="AD178" s="44">
        <f>IF($A178="",0,$B178*IF($I178=1,LGD_LC,MIN(1,LGD+$C$40))*(1-$E178))</f>
        <v/>
      </c>
      <c r="AE178" s="44">
        <f>IF(OR($A178="",$B178&lt;=0,$AC178&lt;=0),0,IF($AC178&gt;=1,$AD178,IF(_xlfn.NORM.S.INV(RAND())*SQRT(1-Rho)+$C$41*SQRT(Rho)&lt;_xlfn.NORM.S.INV($AC178),$AD178,0)))</f>
        <v/>
      </c>
      <c r="AG178" t="n">
        <v>172</v>
      </c>
      <c r="AH178" s="35" t="n">
        <v>0</v>
      </c>
    </row>
    <row r="179">
      <c r="A179" s="7">
        <f>IF('02_Buyers'!$A116="","",'02_Buyers'!$A116)</f>
        <v/>
      </c>
      <c r="B179" s="44">
        <f>IF($A179="",0,'02_Buyers'!$Z116)</f>
        <v/>
      </c>
      <c r="C179" s="50">
        <f>IF($A179="",0,'02_Buyers'!$AM116)</f>
        <v/>
      </c>
      <c r="D179" s="50">
        <f>IF($A179="",0,'02_Buyers'!$AN116)</f>
        <v/>
      </c>
      <c r="E179" s="50">
        <f>IF($A179="",0,'02_Buyers'!$AO116)</f>
        <v/>
      </c>
      <c r="F179" s="50">
        <f>IF($A179="",0,'02_Buyers'!$AP116)</f>
        <v/>
      </c>
      <c r="G179" s="45">
        <f>IF($A179="",0,'02_Buyers'!$V116)</f>
        <v/>
      </c>
      <c r="H179" s="45">
        <f>IF(OR($A179="",'02_Buyers'!$AC116=""),0,'02_Buyers'!$AC116)</f>
        <v/>
      </c>
      <c r="I179" s="45">
        <f>IF($A179="",0,IF(OR('02_Buyers'!$U116="LC_SIGHT",'02_Buyers'!$U116="LC_USANCE"),1,0))</f>
        <v/>
      </c>
      <c r="J179" s="7">
        <f>IF($A179="","",'02_Buyers'!$T116)</f>
        <v/>
      </c>
      <c r="K179" s="44">
        <f>IF($A179="",0,$B179*MIN(1,$C179*$J$6)*IF($I179=1,LGD_LC,MIN(1,LGD+$K$6))*(1-$E179))</f>
        <v/>
      </c>
      <c r="L179" s="44">
        <f>IF($A179="",0,$B179*MIN(1,$C179*$J$7)*IF($I179=1,LGD_LC,MIN(1,LGD+$K$7))*(1-$E179))</f>
        <v/>
      </c>
      <c r="M179" s="44">
        <f>IF($A179="",0,$B179*MIN(1,$C179*$J$8)*IF($I179=1,LGD_LC,MIN(1,LGD+$K$8))*(1-$E179))</f>
        <v/>
      </c>
      <c r="N179" s="44">
        <f>IF($A179="",0,$B179*MIN(1,$C179*$J$9)*IF($I179=1,LGD_LC,MIN(1,LGD+$K$9))*(1-$E179))</f>
        <v/>
      </c>
      <c r="O179" s="44">
        <f>IF($A179="",0,$B179*MIN(1,$C179*$J$10)*IF($I179=1,LGD_LC,MIN(1,LGD+$K$10))*(1-$E179))</f>
        <v/>
      </c>
      <c r="P179" s="44">
        <f>IF($A179="",0,$B179*MIN(1,$C179*$J$12)*IF($I179=1,LGD_LC,MIN(1,LGD+$K$12))*(1-$E179))</f>
        <v/>
      </c>
      <c r="Q179" s="44">
        <f>IF($A179="",0,$B179*(TSOFR3M+$H$6/10000+$F179)*$G179/DayBasis)</f>
        <v/>
      </c>
      <c r="R179" s="44">
        <f>IF($A179="",0,$B179*(TSOFR3M+$H$7/10000+$F179)*$G179/DayBasis)</f>
        <v/>
      </c>
      <c r="S179" s="44">
        <f>IF($A179="",0,$B179*(TSOFR3M+$H$8/10000+$F179)*$G179/DayBasis)</f>
        <v/>
      </c>
      <c r="T179" s="44">
        <f>IF($A179="",0,$B179*(TSOFR3M+$H$9/10000+$F179)*$G179/DayBasis)</f>
        <v/>
      </c>
      <c r="U179" s="44">
        <f>IF($A179="",0,$B179*(TSOFR3M+$H$10/10000+$F179)*$G179/DayBasis)</f>
        <v/>
      </c>
      <c r="V179" s="44">
        <f>IF($A179="",0,$B179*(TSOFR3M+$H$12/10000+$F179)*$G179/DayBasis)</f>
        <v/>
      </c>
      <c r="W179" s="44">
        <f>IF(OR($A179="",$M$6&lt;&gt;"Y",$O$6=""),0,IF($H179&gt;=$O$6,$B179*(TSOFR3M+$H$6/10000+$F179)*$N$6/DayBasis,0))</f>
        <v/>
      </c>
      <c r="X179" s="44">
        <f>IF(OR($A179="",$M$7&lt;&gt;"Y",$O$7=""),0,IF($H179&gt;=$O$7,$B179*(TSOFR3M+$H$7/10000+$F179)*$N$7/DayBasis,0))</f>
        <v/>
      </c>
      <c r="Y179" s="44">
        <f>IF(OR($A179="",$M$8&lt;&gt;"Y",$O$8=""),0,IF($H179&gt;=$O$8,$B179*(TSOFR3M+$H$8/10000+$F179)*$N$8/DayBasis,0))</f>
        <v/>
      </c>
      <c r="Z179" s="44">
        <f>IF(OR($A179="",$M$9&lt;&gt;"Y",$O$9=""),0,IF($H179&gt;=$O$9,$B179*(TSOFR3M+$H$9/10000+$F179)*$N$9/DayBasis,0))</f>
        <v/>
      </c>
      <c r="AA179" s="44">
        <f>IF(OR($A179="",$M$10&lt;&gt;"Y",$O$10=""),0,IF($H179&gt;=$O$10,$B179*(TSOFR3M+$H$10/10000+$F179)*$N$10/DayBasis,0))</f>
        <v/>
      </c>
      <c r="AB179" s="44">
        <f>IF(OR($A179="",$M$12&lt;&gt;"Y",$O$12=""),0,IF($H179&gt;=$O$12,$B179*(TSOFR3M+$H$12/10000+$F179)*$N$12/DayBasis,0))</f>
        <v/>
      </c>
      <c r="AC179" s="50">
        <f>IF($A179="",0,MIN(1,$C179*$C$39))</f>
        <v/>
      </c>
      <c r="AD179" s="44">
        <f>IF($A179="",0,$B179*IF($I179=1,LGD_LC,MIN(1,LGD+$C$40))*(1-$E179))</f>
        <v/>
      </c>
      <c r="AE179" s="44">
        <f>IF(OR($A179="",$B179&lt;=0,$AC179&lt;=0),0,IF($AC179&gt;=1,$AD179,IF(_xlfn.NORM.S.INV(RAND())*SQRT(1-Rho)+$C$41*SQRT(Rho)&lt;_xlfn.NORM.S.INV($AC179),$AD179,0)))</f>
        <v/>
      </c>
      <c r="AG179" t="n">
        <v>173</v>
      </c>
      <c r="AH179" s="35" t="n">
        <v>0</v>
      </c>
    </row>
    <row r="180">
      <c r="A180" s="7">
        <f>IF('02_Buyers'!$A117="","",'02_Buyers'!$A117)</f>
        <v/>
      </c>
      <c r="B180" s="44">
        <f>IF($A180="",0,'02_Buyers'!$Z117)</f>
        <v/>
      </c>
      <c r="C180" s="50">
        <f>IF($A180="",0,'02_Buyers'!$AM117)</f>
        <v/>
      </c>
      <c r="D180" s="50">
        <f>IF($A180="",0,'02_Buyers'!$AN117)</f>
        <v/>
      </c>
      <c r="E180" s="50">
        <f>IF($A180="",0,'02_Buyers'!$AO117)</f>
        <v/>
      </c>
      <c r="F180" s="50">
        <f>IF($A180="",0,'02_Buyers'!$AP117)</f>
        <v/>
      </c>
      <c r="G180" s="45">
        <f>IF($A180="",0,'02_Buyers'!$V117)</f>
        <v/>
      </c>
      <c r="H180" s="45">
        <f>IF(OR($A180="",'02_Buyers'!$AC117=""),0,'02_Buyers'!$AC117)</f>
        <v/>
      </c>
      <c r="I180" s="45">
        <f>IF($A180="",0,IF(OR('02_Buyers'!$U117="LC_SIGHT",'02_Buyers'!$U117="LC_USANCE"),1,0))</f>
        <v/>
      </c>
      <c r="J180" s="7">
        <f>IF($A180="","",'02_Buyers'!$T117)</f>
        <v/>
      </c>
      <c r="K180" s="44">
        <f>IF($A180="",0,$B180*MIN(1,$C180*$J$6)*IF($I180=1,LGD_LC,MIN(1,LGD+$K$6))*(1-$E180))</f>
        <v/>
      </c>
      <c r="L180" s="44">
        <f>IF($A180="",0,$B180*MIN(1,$C180*$J$7)*IF($I180=1,LGD_LC,MIN(1,LGD+$K$7))*(1-$E180))</f>
        <v/>
      </c>
      <c r="M180" s="44">
        <f>IF($A180="",0,$B180*MIN(1,$C180*$J$8)*IF($I180=1,LGD_LC,MIN(1,LGD+$K$8))*(1-$E180))</f>
        <v/>
      </c>
      <c r="N180" s="44">
        <f>IF($A180="",0,$B180*MIN(1,$C180*$J$9)*IF($I180=1,LGD_LC,MIN(1,LGD+$K$9))*(1-$E180))</f>
        <v/>
      </c>
      <c r="O180" s="44">
        <f>IF($A180="",0,$B180*MIN(1,$C180*$J$10)*IF($I180=1,LGD_LC,MIN(1,LGD+$K$10))*(1-$E180))</f>
        <v/>
      </c>
      <c r="P180" s="44">
        <f>IF($A180="",0,$B180*MIN(1,$C180*$J$12)*IF($I180=1,LGD_LC,MIN(1,LGD+$K$12))*(1-$E180))</f>
        <v/>
      </c>
      <c r="Q180" s="44">
        <f>IF($A180="",0,$B180*(TSOFR3M+$H$6/10000+$F180)*$G180/DayBasis)</f>
        <v/>
      </c>
      <c r="R180" s="44">
        <f>IF($A180="",0,$B180*(TSOFR3M+$H$7/10000+$F180)*$G180/DayBasis)</f>
        <v/>
      </c>
      <c r="S180" s="44">
        <f>IF($A180="",0,$B180*(TSOFR3M+$H$8/10000+$F180)*$G180/DayBasis)</f>
        <v/>
      </c>
      <c r="T180" s="44">
        <f>IF($A180="",0,$B180*(TSOFR3M+$H$9/10000+$F180)*$G180/DayBasis)</f>
        <v/>
      </c>
      <c r="U180" s="44">
        <f>IF($A180="",0,$B180*(TSOFR3M+$H$10/10000+$F180)*$G180/DayBasis)</f>
        <v/>
      </c>
      <c r="V180" s="44">
        <f>IF($A180="",0,$B180*(TSOFR3M+$H$12/10000+$F180)*$G180/DayBasis)</f>
        <v/>
      </c>
      <c r="W180" s="44">
        <f>IF(OR($A180="",$M$6&lt;&gt;"Y",$O$6=""),0,IF($H180&gt;=$O$6,$B180*(TSOFR3M+$H$6/10000+$F180)*$N$6/DayBasis,0))</f>
        <v/>
      </c>
      <c r="X180" s="44">
        <f>IF(OR($A180="",$M$7&lt;&gt;"Y",$O$7=""),0,IF($H180&gt;=$O$7,$B180*(TSOFR3M+$H$7/10000+$F180)*$N$7/DayBasis,0))</f>
        <v/>
      </c>
      <c r="Y180" s="44">
        <f>IF(OR($A180="",$M$8&lt;&gt;"Y",$O$8=""),0,IF($H180&gt;=$O$8,$B180*(TSOFR3M+$H$8/10000+$F180)*$N$8/DayBasis,0))</f>
        <v/>
      </c>
      <c r="Z180" s="44">
        <f>IF(OR($A180="",$M$9&lt;&gt;"Y",$O$9=""),0,IF($H180&gt;=$O$9,$B180*(TSOFR3M+$H$9/10000+$F180)*$N$9/DayBasis,0))</f>
        <v/>
      </c>
      <c r="AA180" s="44">
        <f>IF(OR($A180="",$M$10&lt;&gt;"Y",$O$10=""),0,IF($H180&gt;=$O$10,$B180*(TSOFR3M+$H$10/10000+$F180)*$N$10/DayBasis,0))</f>
        <v/>
      </c>
      <c r="AB180" s="44">
        <f>IF(OR($A180="",$M$12&lt;&gt;"Y",$O$12=""),0,IF($H180&gt;=$O$12,$B180*(TSOFR3M+$H$12/10000+$F180)*$N$12/DayBasis,0))</f>
        <v/>
      </c>
      <c r="AC180" s="50">
        <f>IF($A180="",0,MIN(1,$C180*$C$39))</f>
        <v/>
      </c>
      <c r="AD180" s="44">
        <f>IF($A180="",0,$B180*IF($I180=1,LGD_LC,MIN(1,LGD+$C$40))*(1-$E180))</f>
        <v/>
      </c>
      <c r="AE180" s="44">
        <f>IF(OR($A180="",$B180&lt;=0,$AC180&lt;=0),0,IF($AC180&gt;=1,$AD180,IF(_xlfn.NORM.S.INV(RAND())*SQRT(1-Rho)+$C$41*SQRT(Rho)&lt;_xlfn.NORM.S.INV($AC180),$AD180,0)))</f>
        <v/>
      </c>
      <c r="AG180" t="n">
        <v>174</v>
      </c>
      <c r="AH180" s="35" t="n">
        <v>0</v>
      </c>
    </row>
    <row r="181">
      <c r="A181" s="7">
        <f>IF('02_Buyers'!$A118="","",'02_Buyers'!$A118)</f>
        <v/>
      </c>
      <c r="B181" s="44">
        <f>IF($A181="",0,'02_Buyers'!$Z118)</f>
        <v/>
      </c>
      <c r="C181" s="50">
        <f>IF($A181="",0,'02_Buyers'!$AM118)</f>
        <v/>
      </c>
      <c r="D181" s="50">
        <f>IF($A181="",0,'02_Buyers'!$AN118)</f>
        <v/>
      </c>
      <c r="E181" s="50">
        <f>IF($A181="",0,'02_Buyers'!$AO118)</f>
        <v/>
      </c>
      <c r="F181" s="50">
        <f>IF($A181="",0,'02_Buyers'!$AP118)</f>
        <v/>
      </c>
      <c r="G181" s="45">
        <f>IF($A181="",0,'02_Buyers'!$V118)</f>
        <v/>
      </c>
      <c r="H181" s="45">
        <f>IF(OR($A181="",'02_Buyers'!$AC118=""),0,'02_Buyers'!$AC118)</f>
        <v/>
      </c>
      <c r="I181" s="45">
        <f>IF($A181="",0,IF(OR('02_Buyers'!$U118="LC_SIGHT",'02_Buyers'!$U118="LC_USANCE"),1,0))</f>
        <v/>
      </c>
      <c r="J181" s="7">
        <f>IF($A181="","",'02_Buyers'!$T118)</f>
        <v/>
      </c>
      <c r="K181" s="44">
        <f>IF($A181="",0,$B181*MIN(1,$C181*$J$6)*IF($I181=1,LGD_LC,MIN(1,LGD+$K$6))*(1-$E181))</f>
        <v/>
      </c>
      <c r="L181" s="44">
        <f>IF($A181="",0,$B181*MIN(1,$C181*$J$7)*IF($I181=1,LGD_LC,MIN(1,LGD+$K$7))*(1-$E181))</f>
        <v/>
      </c>
      <c r="M181" s="44">
        <f>IF($A181="",0,$B181*MIN(1,$C181*$J$8)*IF($I181=1,LGD_LC,MIN(1,LGD+$K$8))*(1-$E181))</f>
        <v/>
      </c>
      <c r="N181" s="44">
        <f>IF($A181="",0,$B181*MIN(1,$C181*$J$9)*IF($I181=1,LGD_LC,MIN(1,LGD+$K$9))*(1-$E181))</f>
        <v/>
      </c>
      <c r="O181" s="44">
        <f>IF($A181="",0,$B181*MIN(1,$C181*$J$10)*IF($I181=1,LGD_LC,MIN(1,LGD+$K$10))*(1-$E181))</f>
        <v/>
      </c>
      <c r="P181" s="44">
        <f>IF($A181="",0,$B181*MIN(1,$C181*$J$12)*IF($I181=1,LGD_LC,MIN(1,LGD+$K$12))*(1-$E181))</f>
        <v/>
      </c>
      <c r="Q181" s="44">
        <f>IF($A181="",0,$B181*(TSOFR3M+$H$6/10000+$F181)*$G181/DayBasis)</f>
        <v/>
      </c>
      <c r="R181" s="44">
        <f>IF($A181="",0,$B181*(TSOFR3M+$H$7/10000+$F181)*$G181/DayBasis)</f>
        <v/>
      </c>
      <c r="S181" s="44">
        <f>IF($A181="",0,$B181*(TSOFR3M+$H$8/10000+$F181)*$G181/DayBasis)</f>
        <v/>
      </c>
      <c r="T181" s="44">
        <f>IF($A181="",0,$B181*(TSOFR3M+$H$9/10000+$F181)*$G181/DayBasis)</f>
        <v/>
      </c>
      <c r="U181" s="44">
        <f>IF($A181="",0,$B181*(TSOFR3M+$H$10/10000+$F181)*$G181/DayBasis)</f>
        <v/>
      </c>
      <c r="V181" s="44">
        <f>IF($A181="",0,$B181*(TSOFR3M+$H$12/10000+$F181)*$G181/DayBasis)</f>
        <v/>
      </c>
      <c r="W181" s="44">
        <f>IF(OR($A181="",$M$6&lt;&gt;"Y",$O$6=""),0,IF($H181&gt;=$O$6,$B181*(TSOFR3M+$H$6/10000+$F181)*$N$6/DayBasis,0))</f>
        <v/>
      </c>
      <c r="X181" s="44">
        <f>IF(OR($A181="",$M$7&lt;&gt;"Y",$O$7=""),0,IF($H181&gt;=$O$7,$B181*(TSOFR3M+$H$7/10000+$F181)*$N$7/DayBasis,0))</f>
        <v/>
      </c>
      <c r="Y181" s="44">
        <f>IF(OR($A181="",$M$8&lt;&gt;"Y",$O$8=""),0,IF($H181&gt;=$O$8,$B181*(TSOFR3M+$H$8/10000+$F181)*$N$8/DayBasis,0))</f>
        <v/>
      </c>
      <c r="Z181" s="44">
        <f>IF(OR($A181="",$M$9&lt;&gt;"Y",$O$9=""),0,IF($H181&gt;=$O$9,$B181*(TSOFR3M+$H$9/10000+$F181)*$N$9/DayBasis,0))</f>
        <v/>
      </c>
      <c r="AA181" s="44">
        <f>IF(OR($A181="",$M$10&lt;&gt;"Y",$O$10=""),0,IF($H181&gt;=$O$10,$B181*(TSOFR3M+$H$10/10000+$F181)*$N$10/DayBasis,0))</f>
        <v/>
      </c>
      <c r="AB181" s="44">
        <f>IF(OR($A181="",$M$12&lt;&gt;"Y",$O$12=""),0,IF($H181&gt;=$O$12,$B181*(TSOFR3M+$H$12/10000+$F181)*$N$12/DayBasis,0))</f>
        <v/>
      </c>
      <c r="AC181" s="50">
        <f>IF($A181="",0,MIN(1,$C181*$C$39))</f>
        <v/>
      </c>
      <c r="AD181" s="44">
        <f>IF($A181="",0,$B181*IF($I181=1,LGD_LC,MIN(1,LGD+$C$40))*(1-$E181))</f>
        <v/>
      </c>
      <c r="AE181" s="44">
        <f>IF(OR($A181="",$B181&lt;=0,$AC181&lt;=0),0,IF($AC181&gt;=1,$AD181,IF(_xlfn.NORM.S.INV(RAND())*SQRT(1-Rho)+$C$41*SQRT(Rho)&lt;_xlfn.NORM.S.INV($AC181),$AD181,0)))</f>
        <v/>
      </c>
      <c r="AG181" t="n">
        <v>175</v>
      </c>
      <c r="AH181" s="35" t="n">
        <v>0</v>
      </c>
    </row>
    <row r="182">
      <c r="A182" s="7">
        <f>IF('02_Buyers'!$A119="","",'02_Buyers'!$A119)</f>
        <v/>
      </c>
      <c r="B182" s="44">
        <f>IF($A182="",0,'02_Buyers'!$Z119)</f>
        <v/>
      </c>
      <c r="C182" s="50">
        <f>IF($A182="",0,'02_Buyers'!$AM119)</f>
        <v/>
      </c>
      <c r="D182" s="50">
        <f>IF($A182="",0,'02_Buyers'!$AN119)</f>
        <v/>
      </c>
      <c r="E182" s="50">
        <f>IF($A182="",0,'02_Buyers'!$AO119)</f>
        <v/>
      </c>
      <c r="F182" s="50">
        <f>IF($A182="",0,'02_Buyers'!$AP119)</f>
        <v/>
      </c>
      <c r="G182" s="45">
        <f>IF($A182="",0,'02_Buyers'!$V119)</f>
        <v/>
      </c>
      <c r="H182" s="45">
        <f>IF(OR($A182="",'02_Buyers'!$AC119=""),0,'02_Buyers'!$AC119)</f>
        <v/>
      </c>
      <c r="I182" s="45">
        <f>IF($A182="",0,IF(OR('02_Buyers'!$U119="LC_SIGHT",'02_Buyers'!$U119="LC_USANCE"),1,0))</f>
        <v/>
      </c>
      <c r="J182" s="7">
        <f>IF($A182="","",'02_Buyers'!$T119)</f>
        <v/>
      </c>
      <c r="K182" s="44">
        <f>IF($A182="",0,$B182*MIN(1,$C182*$J$6)*IF($I182=1,LGD_LC,MIN(1,LGD+$K$6))*(1-$E182))</f>
        <v/>
      </c>
      <c r="L182" s="44">
        <f>IF($A182="",0,$B182*MIN(1,$C182*$J$7)*IF($I182=1,LGD_LC,MIN(1,LGD+$K$7))*(1-$E182))</f>
        <v/>
      </c>
      <c r="M182" s="44">
        <f>IF($A182="",0,$B182*MIN(1,$C182*$J$8)*IF($I182=1,LGD_LC,MIN(1,LGD+$K$8))*(1-$E182))</f>
        <v/>
      </c>
      <c r="N182" s="44">
        <f>IF($A182="",0,$B182*MIN(1,$C182*$J$9)*IF($I182=1,LGD_LC,MIN(1,LGD+$K$9))*(1-$E182))</f>
        <v/>
      </c>
      <c r="O182" s="44">
        <f>IF($A182="",0,$B182*MIN(1,$C182*$J$10)*IF($I182=1,LGD_LC,MIN(1,LGD+$K$10))*(1-$E182))</f>
        <v/>
      </c>
      <c r="P182" s="44">
        <f>IF($A182="",0,$B182*MIN(1,$C182*$J$12)*IF($I182=1,LGD_LC,MIN(1,LGD+$K$12))*(1-$E182))</f>
        <v/>
      </c>
      <c r="Q182" s="44">
        <f>IF($A182="",0,$B182*(TSOFR3M+$H$6/10000+$F182)*$G182/DayBasis)</f>
        <v/>
      </c>
      <c r="R182" s="44">
        <f>IF($A182="",0,$B182*(TSOFR3M+$H$7/10000+$F182)*$G182/DayBasis)</f>
        <v/>
      </c>
      <c r="S182" s="44">
        <f>IF($A182="",0,$B182*(TSOFR3M+$H$8/10000+$F182)*$G182/DayBasis)</f>
        <v/>
      </c>
      <c r="T182" s="44">
        <f>IF($A182="",0,$B182*(TSOFR3M+$H$9/10000+$F182)*$G182/DayBasis)</f>
        <v/>
      </c>
      <c r="U182" s="44">
        <f>IF($A182="",0,$B182*(TSOFR3M+$H$10/10000+$F182)*$G182/DayBasis)</f>
        <v/>
      </c>
      <c r="V182" s="44">
        <f>IF($A182="",0,$B182*(TSOFR3M+$H$12/10000+$F182)*$G182/DayBasis)</f>
        <v/>
      </c>
      <c r="W182" s="44">
        <f>IF(OR($A182="",$M$6&lt;&gt;"Y",$O$6=""),0,IF($H182&gt;=$O$6,$B182*(TSOFR3M+$H$6/10000+$F182)*$N$6/DayBasis,0))</f>
        <v/>
      </c>
      <c r="X182" s="44">
        <f>IF(OR($A182="",$M$7&lt;&gt;"Y",$O$7=""),0,IF($H182&gt;=$O$7,$B182*(TSOFR3M+$H$7/10000+$F182)*$N$7/DayBasis,0))</f>
        <v/>
      </c>
      <c r="Y182" s="44">
        <f>IF(OR($A182="",$M$8&lt;&gt;"Y",$O$8=""),0,IF($H182&gt;=$O$8,$B182*(TSOFR3M+$H$8/10000+$F182)*$N$8/DayBasis,0))</f>
        <v/>
      </c>
      <c r="Z182" s="44">
        <f>IF(OR($A182="",$M$9&lt;&gt;"Y",$O$9=""),0,IF($H182&gt;=$O$9,$B182*(TSOFR3M+$H$9/10000+$F182)*$N$9/DayBasis,0))</f>
        <v/>
      </c>
      <c r="AA182" s="44">
        <f>IF(OR($A182="",$M$10&lt;&gt;"Y",$O$10=""),0,IF($H182&gt;=$O$10,$B182*(TSOFR3M+$H$10/10000+$F182)*$N$10/DayBasis,0))</f>
        <v/>
      </c>
      <c r="AB182" s="44">
        <f>IF(OR($A182="",$M$12&lt;&gt;"Y",$O$12=""),0,IF($H182&gt;=$O$12,$B182*(TSOFR3M+$H$12/10000+$F182)*$N$12/DayBasis,0))</f>
        <v/>
      </c>
      <c r="AC182" s="50">
        <f>IF($A182="",0,MIN(1,$C182*$C$39))</f>
        <v/>
      </c>
      <c r="AD182" s="44">
        <f>IF($A182="",0,$B182*IF($I182=1,LGD_LC,MIN(1,LGD+$C$40))*(1-$E182))</f>
        <v/>
      </c>
      <c r="AE182" s="44">
        <f>IF(OR($A182="",$B182&lt;=0,$AC182&lt;=0),0,IF($AC182&gt;=1,$AD182,IF(_xlfn.NORM.S.INV(RAND())*SQRT(1-Rho)+$C$41*SQRT(Rho)&lt;_xlfn.NORM.S.INV($AC182),$AD182,0)))</f>
        <v/>
      </c>
      <c r="AG182" t="n">
        <v>176</v>
      </c>
      <c r="AH182" s="35" t="n">
        <v>0</v>
      </c>
    </row>
    <row r="183">
      <c r="A183" s="7">
        <f>IF('02_Buyers'!$A120="","",'02_Buyers'!$A120)</f>
        <v/>
      </c>
      <c r="B183" s="44">
        <f>IF($A183="",0,'02_Buyers'!$Z120)</f>
        <v/>
      </c>
      <c r="C183" s="50">
        <f>IF($A183="",0,'02_Buyers'!$AM120)</f>
        <v/>
      </c>
      <c r="D183" s="50">
        <f>IF($A183="",0,'02_Buyers'!$AN120)</f>
        <v/>
      </c>
      <c r="E183" s="50">
        <f>IF($A183="",0,'02_Buyers'!$AO120)</f>
        <v/>
      </c>
      <c r="F183" s="50">
        <f>IF($A183="",0,'02_Buyers'!$AP120)</f>
        <v/>
      </c>
      <c r="G183" s="45">
        <f>IF($A183="",0,'02_Buyers'!$V120)</f>
        <v/>
      </c>
      <c r="H183" s="45">
        <f>IF(OR($A183="",'02_Buyers'!$AC120=""),0,'02_Buyers'!$AC120)</f>
        <v/>
      </c>
      <c r="I183" s="45">
        <f>IF($A183="",0,IF(OR('02_Buyers'!$U120="LC_SIGHT",'02_Buyers'!$U120="LC_USANCE"),1,0))</f>
        <v/>
      </c>
      <c r="J183" s="7">
        <f>IF($A183="","",'02_Buyers'!$T120)</f>
        <v/>
      </c>
      <c r="K183" s="44">
        <f>IF($A183="",0,$B183*MIN(1,$C183*$J$6)*IF($I183=1,LGD_LC,MIN(1,LGD+$K$6))*(1-$E183))</f>
        <v/>
      </c>
      <c r="L183" s="44">
        <f>IF($A183="",0,$B183*MIN(1,$C183*$J$7)*IF($I183=1,LGD_LC,MIN(1,LGD+$K$7))*(1-$E183))</f>
        <v/>
      </c>
      <c r="M183" s="44">
        <f>IF($A183="",0,$B183*MIN(1,$C183*$J$8)*IF($I183=1,LGD_LC,MIN(1,LGD+$K$8))*(1-$E183))</f>
        <v/>
      </c>
      <c r="N183" s="44">
        <f>IF($A183="",0,$B183*MIN(1,$C183*$J$9)*IF($I183=1,LGD_LC,MIN(1,LGD+$K$9))*(1-$E183))</f>
        <v/>
      </c>
      <c r="O183" s="44">
        <f>IF($A183="",0,$B183*MIN(1,$C183*$J$10)*IF($I183=1,LGD_LC,MIN(1,LGD+$K$10))*(1-$E183))</f>
        <v/>
      </c>
      <c r="P183" s="44">
        <f>IF($A183="",0,$B183*MIN(1,$C183*$J$12)*IF($I183=1,LGD_LC,MIN(1,LGD+$K$12))*(1-$E183))</f>
        <v/>
      </c>
      <c r="Q183" s="44">
        <f>IF($A183="",0,$B183*(TSOFR3M+$H$6/10000+$F183)*$G183/DayBasis)</f>
        <v/>
      </c>
      <c r="R183" s="44">
        <f>IF($A183="",0,$B183*(TSOFR3M+$H$7/10000+$F183)*$G183/DayBasis)</f>
        <v/>
      </c>
      <c r="S183" s="44">
        <f>IF($A183="",0,$B183*(TSOFR3M+$H$8/10000+$F183)*$G183/DayBasis)</f>
        <v/>
      </c>
      <c r="T183" s="44">
        <f>IF($A183="",0,$B183*(TSOFR3M+$H$9/10000+$F183)*$G183/DayBasis)</f>
        <v/>
      </c>
      <c r="U183" s="44">
        <f>IF($A183="",0,$B183*(TSOFR3M+$H$10/10000+$F183)*$G183/DayBasis)</f>
        <v/>
      </c>
      <c r="V183" s="44">
        <f>IF($A183="",0,$B183*(TSOFR3M+$H$12/10000+$F183)*$G183/DayBasis)</f>
        <v/>
      </c>
      <c r="W183" s="44">
        <f>IF(OR($A183="",$M$6&lt;&gt;"Y",$O$6=""),0,IF($H183&gt;=$O$6,$B183*(TSOFR3M+$H$6/10000+$F183)*$N$6/DayBasis,0))</f>
        <v/>
      </c>
      <c r="X183" s="44">
        <f>IF(OR($A183="",$M$7&lt;&gt;"Y",$O$7=""),0,IF($H183&gt;=$O$7,$B183*(TSOFR3M+$H$7/10000+$F183)*$N$7/DayBasis,0))</f>
        <v/>
      </c>
      <c r="Y183" s="44">
        <f>IF(OR($A183="",$M$8&lt;&gt;"Y",$O$8=""),0,IF($H183&gt;=$O$8,$B183*(TSOFR3M+$H$8/10000+$F183)*$N$8/DayBasis,0))</f>
        <v/>
      </c>
      <c r="Z183" s="44">
        <f>IF(OR($A183="",$M$9&lt;&gt;"Y",$O$9=""),0,IF($H183&gt;=$O$9,$B183*(TSOFR3M+$H$9/10000+$F183)*$N$9/DayBasis,0))</f>
        <v/>
      </c>
      <c r="AA183" s="44">
        <f>IF(OR($A183="",$M$10&lt;&gt;"Y",$O$10=""),0,IF($H183&gt;=$O$10,$B183*(TSOFR3M+$H$10/10000+$F183)*$N$10/DayBasis,0))</f>
        <v/>
      </c>
      <c r="AB183" s="44">
        <f>IF(OR($A183="",$M$12&lt;&gt;"Y",$O$12=""),0,IF($H183&gt;=$O$12,$B183*(TSOFR3M+$H$12/10000+$F183)*$N$12/DayBasis,0))</f>
        <v/>
      </c>
      <c r="AC183" s="50">
        <f>IF($A183="",0,MIN(1,$C183*$C$39))</f>
        <v/>
      </c>
      <c r="AD183" s="44">
        <f>IF($A183="",0,$B183*IF($I183=1,LGD_LC,MIN(1,LGD+$C$40))*(1-$E183))</f>
        <v/>
      </c>
      <c r="AE183" s="44">
        <f>IF(OR($A183="",$B183&lt;=0,$AC183&lt;=0),0,IF($AC183&gt;=1,$AD183,IF(_xlfn.NORM.S.INV(RAND())*SQRT(1-Rho)+$C$41*SQRT(Rho)&lt;_xlfn.NORM.S.INV($AC183),$AD183,0)))</f>
        <v/>
      </c>
      <c r="AG183" t="n">
        <v>177</v>
      </c>
      <c r="AH183" s="35" t="n">
        <v>0</v>
      </c>
    </row>
    <row r="184">
      <c r="A184" s="7">
        <f>IF('02_Buyers'!$A121="","",'02_Buyers'!$A121)</f>
        <v/>
      </c>
      <c r="B184" s="44">
        <f>IF($A184="",0,'02_Buyers'!$Z121)</f>
        <v/>
      </c>
      <c r="C184" s="50">
        <f>IF($A184="",0,'02_Buyers'!$AM121)</f>
        <v/>
      </c>
      <c r="D184" s="50">
        <f>IF($A184="",0,'02_Buyers'!$AN121)</f>
        <v/>
      </c>
      <c r="E184" s="50">
        <f>IF($A184="",0,'02_Buyers'!$AO121)</f>
        <v/>
      </c>
      <c r="F184" s="50">
        <f>IF($A184="",0,'02_Buyers'!$AP121)</f>
        <v/>
      </c>
      <c r="G184" s="45">
        <f>IF($A184="",0,'02_Buyers'!$V121)</f>
        <v/>
      </c>
      <c r="H184" s="45">
        <f>IF(OR($A184="",'02_Buyers'!$AC121=""),0,'02_Buyers'!$AC121)</f>
        <v/>
      </c>
      <c r="I184" s="45">
        <f>IF($A184="",0,IF(OR('02_Buyers'!$U121="LC_SIGHT",'02_Buyers'!$U121="LC_USANCE"),1,0))</f>
        <v/>
      </c>
      <c r="J184" s="7">
        <f>IF($A184="","",'02_Buyers'!$T121)</f>
        <v/>
      </c>
      <c r="K184" s="44">
        <f>IF($A184="",0,$B184*MIN(1,$C184*$J$6)*IF($I184=1,LGD_LC,MIN(1,LGD+$K$6))*(1-$E184))</f>
        <v/>
      </c>
      <c r="L184" s="44">
        <f>IF($A184="",0,$B184*MIN(1,$C184*$J$7)*IF($I184=1,LGD_LC,MIN(1,LGD+$K$7))*(1-$E184))</f>
        <v/>
      </c>
      <c r="M184" s="44">
        <f>IF($A184="",0,$B184*MIN(1,$C184*$J$8)*IF($I184=1,LGD_LC,MIN(1,LGD+$K$8))*(1-$E184))</f>
        <v/>
      </c>
      <c r="N184" s="44">
        <f>IF($A184="",0,$B184*MIN(1,$C184*$J$9)*IF($I184=1,LGD_LC,MIN(1,LGD+$K$9))*(1-$E184))</f>
        <v/>
      </c>
      <c r="O184" s="44">
        <f>IF($A184="",0,$B184*MIN(1,$C184*$J$10)*IF($I184=1,LGD_LC,MIN(1,LGD+$K$10))*(1-$E184))</f>
        <v/>
      </c>
      <c r="P184" s="44">
        <f>IF($A184="",0,$B184*MIN(1,$C184*$J$12)*IF($I184=1,LGD_LC,MIN(1,LGD+$K$12))*(1-$E184))</f>
        <v/>
      </c>
      <c r="Q184" s="44">
        <f>IF($A184="",0,$B184*(TSOFR3M+$H$6/10000+$F184)*$G184/DayBasis)</f>
        <v/>
      </c>
      <c r="R184" s="44">
        <f>IF($A184="",0,$B184*(TSOFR3M+$H$7/10000+$F184)*$G184/DayBasis)</f>
        <v/>
      </c>
      <c r="S184" s="44">
        <f>IF($A184="",0,$B184*(TSOFR3M+$H$8/10000+$F184)*$G184/DayBasis)</f>
        <v/>
      </c>
      <c r="T184" s="44">
        <f>IF($A184="",0,$B184*(TSOFR3M+$H$9/10000+$F184)*$G184/DayBasis)</f>
        <v/>
      </c>
      <c r="U184" s="44">
        <f>IF($A184="",0,$B184*(TSOFR3M+$H$10/10000+$F184)*$G184/DayBasis)</f>
        <v/>
      </c>
      <c r="V184" s="44">
        <f>IF($A184="",0,$B184*(TSOFR3M+$H$12/10000+$F184)*$G184/DayBasis)</f>
        <v/>
      </c>
      <c r="W184" s="44">
        <f>IF(OR($A184="",$M$6&lt;&gt;"Y",$O$6=""),0,IF($H184&gt;=$O$6,$B184*(TSOFR3M+$H$6/10000+$F184)*$N$6/DayBasis,0))</f>
        <v/>
      </c>
      <c r="X184" s="44">
        <f>IF(OR($A184="",$M$7&lt;&gt;"Y",$O$7=""),0,IF($H184&gt;=$O$7,$B184*(TSOFR3M+$H$7/10000+$F184)*$N$7/DayBasis,0))</f>
        <v/>
      </c>
      <c r="Y184" s="44">
        <f>IF(OR($A184="",$M$8&lt;&gt;"Y",$O$8=""),0,IF($H184&gt;=$O$8,$B184*(TSOFR3M+$H$8/10000+$F184)*$N$8/DayBasis,0))</f>
        <v/>
      </c>
      <c r="Z184" s="44">
        <f>IF(OR($A184="",$M$9&lt;&gt;"Y",$O$9=""),0,IF($H184&gt;=$O$9,$B184*(TSOFR3M+$H$9/10000+$F184)*$N$9/DayBasis,0))</f>
        <v/>
      </c>
      <c r="AA184" s="44">
        <f>IF(OR($A184="",$M$10&lt;&gt;"Y",$O$10=""),0,IF($H184&gt;=$O$10,$B184*(TSOFR3M+$H$10/10000+$F184)*$N$10/DayBasis,0))</f>
        <v/>
      </c>
      <c r="AB184" s="44">
        <f>IF(OR($A184="",$M$12&lt;&gt;"Y",$O$12=""),0,IF($H184&gt;=$O$12,$B184*(TSOFR3M+$H$12/10000+$F184)*$N$12/DayBasis,0))</f>
        <v/>
      </c>
      <c r="AC184" s="50">
        <f>IF($A184="",0,MIN(1,$C184*$C$39))</f>
        <v/>
      </c>
      <c r="AD184" s="44">
        <f>IF($A184="",0,$B184*IF($I184=1,LGD_LC,MIN(1,LGD+$C$40))*(1-$E184))</f>
        <v/>
      </c>
      <c r="AE184" s="44">
        <f>IF(OR($A184="",$B184&lt;=0,$AC184&lt;=0),0,IF($AC184&gt;=1,$AD184,IF(_xlfn.NORM.S.INV(RAND())*SQRT(1-Rho)+$C$41*SQRT(Rho)&lt;_xlfn.NORM.S.INV($AC184),$AD184,0)))</f>
        <v/>
      </c>
      <c r="AG184" t="n">
        <v>178</v>
      </c>
      <c r="AH184" s="35" t="n">
        <v>0</v>
      </c>
    </row>
    <row r="185">
      <c r="A185" s="7">
        <f>IF('02_Buyers'!$A122="","",'02_Buyers'!$A122)</f>
        <v/>
      </c>
      <c r="B185" s="44">
        <f>IF($A185="",0,'02_Buyers'!$Z122)</f>
        <v/>
      </c>
      <c r="C185" s="50">
        <f>IF($A185="",0,'02_Buyers'!$AM122)</f>
        <v/>
      </c>
      <c r="D185" s="50">
        <f>IF($A185="",0,'02_Buyers'!$AN122)</f>
        <v/>
      </c>
      <c r="E185" s="50">
        <f>IF($A185="",0,'02_Buyers'!$AO122)</f>
        <v/>
      </c>
      <c r="F185" s="50">
        <f>IF($A185="",0,'02_Buyers'!$AP122)</f>
        <v/>
      </c>
      <c r="G185" s="45">
        <f>IF($A185="",0,'02_Buyers'!$V122)</f>
        <v/>
      </c>
      <c r="H185" s="45">
        <f>IF(OR($A185="",'02_Buyers'!$AC122=""),0,'02_Buyers'!$AC122)</f>
        <v/>
      </c>
      <c r="I185" s="45">
        <f>IF($A185="",0,IF(OR('02_Buyers'!$U122="LC_SIGHT",'02_Buyers'!$U122="LC_USANCE"),1,0))</f>
        <v/>
      </c>
      <c r="J185" s="7">
        <f>IF($A185="","",'02_Buyers'!$T122)</f>
        <v/>
      </c>
      <c r="K185" s="44">
        <f>IF($A185="",0,$B185*MIN(1,$C185*$J$6)*IF($I185=1,LGD_LC,MIN(1,LGD+$K$6))*(1-$E185))</f>
        <v/>
      </c>
      <c r="L185" s="44">
        <f>IF($A185="",0,$B185*MIN(1,$C185*$J$7)*IF($I185=1,LGD_LC,MIN(1,LGD+$K$7))*(1-$E185))</f>
        <v/>
      </c>
      <c r="M185" s="44">
        <f>IF($A185="",0,$B185*MIN(1,$C185*$J$8)*IF($I185=1,LGD_LC,MIN(1,LGD+$K$8))*(1-$E185))</f>
        <v/>
      </c>
      <c r="N185" s="44">
        <f>IF($A185="",0,$B185*MIN(1,$C185*$J$9)*IF($I185=1,LGD_LC,MIN(1,LGD+$K$9))*(1-$E185))</f>
        <v/>
      </c>
      <c r="O185" s="44">
        <f>IF($A185="",0,$B185*MIN(1,$C185*$J$10)*IF($I185=1,LGD_LC,MIN(1,LGD+$K$10))*(1-$E185))</f>
        <v/>
      </c>
      <c r="P185" s="44">
        <f>IF($A185="",0,$B185*MIN(1,$C185*$J$12)*IF($I185=1,LGD_LC,MIN(1,LGD+$K$12))*(1-$E185))</f>
        <v/>
      </c>
      <c r="Q185" s="44">
        <f>IF($A185="",0,$B185*(TSOFR3M+$H$6/10000+$F185)*$G185/DayBasis)</f>
        <v/>
      </c>
      <c r="R185" s="44">
        <f>IF($A185="",0,$B185*(TSOFR3M+$H$7/10000+$F185)*$G185/DayBasis)</f>
        <v/>
      </c>
      <c r="S185" s="44">
        <f>IF($A185="",0,$B185*(TSOFR3M+$H$8/10000+$F185)*$G185/DayBasis)</f>
        <v/>
      </c>
      <c r="T185" s="44">
        <f>IF($A185="",0,$B185*(TSOFR3M+$H$9/10000+$F185)*$G185/DayBasis)</f>
        <v/>
      </c>
      <c r="U185" s="44">
        <f>IF($A185="",0,$B185*(TSOFR3M+$H$10/10000+$F185)*$G185/DayBasis)</f>
        <v/>
      </c>
      <c r="V185" s="44">
        <f>IF($A185="",0,$B185*(TSOFR3M+$H$12/10000+$F185)*$G185/DayBasis)</f>
        <v/>
      </c>
      <c r="W185" s="44">
        <f>IF(OR($A185="",$M$6&lt;&gt;"Y",$O$6=""),0,IF($H185&gt;=$O$6,$B185*(TSOFR3M+$H$6/10000+$F185)*$N$6/DayBasis,0))</f>
        <v/>
      </c>
      <c r="X185" s="44">
        <f>IF(OR($A185="",$M$7&lt;&gt;"Y",$O$7=""),0,IF($H185&gt;=$O$7,$B185*(TSOFR3M+$H$7/10000+$F185)*$N$7/DayBasis,0))</f>
        <v/>
      </c>
      <c r="Y185" s="44">
        <f>IF(OR($A185="",$M$8&lt;&gt;"Y",$O$8=""),0,IF($H185&gt;=$O$8,$B185*(TSOFR3M+$H$8/10000+$F185)*$N$8/DayBasis,0))</f>
        <v/>
      </c>
      <c r="Z185" s="44">
        <f>IF(OR($A185="",$M$9&lt;&gt;"Y",$O$9=""),0,IF($H185&gt;=$O$9,$B185*(TSOFR3M+$H$9/10000+$F185)*$N$9/DayBasis,0))</f>
        <v/>
      </c>
      <c r="AA185" s="44">
        <f>IF(OR($A185="",$M$10&lt;&gt;"Y",$O$10=""),0,IF($H185&gt;=$O$10,$B185*(TSOFR3M+$H$10/10000+$F185)*$N$10/DayBasis,0))</f>
        <v/>
      </c>
      <c r="AB185" s="44">
        <f>IF(OR($A185="",$M$12&lt;&gt;"Y",$O$12=""),0,IF($H185&gt;=$O$12,$B185*(TSOFR3M+$H$12/10000+$F185)*$N$12/DayBasis,0))</f>
        <v/>
      </c>
      <c r="AC185" s="50">
        <f>IF($A185="",0,MIN(1,$C185*$C$39))</f>
        <v/>
      </c>
      <c r="AD185" s="44">
        <f>IF($A185="",0,$B185*IF($I185=1,LGD_LC,MIN(1,LGD+$C$40))*(1-$E185))</f>
        <v/>
      </c>
      <c r="AE185" s="44">
        <f>IF(OR($A185="",$B185&lt;=0,$AC185&lt;=0),0,IF($AC185&gt;=1,$AD185,IF(_xlfn.NORM.S.INV(RAND())*SQRT(1-Rho)+$C$41*SQRT(Rho)&lt;_xlfn.NORM.S.INV($AC185),$AD185,0)))</f>
        <v/>
      </c>
      <c r="AG185" t="n">
        <v>179</v>
      </c>
      <c r="AH185" s="35" t="n">
        <v>0</v>
      </c>
    </row>
    <row r="186">
      <c r="A186" s="7">
        <f>IF('02_Buyers'!$A123="","",'02_Buyers'!$A123)</f>
        <v/>
      </c>
      <c r="B186" s="44">
        <f>IF($A186="",0,'02_Buyers'!$Z123)</f>
        <v/>
      </c>
      <c r="C186" s="50">
        <f>IF($A186="",0,'02_Buyers'!$AM123)</f>
        <v/>
      </c>
      <c r="D186" s="50">
        <f>IF($A186="",0,'02_Buyers'!$AN123)</f>
        <v/>
      </c>
      <c r="E186" s="50">
        <f>IF($A186="",0,'02_Buyers'!$AO123)</f>
        <v/>
      </c>
      <c r="F186" s="50">
        <f>IF($A186="",0,'02_Buyers'!$AP123)</f>
        <v/>
      </c>
      <c r="G186" s="45">
        <f>IF($A186="",0,'02_Buyers'!$V123)</f>
        <v/>
      </c>
      <c r="H186" s="45">
        <f>IF(OR($A186="",'02_Buyers'!$AC123=""),0,'02_Buyers'!$AC123)</f>
        <v/>
      </c>
      <c r="I186" s="45">
        <f>IF($A186="",0,IF(OR('02_Buyers'!$U123="LC_SIGHT",'02_Buyers'!$U123="LC_USANCE"),1,0))</f>
        <v/>
      </c>
      <c r="J186" s="7">
        <f>IF($A186="","",'02_Buyers'!$T123)</f>
        <v/>
      </c>
      <c r="K186" s="44">
        <f>IF($A186="",0,$B186*MIN(1,$C186*$J$6)*IF($I186=1,LGD_LC,MIN(1,LGD+$K$6))*(1-$E186))</f>
        <v/>
      </c>
      <c r="L186" s="44">
        <f>IF($A186="",0,$B186*MIN(1,$C186*$J$7)*IF($I186=1,LGD_LC,MIN(1,LGD+$K$7))*(1-$E186))</f>
        <v/>
      </c>
      <c r="M186" s="44">
        <f>IF($A186="",0,$B186*MIN(1,$C186*$J$8)*IF($I186=1,LGD_LC,MIN(1,LGD+$K$8))*(1-$E186))</f>
        <v/>
      </c>
      <c r="N186" s="44">
        <f>IF($A186="",0,$B186*MIN(1,$C186*$J$9)*IF($I186=1,LGD_LC,MIN(1,LGD+$K$9))*(1-$E186))</f>
        <v/>
      </c>
      <c r="O186" s="44">
        <f>IF($A186="",0,$B186*MIN(1,$C186*$J$10)*IF($I186=1,LGD_LC,MIN(1,LGD+$K$10))*(1-$E186))</f>
        <v/>
      </c>
      <c r="P186" s="44">
        <f>IF($A186="",0,$B186*MIN(1,$C186*$J$12)*IF($I186=1,LGD_LC,MIN(1,LGD+$K$12))*(1-$E186))</f>
        <v/>
      </c>
      <c r="Q186" s="44">
        <f>IF($A186="",0,$B186*(TSOFR3M+$H$6/10000+$F186)*$G186/DayBasis)</f>
        <v/>
      </c>
      <c r="R186" s="44">
        <f>IF($A186="",0,$B186*(TSOFR3M+$H$7/10000+$F186)*$G186/DayBasis)</f>
        <v/>
      </c>
      <c r="S186" s="44">
        <f>IF($A186="",0,$B186*(TSOFR3M+$H$8/10000+$F186)*$G186/DayBasis)</f>
        <v/>
      </c>
      <c r="T186" s="44">
        <f>IF($A186="",0,$B186*(TSOFR3M+$H$9/10000+$F186)*$G186/DayBasis)</f>
        <v/>
      </c>
      <c r="U186" s="44">
        <f>IF($A186="",0,$B186*(TSOFR3M+$H$10/10000+$F186)*$G186/DayBasis)</f>
        <v/>
      </c>
      <c r="V186" s="44">
        <f>IF($A186="",0,$B186*(TSOFR3M+$H$12/10000+$F186)*$G186/DayBasis)</f>
        <v/>
      </c>
      <c r="W186" s="44">
        <f>IF(OR($A186="",$M$6&lt;&gt;"Y",$O$6=""),0,IF($H186&gt;=$O$6,$B186*(TSOFR3M+$H$6/10000+$F186)*$N$6/DayBasis,0))</f>
        <v/>
      </c>
      <c r="X186" s="44">
        <f>IF(OR($A186="",$M$7&lt;&gt;"Y",$O$7=""),0,IF($H186&gt;=$O$7,$B186*(TSOFR3M+$H$7/10000+$F186)*$N$7/DayBasis,0))</f>
        <v/>
      </c>
      <c r="Y186" s="44">
        <f>IF(OR($A186="",$M$8&lt;&gt;"Y",$O$8=""),0,IF($H186&gt;=$O$8,$B186*(TSOFR3M+$H$8/10000+$F186)*$N$8/DayBasis,0))</f>
        <v/>
      </c>
      <c r="Z186" s="44">
        <f>IF(OR($A186="",$M$9&lt;&gt;"Y",$O$9=""),0,IF($H186&gt;=$O$9,$B186*(TSOFR3M+$H$9/10000+$F186)*$N$9/DayBasis,0))</f>
        <v/>
      </c>
      <c r="AA186" s="44">
        <f>IF(OR($A186="",$M$10&lt;&gt;"Y",$O$10=""),0,IF($H186&gt;=$O$10,$B186*(TSOFR3M+$H$10/10000+$F186)*$N$10/DayBasis,0))</f>
        <v/>
      </c>
      <c r="AB186" s="44">
        <f>IF(OR($A186="",$M$12&lt;&gt;"Y",$O$12=""),0,IF($H186&gt;=$O$12,$B186*(TSOFR3M+$H$12/10000+$F186)*$N$12/DayBasis,0))</f>
        <v/>
      </c>
      <c r="AC186" s="50">
        <f>IF($A186="",0,MIN(1,$C186*$C$39))</f>
        <v/>
      </c>
      <c r="AD186" s="44">
        <f>IF($A186="",0,$B186*IF($I186=1,LGD_LC,MIN(1,LGD+$C$40))*(1-$E186))</f>
        <v/>
      </c>
      <c r="AE186" s="44">
        <f>IF(OR($A186="",$B186&lt;=0,$AC186&lt;=0),0,IF($AC186&gt;=1,$AD186,IF(_xlfn.NORM.S.INV(RAND())*SQRT(1-Rho)+$C$41*SQRT(Rho)&lt;_xlfn.NORM.S.INV($AC186),$AD186,0)))</f>
        <v/>
      </c>
      <c r="AG186" t="n">
        <v>180</v>
      </c>
      <c r="AH186" s="35" t="n">
        <v>0</v>
      </c>
    </row>
    <row r="187">
      <c r="A187" s="7">
        <f>IF('02_Buyers'!$A124="","",'02_Buyers'!$A124)</f>
        <v/>
      </c>
      <c r="B187" s="44">
        <f>IF($A187="",0,'02_Buyers'!$Z124)</f>
        <v/>
      </c>
      <c r="C187" s="50">
        <f>IF($A187="",0,'02_Buyers'!$AM124)</f>
        <v/>
      </c>
      <c r="D187" s="50">
        <f>IF($A187="",0,'02_Buyers'!$AN124)</f>
        <v/>
      </c>
      <c r="E187" s="50">
        <f>IF($A187="",0,'02_Buyers'!$AO124)</f>
        <v/>
      </c>
      <c r="F187" s="50">
        <f>IF($A187="",0,'02_Buyers'!$AP124)</f>
        <v/>
      </c>
      <c r="G187" s="45">
        <f>IF($A187="",0,'02_Buyers'!$V124)</f>
        <v/>
      </c>
      <c r="H187" s="45">
        <f>IF(OR($A187="",'02_Buyers'!$AC124=""),0,'02_Buyers'!$AC124)</f>
        <v/>
      </c>
      <c r="I187" s="45">
        <f>IF($A187="",0,IF(OR('02_Buyers'!$U124="LC_SIGHT",'02_Buyers'!$U124="LC_USANCE"),1,0))</f>
        <v/>
      </c>
      <c r="J187" s="7">
        <f>IF($A187="","",'02_Buyers'!$T124)</f>
        <v/>
      </c>
      <c r="K187" s="44">
        <f>IF($A187="",0,$B187*MIN(1,$C187*$J$6)*IF($I187=1,LGD_LC,MIN(1,LGD+$K$6))*(1-$E187))</f>
        <v/>
      </c>
      <c r="L187" s="44">
        <f>IF($A187="",0,$B187*MIN(1,$C187*$J$7)*IF($I187=1,LGD_LC,MIN(1,LGD+$K$7))*(1-$E187))</f>
        <v/>
      </c>
      <c r="M187" s="44">
        <f>IF($A187="",0,$B187*MIN(1,$C187*$J$8)*IF($I187=1,LGD_LC,MIN(1,LGD+$K$8))*(1-$E187))</f>
        <v/>
      </c>
      <c r="N187" s="44">
        <f>IF($A187="",0,$B187*MIN(1,$C187*$J$9)*IF($I187=1,LGD_LC,MIN(1,LGD+$K$9))*(1-$E187))</f>
        <v/>
      </c>
      <c r="O187" s="44">
        <f>IF($A187="",0,$B187*MIN(1,$C187*$J$10)*IF($I187=1,LGD_LC,MIN(1,LGD+$K$10))*(1-$E187))</f>
        <v/>
      </c>
      <c r="P187" s="44">
        <f>IF($A187="",0,$B187*MIN(1,$C187*$J$12)*IF($I187=1,LGD_LC,MIN(1,LGD+$K$12))*(1-$E187))</f>
        <v/>
      </c>
      <c r="Q187" s="44">
        <f>IF($A187="",0,$B187*(TSOFR3M+$H$6/10000+$F187)*$G187/DayBasis)</f>
        <v/>
      </c>
      <c r="R187" s="44">
        <f>IF($A187="",0,$B187*(TSOFR3M+$H$7/10000+$F187)*$G187/DayBasis)</f>
        <v/>
      </c>
      <c r="S187" s="44">
        <f>IF($A187="",0,$B187*(TSOFR3M+$H$8/10000+$F187)*$G187/DayBasis)</f>
        <v/>
      </c>
      <c r="T187" s="44">
        <f>IF($A187="",0,$B187*(TSOFR3M+$H$9/10000+$F187)*$G187/DayBasis)</f>
        <v/>
      </c>
      <c r="U187" s="44">
        <f>IF($A187="",0,$B187*(TSOFR3M+$H$10/10000+$F187)*$G187/DayBasis)</f>
        <v/>
      </c>
      <c r="V187" s="44">
        <f>IF($A187="",0,$B187*(TSOFR3M+$H$12/10000+$F187)*$G187/DayBasis)</f>
        <v/>
      </c>
      <c r="W187" s="44">
        <f>IF(OR($A187="",$M$6&lt;&gt;"Y",$O$6=""),0,IF($H187&gt;=$O$6,$B187*(TSOFR3M+$H$6/10000+$F187)*$N$6/DayBasis,0))</f>
        <v/>
      </c>
      <c r="X187" s="44">
        <f>IF(OR($A187="",$M$7&lt;&gt;"Y",$O$7=""),0,IF($H187&gt;=$O$7,$B187*(TSOFR3M+$H$7/10000+$F187)*$N$7/DayBasis,0))</f>
        <v/>
      </c>
      <c r="Y187" s="44">
        <f>IF(OR($A187="",$M$8&lt;&gt;"Y",$O$8=""),0,IF($H187&gt;=$O$8,$B187*(TSOFR3M+$H$8/10000+$F187)*$N$8/DayBasis,0))</f>
        <v/>
      </c>
      <c r="Z187" s="44">
        <f>IF(OR($A187="",$M$9&lt;&gt;"Y",$O$9=""),0,IF($H187&gt;=$O$9,$B187*(TSOFR3M+$H$9/10000+$F187)*$N$9/DayBasis,0))</f>
        <v/>
      </c>
      <c r="AA187" s="44">
        <f>IF(OR($A187="",$M$10&lt;&gt;"Y",$O$10=""),0,IF($H187&gt;=$O$10,$B187*(TSOFR3M+$H$10/10000+$F187)*$N$10/DayBasis,0))</f>
        <v/>
      </c>
      <c r="AB187" s="44">
        <f>IF(OR($A187="",$M$12&lt;&gt;"Y",$O$12=""),0,IF($H187&gt;=$O$12,$B187*(TSOFR3M+$H$12/10000+$F187)*$N$12/DayBasis,0))</f>
        <v/>
      </c>
      <c r="AC187" s="50">
        <f>IF($A187="",0,MIN(1,$C187*$C$39))</f>
        <v/>
      </c>
      <c r="AD187" s="44">
        <f>IF($A187="",0,$B187*IF($I187=1,LGD_LC,MIN(1,LGD+$C$40))*(1-$E187))</f>
        <v/>
      </c>
      <c r="AE187" s="44">
        <f>IF(OR($A187="",$B187&lt;=0,$AC187&lt;=0),0,IF($AC187&gt;=1,$AD187,IF(_xlfn.NORM.S.INV(RAND())*SQRT(1-Rho)+$C$41*SQRT(Rho)&lt;_xlfn.NORM.S.INV($AC187),$AD187,0)))</f>
        <v/>
      </c>
      <c r="AG187" t="n">
        <v>181</v>
      </c>
      <c r="AH187" s="35" t="n">
        <v>0</v>
      </c>
    </row>
    <row r="188">
      <c r="A188" s="7">
        <f>IF('02_Buyers'!$A125="","",'02_Buyers'!$A125)</f>
        <v/>
      </c>
      <c r="B188" s="44">
        <f>IF($A188="",0,'02_Buyers'!$Z125)</f>
        <v/>
      </c>
      <c r="C188" s="50">
        <f>IF($A188="",0,'02_Buyers'!$AM125)</f>
        <v/>
      </c>
      <c r="D188" s="50">
        <f>IF($A188="",0,'02_Buyers'!$AN125)</f>
        <v/>
      </c>
      <c r="E188" s="50">
        <f>IF($A188="",0,'02_Buyers'!$AO125)</f>
        <v/>
      </c>
      <c r="F188" s="50">
        <f>IF($A188="",0,'02_Buyers'!$AP125)</f>
        <v/>
      </c>
      <c r="G188" s="45">
        <f>IF($A188="",0,'02_Buyers'!$V125)</f>
        <v/>
      </c>
      <c r="H188" s="45">
        <f>IF(OR($A188="",'02_Buyers'!$AC125=""),0,'02_Buyers'!$AC125)</f>
        <v/>
      </c>
      <c r="I188" s="45">
        <f>IF($A188="",0,IF(OR('02_Buyers'!$U125="LC_SIGHT",'02_Buyers'!$U125="LC_USANCE"),1,0))</f>
        <v/>
      </c>
      <c r="J188" s="7">
        <f>IF($A188="","",'02_Buyers'!$T125)</f>
        <v/>
      </c>
      <c r="K188" s="44">
        <f>IF($A188="",0,$B188*MIN(1,$C188*$J$6)*IF($I188=1,LGD_LC,MIN(1,LGD+$K$6))*(1-$E188))</f>
        <v/>
      </c>
      <c r="L188" s="44">
        <f>IF($A188="",0,$B188*MIN(1,$C188*$J$7)*IF($I188=1,LGD_LC,MIN(1,LGD+$K$7))*(1-$E188))</f>
        <v/>
      </c>
      <c r="M188" s="44">
        <f>IF($A188="",0,$B188*MIN(1,$C188*$J$8)*IF($I188=1,LGD_LC,MIN(1,LGD+$K$8))*(1-$E188))</f>
        <v/>
      </c>
      <c r="N188" s="44">
        <f>IF($A188="",0,$B188*MIN(1,$C188*$J$9)*IF($I188=1,LGD_LC,MIN(1,LGD+$K$9))*(1-$E188))</f>
        <v/>
      </c>
      <c r="O188" s="44">
        <f>IF($A188="",0,$B188*MIN(1,$C188*$J$10)*IF($I188=1,LGD_LC,MIN(1,LGD+$K$10))*(1-$E188))</f>
        <v/>
      </c>
      <c r="P188" s="44">
        <f>IF($A188="",0,$B188*MIN(1,$C188*$J$12)*IF($I188=1,LGD_LC,MIN(1,LGD+$K$12))*(1-$E188))</f>
        <v/>
      </c>
      <c r="Q188" s="44">
        <f>IF($A188="",0,$B188*(TSOFR3M+$H$6/10000+$F188)*$G188/DayBasis)</f>
        <v/>
      </c>
      <c r="R188" s="44">
        <f>IF($A188="",0,$B188*(TSOFR3M+$H$7/10000+$F188)*$G188/DayBasis)</f>
        <v/>
      </c>
      <c r="S188" s="44">
        <f>IF($A188="",0,$B188*(TSOFR3M+$H$8/10000+$F188)*$G188/DayBasis)</f>
        <v/>
      </c>
      <c r="T188" s="44">
        <f>IF($A188="",0,$B188*(TSOFR3M+$H$9/10000+$F188)*$G188/DayBasis)</f>
        <v/>
      </c>
      <c r="U188" s="44">
        <f>IF($A188="",0,$B188*(TSOFR3M+$H$10/10000+$F188)*$G188/DayBasis)</f>
        <v/>
      </c>
      <c r="V188" s="44">
        <f>IF($A188="",0,$B188*(TSOFR3M+$H$12/10000+$F188)*$G188/DayBasis)</f>
        <v/>
      </c>
      <c r="W188" s="44">
        <f>IF(OR($A188="",$M$6&lt;&gt;"Y",$O$6=""),0,IF($H188&gt;=$O$6,$B188*(TSOFR3M+$H$6/10000+$F188)*$N$6/DayBasis,0))</f>
        <v/>
      </c>
      <c r="X188" s="44">
        <f>IF(OR($A188="",$M$7&lt;&gt;"Y",$O$7=""),0,IF($H188&gt;=$O$7,$B188*(TSOFR3M+$H$7/10000+$F188)*$N$7/DayBasis,0))</f>
        <v/>
      </c>
      <c r="Y188" s="44">
        <f>IF(OR($A188="",$M$8&lt;&gt;"Y",$O$8=""),0,IF($H188&gt;=$O$8,$B188*(TSOFR3M+$H$8/10000+$F188)*$N$8/DayBasis,0))</f>
        <v/>
      </c>
      <c r="Z188" s="44">
        <f>IF(OR($A188="",$M$9&lt;&gt;"Y",$O$9=""),0,IF($H188&gt;=$O$9,$B188*(TSOFR3M+$H$9/10000+$F188)*$N$9/DayBasis,0))</f>
        <v/>
      </c>
      <c r="AA188" s="44">
        <f>IF(OR($A188="",$M$10&lt;&gt;"Y",$O$10=""),0,IF($H188&gt;=$O$10,$B188*(TSOFR3M+$H$10/10000+$F188)*$N$10/DayBasis,0))</f>
        <v/>
      </c>
      <c r="AB188" s="44">
        <f>IF(OR($A188="",$M$12&lt;&gt;"Y",$O$12=""),0,IF($H188&gt;=$O$12,$B188*(TSOFR3M+$H$12/10000+$F188)*$N$12/DayBasis,0))</f>
        <v/>
      </c>
      <c r="AC188" s="50">
        <f>IF($A188="",0,MIN(1,$C188*$C$39))</f>
        <v/>
      </c>
      <c r="AD188" s="44">
        <f>IF($A188="",0,$B188*IF($I188=1,LGD_LC,MIN(1,LGD+$C$40))*(1-$E188))</f>
        <v/>
      </c>
      <c r="AE188" s="44">
        <f>IF(OR($A188="",$B188&lt;=0,$AC188&lt;=0),0,IF($AC188&gt;=1,$AD188,IF(_xlfn.NORM.S.INV(RAND())*SQRT(1-Rho)+$C$41*SQRT(Rho)&lt;_xlfn.NORM.S.INV($AC188),$AD188,0)))</f>
        <v/>
      </c>
      <c r="AG188" t="n">
        <v>182</v>
      </c>
      <c r="AH188" s="35" t="n">
        <v>0</v>
      </c>
    </row>
    <row r="189">
      <c r="A189" s="7">
        <f>IF('02_Buyers'!$A126="","",'02_Buyers'!$A126)</f>
        <v/>
      </c>
      <c r="B189" s="44">
        <f>IF($A189="",0,'02_Buyers'!$Z126)</f>
        <v/>
      </c>
      <c r="C189" s="50">
        <f>IF($A189="",0,'02_Buyers'!$AM126)</f>
        <v/>
      </c>
      <c r="D189" s="50">
        <f>IF($A189="",0,'02_Buyers'!$AN126)</f>
        <v/>
      </c>
      <c r="E189" s="50">
        <f>IF($A189="",0,'02_Buyers'!$AO126)</f>
        <v/>
      </c>
      <c r="F189" s="50">
        <f>IF($A189="",0,'02_Buyers'!$AP126)</f>
        <v/>
      </c>
      <c r="G189" s="45">
        <f>IF($A189="",0,'02_Buyers'!$V126)</f>
        <v/>
      </c>
      <c r="H189" s="45">
        <f>IF(OR($A189="",'02_Buyers'!$AC126=""),0,'02_Buyers'!$AC126)</f>
        <v/>
      </c>
      <c r="I189" s="45">
        <f>IF($A189="",0,IF(OR('02_Buyers'!$U126="LC_SIGHT",'02_Buyers'!$U126="LC_USANCE"),1,0))</f>
        <v/>
      </c>
      <c r="J189" s="7">
        <f>IF($A189="","",'02_Buyers'!$T126)</f>
        <v/>
      </c>
      <c r="K189" s="44">
        <f>IF($A189="",0,$B189*MIN(1,$C189*$J$6)*IF($I189=1,LGD_LC,MIN(1,LGD+$K$6))*(1-$E189))</f>
        <v/>
      </c>
      <c r="L189" s="44">
        <f>IF($A189="",0,$B189*MIN(1,$C189*$J$7)*IF($I189=1,LGD_LC,MIN(1,LGD+$K$7))*(1-$E189))</f>
        <v/>
      </c>
      <c r="M189" s="44">
        <f>IF($A189="",0,$B189*MIN(1,$C189*$J$8)*IF($I189=1,LGD_LC,MIN(1,LGD+$K$8))*(1-$E189))</f>
        <v/>
      </c>
      <c r="N189" s="44">
        <f>IF($A189="",0,$B189*MIN(1,$C189*$J$9)*IF($I189=1,LGD_LC,MIN(1,LGD+$K$9))*(1-$E189))</f>
        <v/>
      </c>
      <c r="O189" s="44">
        <f>IF($A189="",0,$B189*MIN(1,$C189*$J$10)*IF($I189=1,LGD_LC,MIN(1,LGD+$K$10))*(1-$E189))</f>
        <v/>
      </c>
      <c r="P189" s="44">
        <f>IF($A189="",0,$B189*MIN(1,$C189*$J$12)*IF($I189=1,LGD_LC,MIN(1,LGD+$K$12))*(1-$E189))</f>
        <v/>
      </c>
      <c r="Q189" s="44">
        <f>IF($A189="",0,$B189*(TSOFR3M+$H$6/10000+$F189)*$G189/DayBasis)</f>
        <v/>
      </c>
      <c r="R189" s="44">
        <f>IF($A189="",0,$B189*(TSOFR3M+$H$7/10000+$F189)*$G189/DayBasis)</f>
        <v/>
      </c>
      <c r="S189" s="44">
        <f>IF($A189="",0,$B189*(TSOFR3M+$H$8/10000+$F189)*$G189/DayBasis)</f>
        <v/>
      </c>
      <c r="T189" s="44">
        <f>IF($A189="",0,$B189*(TSOFR3M+$H$9/10000+$F189)*$G189/DayBasis)</f>
        <v/>
      </c>
      <c r="U189" s="44">
        <f>IF($A189="",0,$B189*(TSOFR3M+$H$10/10000+$F189)*$G189/DayBasis)</f>
        <v/>
      </c>
      <c r="V189" s="44">
        <f>IF($A189="",0,$B189*(TSOFR3M+$H$12/10000+$F189)*$G189/DayBasis)</f>
        <v/>
      </c>
      <c r="W189" s="44">
        <f>IF(OR($A189="",$M$6&lt;&gt;"Y",$O$6=""),0,IF($H189&gt;=$O$6,$B189*(TSOFR3M+$H$6/10000+$F189)*$N$6/DayBasis,0))</f>
        <v/>
      </c>
      <c r="X189" s="44">
        <f>IF(OR($A189="",$M$7&lt;&gt;"Y",$O$7=""),0,IF($H189&gt;=$O$7,$B189*(TSOFR3M+$H$7/10000+$F189)*$N$7/DayBasis,0))</f>
        <v/>
      </c>
      <c r="Y189" s="44">
        <f>IF(OR($A189="",$M$8&lt;&gt;"Y",$O$8=""),0,IF($H189&gt;=$O$8,$B189*(TSOFR3M+$H$8/10000+$F189)*$N$8/DayBasis,0))</f>
        <v/>
      </c>
      <c r="Z189" s="44">
        <f>IF(OR($A189="",$M$9&lt;&gt;"Y",$O$9=""),0,IF($H189&gt;=$O$9,$B189*(TSOFR3M+$H$9/10000+$F189)*$N$9/DayBasis,0))</f>
        <v/>
      </c>
      <c r="AA189" s="44">
        <f>IF(OR($A189="",$M$10&lt;&gt;"Y",$O$10=""),0,IF($H189&gt;=$O$10,$B189*(TSOFR3M+$H$10/10000+$F189)*$N$10/DayBasis,0))</f>
        <v/>
      </c>
      <c r="AB189" s="44">
        <f>IF(OR($A189="",$M$12&lt;&gt;"Y",$O$12=""),0,IF($H189&gt;=$O$12,$B189*(TSOFR3M+$H$12/10000+$F189)*$N$12/DayBasis,0))</f>
        <v/>
      </c>
      <c r="AC189" s="50">
        <f>IF($A189="",0,MIN(1,$C189*$C$39))</f>
        <v/>
      </c>
      <c r="AD189" s="44">
        <f>IF($A189="",0,$B189*IF($I189=1,LGD_LC,MIN(1,LGD+$C$40))*(1-$E189))</f>
        <v/>
      </c>
      <c r="AE189" s="44">
        <f>IF(OR($A189="",$B189&lt;=0,$AC189&lt;=0),0,IF($AC189&gt;=1,$AD189,IF(_xlfn.NORM.S.INV(RAND())*SQRT(1-Rho)+$C$41*SQRT(Rho)&lt;_xlfn.NORM.S.INV($AC189),$AD189,0)))</f>
        <v/>
      </c>
      <c r="AG189" t="n">
        <v>183</v>
      </c>
      <c r="AH189" s="35" t="n">
        <v>0</v>
      </c>
    </row>
    <row r="190">
      <c r="A190" s="7">
        <f>IF('02_Buyers'!$A127="","",'02_Buyers'!$A127)</f>
        <v/>
      </c>
      <c r="B190" s="44">
        <f>IF($A190="",0,'02_Buyers'!$Z127)</f>
        <v/>
      </c>
      <c r="C190" s="50">
        <f>IF($A190="",0,'02_Buyers'!$AM127)</f>
        <v/>
      </c>
      <c r="D190" s="50">
        <f>IF($A190="",0,'02_Buyers'!$AN127)</f>
        <v/>
      </c>
      <c r="E190" s="50">
        <f>IF($A190="",0,'02_Buyers'!$AO127)</f>
        <v/>
      </c>
      <c r="F190" s="50">
        <f>IF($A190="",0,'02_Buyers'!$AP127)</f>
        <v/>
      </c>
      <c r="G190" s="45">
        <f>IF($A190="",0,'02_Buyers'!$V127)</f>
        <v/>
      </c>
      <c r="H190" s="45">
        <f>IF(OR($A190="",'02_Buyers'!$AC127=""),0,'02_Buyers'!$AC127)</f>
        <v/>
      </c>
      <c r="I190" s="45">
        <f>IF($A190="",0,IF(OR('02_Buyers'!$U127="LC_SIGHT",'02_Buyers'!$U127="LC_USANCE"),1,0))</f>
        <v/>
      </c>
      <c r="J190" s="7">
        <f>IF($A190="","",'02_Buyers'!$T127)</f>
        <v/>
      </c>
      <c r="K190" s="44">
        <f>IF($A190="",0,$B190*MIN(1,$C190*$J$6)*IF($I190=1,LGD_LC,MIN(1,LGD+$K$6))*(1-$E190))</f>
        <v/>
      </c>
      <c r="L190" s="44">
        <f>IF($A190="",0,$B190*MIN(1,$C190*$J$7)*IF($I190=1,LGD_LC,MIN(1,LGD+$K$7))*(1-$E190))</f>
        <v/>
      </c>
      <c r="M190" s="44">
        <f>IF($A190="",0,$B190*MIN(1,$C190*$J$8)*IF($I190=1,LGD_LC,MIN(1,LGD+$K$8))*(1-$E190))</f>
        <v/>
      </c>
      <c r="N190" s="44">
        <f>IF($A190="",0,$B190*MIN(1,$C190*$J$9)*IF($I190=1,LGD_LC,MIN(1,LGD+$K$9))*(1-$E190))</f>
        <v/>
      </c>
      <c r="O190" s="44">
        <f>IF($A190="",0,$B190*MIN(1,$C190*$J$10)*IF($I190=1,LGD_LC,MIN(1,LGD+$K$10))*(1-$E190))</f>
        <v/>
      </c>
      <c r="P190" s="44">
        <f>IF($A190="",0,$B190*MIN(1,$C190*$J$12)*IF($I190=1,LGD_LC,MIN(1,LGD+$K$12))*(1-$E190))</f>
        <v/>
      </c>
      <c r="Q190" s="44">
        <f>IF($A190="",0,$B190*(TSOFR3M+$H$6/10000+$F190)*$G190/DayBasis)</f>
        <v/>
      </c>
      <c r="R190" s="44">
        <f>IF($A190="",0,$B190*(TSOFR3M+$H$7/10000+$F190)*$G190/DayBasis)</f>
        <v/>
      </c>
      <c r="S190" s="44">
        <f>IF($A190="",0,$B190*(TSOFR3M+$H$8/10000+$F190)*$G190/DayBasis)</f>
        <v/>
      </c>
      <c r="T190" s="44">
        <f>IF($A190="",0,$B190*(TSOFR3M+$H$9/10000+$F190)*$G190/DayBasis)</f>
        <v/>
      </c>
      <c r="U190" s="44">
        <f>IF($A190="",0,$B190*(TSOFR3M+$H$10/10000+$F190)*$G190/DayBasis)</f>
        <v/>
      </c>
      <c r="V190" s="44">
        <f>IF($A190="",0,$B190*(TSOFR3M+$H$12/10000+$F190)*$G190/DayBasis)</f>
        <v/>
      </c>
      <c r="W190" s="44">
        <f>IF(OR($A190="",$M$6&lt;&gt;"Y",$O$6=""),0,IF($H190&gt;=$O$6,$B190*(TSOFR3M+$H$6/10000+$F190)*$N$6/DayBasis,0))</f>
        <v/>
      </c>
      <c r="X190" s="44">
        <f>IF(OR($A190="",$M$7&lt;&gt;"Y",$O$7=""),0,IF($H190&gt;=$O$7,$B190*(TSOFR3M+$H$7/10000+$F190)*$N$7/DayBasis,0))</f>
        <v/>
      </c>
      <c r="Y190" s="44">
        <f>IF(OR($A190="",$M$8&lt;&gt;"Y",$O$8=""),0,IF($H190&gt;=$O$8,$B190*(TSOFR3M+$H$8/10000+$F190)*$N$8/DayBasis,0))</f>
        <v/>
      </c>
      <c r="Z190" s="44">
        <f>IF(OR($A190="",$M$9&lt;&gt;"Y",$O$9=""),0,IF($H190&gt;=$O$9,$B190*(TSOFR3M+$H$9/10000+$F190)*$N$9/DayBasis,0))</f>
        <v/>
      </c>
      <c r="AA190" s="44">
        <f>IF(OR($A190="",$M$10&lt;&gt;"Y",$O$10=""),0,IF($H190&gt;=$O$10,$B190*(TSOFR3M+$H$10/10000+$F190)*$N$10/DayBasis,0))</f>
        <v/>
      </c>
      <c r="AB190" s="44">
        <f>IF(OR($A190="",$M$12&lt;&gt;"Y",$O$12=""),0,IF($H190&gt;=$O$12,$B190*(TSOFR3M+$H$12/10000+$F190)*$N$12/DayBasis,0))</f>
        <v/>
      </c>
      <c r="AC190" s="50">
        <f>IF($A190="",0,MIN(1,$C190*$C$39))</f>
        <v/>
      </c>
      <c r="AD190" s="44">
        <f>IF($A190="",0,$B190*IF($I190=1,LGD_LC,MIN(1,LGD+$C$40))*(1-$E190))</f>
        <v/>
      </c>
      <c r="AE190" s="44">
        <f>IF(OR($A190="",$B190&lt;=0,$AC190&lt;=0),0,IF($AC190&gt;=1,$AD190,IF(_xlfn.NORM.S.INV(RAND())*SQRT(1-Rho)+$C$41*SQRT(Rho)&lt;_xlfn.NORM.S.INV($AC190),$AD190,0)))</f>
        <v/>
      </c>
      <c r="AG190" t="n">
        <v>184</v>
      </c>
      <c r="AH190" s="35" t="n">
        <v>0</v>
      </c>
    </row>
    <row r="191">
      <c r="A191" s="7">
        <f>IF('02_Buyers'!$A128="","",'02_Buyers'!$A128)</f>
        <v/>
      </c>
      <c r="B191" s="44">
        <f>IF($A191="",0,'02_Buyers'!$Z128)</f>
        <v/>
      </c>
      <c r="C191" s="50">
        <f>IF($A191="",0,'02_Buyers'!$AM128)</f>
        <v/>
      </c>
      <c r="D191" s="50">
        <f>IF($A191="",0,'02_Buyers'!$AN128)</f>
        <v/>
      </c>
      <c r="E191" s="50">
        <f>IF($A191="",0,'02_Buyers'!$AO128)</f>
        <v/>
      </c>
      <c r="F191" s="50">
        <f>IF($A191="",0,'02_Buyers'!$AP128)</f>
        <v/>
      </c>
      <c r="G191" s="45">
        <f>IF($A191="",0,'02_Buyers'!$V128)</f>
        <v/>
      </c>
      <c r="H191" s="45">
        <f>IF(OR($A191="",'02_Buyers'!$AC128=""),0,'02_Buyers'!$AC128)</f>
        <v/>
      </c>
      <c r="I191" s="45">
        <f>IF($A191="",0,IF(OR('02_Buyers'!$U128="LC_SIGHT",'02_Buyers'!$U128="LC_USANCE"),1,0))</f>
        <v/>
      </c>
      <c r="J191" s="7">
        <f>IF($A191="","",'02_Buyers'!$T128)</f>
        <v/>
      </c>
      <c r="K191" s="44">
        <f>IF($A191="",0,$B191*MIN(1,$C191*$J$6)*IF($I191=1,LGD_LC,MIN(1,LGD+$K$6))*(1-$E191))</f>
        <v/>
      </c>
      <c r="L191" s="44">
        <f>IF($A191="",0,$B191*MIN(1,$C191*$J$7)*IF($I191=1,LGD_LC,MIN(1,LGD+$K$7))*(1-$E191))</f>
        <v/>
      </c>
      <c r="M191" s="44">
        <f>IF($A191="",0,$B191*MIN(1,$C191*$J$8)*IF($I191=1,LGD_LC,MIN(1,LGD+$K$8))*(1-$E191))</f>
        <v/>
      </c>
      <c r="N191" s="44">
        <f>IF($A191="",0,$B191*MIN(1,$C191*$J$9)*IF($I191=1,LGD_LC,MIN(1,LGD+$K$9))*(1-$E191))</f>
        <v/>
      </c>
      <c r="O191" s="44">
        <f>IF($A191="",0,$B191*MIN(1,$C191*$J$10)*IF($I191=1,LGD_LC,MIN(1,LGD+$K$10))*(1-$E191))</f>
        <v/>
      </c>
      <c r="P191" s="44">
        <f>IF($A191="",0,$B191*MIN(1,$C191*$J$12)*IF($I191=1,LGD_LC,MIN(1,LGD+$K$12))*(1-$E191))</f>
        <v/>
      </c>
      <c r="Q191" s="44">
        <f>IF($A191="",0,$B191*(TSOFR3M+$H$6/10000+$F191)*$G191/DayBasis)</f>
        <v/>
      </c>
      <c r="R191" s="44">
        <f>IF($A191="",0,$B191*(TSOFR3M+$H$7/10000+$F191)*$G191/DayBasis)</f>
        <v/>
      </c>
      <c r="S191" s="44">
        <f>IF($A191="",0,$B191*(TSOFR3M+$H$8/10000+$F191)*$G191/DayBasis)</f>
        <v/>
      </c>
      <c r="T191" s="44">
        <f>IF($A191="",0,$B191*(TSOFR3M+$H$9/10000+$F191)*$G191/DayBasis)</f>
        <v/>
      </c>
      <c r="U191" s="44">
        <f>IF($A191="",0,$B191*(TSOFR3M+$H$10/10000+$F191)*$G191/DayBasis)</f>
        <v/>
      </c>
      <c r="V191" s="44">
        <f>IF($A191="",0,$B191*(TSOFR3M+$H$12/10000+$F191)*$G191/DayBasis)</f>
        <v/>
      </c>
      <c r="W191" s="44">
        <f>IF(OR($A191="",$M$6&lt;&gt;"Y",$O$6=""),0,IF($H191&gt;=$O$6,$B191*(TSOFR3M+$H$6/10000+$F191)*$N$6/DayBasis,0))</f>
        <v/>
      </c>
      <c r="X191" s="44">
        <f>IF(OR($A191="",$M$7&lt;&gt;"Y",$O$7=""),0,IF($H191&gt;=$O$7,$B191*(TSOFR3M+$H$7/10000+$F191)*$N$7/DayBasis,0))</f>
        <v/>
      </c>
      <c r="Y191" s="44">
        <f>IF(OR($A191="",$M$8&lt;&gt;"Y",$O$8=""),0,IF($H191&gt;=$O$8,$B191*(TSOFR3M+$H$8/10000+$F191)*$N$8/DayBasis,0))</f>
        <v/>
      </c>
      <c r="Z191" s="44">
        <f>IF(OR($A191="",$M$9&lt;&gt;"Y",$O$9=""),0,IF($H191&gt;=$O$9,$B191*(TSOFR3M+$H$9/10000+$F191)*$N$9/DayBasis,0))</f>
        <v/>
      </c>
      <c r="AA191" s="44">
        <f>IF(OR($A191="",$M$10&lt;&gt;"Y",$O$10=""),0,IF($H191&gt;=$O$10,$B191*(TSOFR3M+$H$10/10000+$F191)*$N$10/DayBasis,0))</f>
        <v/>
      </c>
      <c r="AB191" s="44">
        <f>IF(OR($A191="",$M$12&lt;&gt;"Y",$O$12=""),0,IF($H191&gt;=$O$12,$B191*(TSOFR3M+$H$12/10000+$F191)*$N$12/DayBasis,0))</f>
        <v/>
      </c>
      <c r="AC191" s="50">
        <f>IF($A191="",0,MIN(1,$C191*$C$39))</f>
        <v/>
      </c>
      <c r="AD191" s="44">
        <f>IF($A191="",0,$B191*IF($I191=1,LGD_LC,MIN(1,LGD+$C$40))*(1-$E191))</f>
        <v/>
      </c>
      <c r="AE191" s="44">
        <f>IF(OR($A191="",$B191&lt;=0,$AC191&lt;=0),0,IF($AC191&gt;=1,$AD191,IF(_xlfn.NORM.S.INV(RAND())*SQRT(1-Rho)+$C$41*SQRT(Rho)&lt;_xlfn.NORM.S.INV($AC191),$AD191,0)))</f>
        <v/>
      </c>
      <c r="AG191" t="n">
        <v>185</v>
      </c>
      <c r="AH191" s="35" t="n">
        <v>0</v>
      </c>
    </row>
    <row r="192">
      <c r="A192" s="7">
        <f>IF('02_Buyers'!$A129="","",'02_Buyers'!$A129)</f>
        <v/>
      </c>
      <c r="B192" s="44">
        <f>IF($A192="",0,'02_Buyers'!$Z129)</f>
        <v/>
      </c>
      <c r="C192" s="50">
        <f>IF($A192="",0,'02_Buyers'!$AM129)</f>
        <v/>
      </c>
      <c r="D192" s="50">
        <f>IF($A192="",0,'02_Buyers'!$AN129)</f>
        <v/>
      </c>
      <c r="E192" s="50">
        <f>IF($A192="",0,'02_Buyers'!$AO129)</f>
        <v/>
      </c>
      <c r="F192" s="50">
        <f>IF($A192="",0,'02_Buyers'!$AP129)</f>
        <v/>
      </c>
      <c r="G192" s="45">
        <f>IF($A192="",0,'02_Buyers'!$V129)</f>
        <v/>
      </c>
      <c r="H192" s="45">
        <f>IF(OR($A192="",'02_Buyers'!$AC129=""),0,'02_Buyers'!$AC129)</f>
        <v/>
      </c>
      <c r="I192" s="45">
        <f>IF($A192="",0,IF(OR('02_Buyers'!$U129="LC_SIGHT",'02_Buyers'!$U129="LC_USANCE"),1,0))</f>
        <v/>
      </c>
      <c r="J192" s="7">
        <f>IF($A192="","",'02_Buyers'!$T129)</f>
        <v/>
      </c>
      <c r="K192" s="44">
        <f>IF($A192="",0,$B192*MIN(1,$C192*$J$6)*IF($I192=1,LGD_LC,MIN(1,LGD+$K$6))*(1-$E192))</f>
        <v/>
      </c>
      <c r="L192" s="44">
        <f>IF($A192="",0,$B192*MIN(1,$C192*$J$7)*IF($I192=1,LGD_LC,MIN(1,LGD+$K$7))*(1-$E192))</f>
        <v/>
      </c>
      <c r="M192" s="44">
        <f>IF($A192="",0,$B192*MIN(1,$C192*$J$8)*IF($I192=1,LGD_LC,MIN(1,LGD+$K$8))*(1-$E192))</f>
        <v/>
      </c>
      <c r="N192" s="44">
        <f>IF($A192="",0,$B192*MIN(1,$C192*$J$9)*IF($I192=1,LGD_LC,MIN(1,LGD+$K$9))*(1-$E192))</f>
        <v/>
      </c>
      <c r="O192" s="44">
        <f>IF($A192="",0,$B192*MIN(1,$C192*$J$10)*IF($I192=1,LGD_LC,MIN(1,LGD+$K$10))*(1-$E192))</f>
        <v/>
      </c>
      <c r="P192" s="44">
        <f>IF($A192="",0,$B192*MIN(1,$C192*$J$12)*IF($I192=1,LGD_LC,MIN(1,LGD+$K$12))*(1-$E192))</f>
        <v/>
      </c>
      <c r="Q192" s="44">
        <f>IF($A192="",0,$B192*(TSOFR3M+$H$6/10000+$F192)*$G192/DayBasis)</f>
        <v/>
      </c>
      <c r="R192" s="44">
        <f>IF($A192="",0,$B192*(TSOFR3M+$H$7/10000+$F192)*$G192/DayBasis)</f>
        <v/>
      </c>
      <c r="S192" s="44">
        <f>IF($A192="",0,$B192*(TSOFR3M+$H$8/10000+$F192)*$G192/DayBasis)</f>
        <v/>
      </c>
      <c r="T192" s="44">
        <f>IF($A192="",0,$B192*(TSOFR3M+$H$9/10000+$F192)*$G192/DayBasis)</f>
        <v/>
      </c>
      <c r="U192" s="44">
        <f>IF($A192="",0,$B192*(TSOFR3M+$H$10/10000+$F192)*$G192/DayBasis)</f>
        <v/>
      </c>
      <c r="V192" s="44">
        <f>IF($A192="",0,$B192*(TSOFR3M+$H$12/10000+$F192)*$G192/DayBasis)</f>
        <v/>
      </c>
      <c r="W192" s="44">
        <f>IF(OR($A192="",$M$6&lt;&gt;"Y",$O$6=""),0,IF($H192&gt;=$O$6,$B192*(TSOFR3M+$H$6/10000+$F192)*$N$6/DayBasis,0))</f>
        <v/>
      </c>
      <c r="X192" s="44">
        <f>IF(OR($A192="",$M$7&lt;&gt;"Y",$O$7=""),0,IF($H192&gt;=$O$7,$B192*(TSOFR3M+$H$7/10000+$F192)*$N$7/DayBasis,0))</f>
        <v/>
      </c>
      <c r="Y192" s="44">
        <f>IF(OR($A192="",$M$8&lt;&gt;"Y",$O$8=""),0,IF($H192&gt;=$O$8,$B192*(TSOFR3M+$H$8/10000+$F192)*$N$8/DayBasis,0))</f>
        <v/>
      </c>
      <c r="Z192" s="44">
        <f>IF(OR($A192="",$M$9&lt;&gt;"Y",$O$9=""),0,IF($H192&gt;=$O$9,$B192*(TSOFR3M+$H$9/10000+$F192)*$N$9/DayBasis,0))</f>
        <v/>
      </c>
      <c r="AA192" s="44">
        <f>IF(OR($A192="",$M$10&lt;&gt;"Y",$O$10=""),0,IF($H192&gt;=$O$10,$B192*(TSOFR3M+$H$10/10000+$F192)*$N$10/DayBasis,0))</f>
        <v/>
      </c>
      <c r="AB192" s="44">
        <f>IF(OR($A192="",$M$12&lt;&gt;"Y",$O$12=""),0,IF($H192&gt;=$O$12,$B192*(TSOFR3M+$H$12/10000+$F192)*$N$12/DayBasis,0))</f>
        <v/>
      </c>
      <c r="AC192" s="50">
        <f>IF($A192="",0,MIN(1,$C192*$C$39))</f>
        <v/>
      </c>
      <c r="AD192" s="44">
        <f>IF($A192="",0,$B192*IF($I192=1,LGD_LC,MIN(1,LGD+$C$40))*(1-$E192))</f>
        <v/>
      </c>
      <c r="AE192" s="44">
        <f>IF(OR($A192="",$B192&lt;=0,$AC192&lt;=0),0,IF($AC192&gt;=1,$AD192,IF(_xlfn.NORM.S.INV(RAND())*SQRT(1-Rho)+$C$41*SQRT(Rho)&lt;_xlfn.NORM.S.INV($AC192),$AD192,0)))</f>
        <v/>
      </c>
      <c r="AG192" t="n">
        <v>186</v>
      </c>
      <c r="AH192" s="35" t="n">
        <v>0</v>
      </c>
    </row>
    <row r="193">
      <c r="A193" s="7">
        <f>IF('02_Buyers'!$A130="","",'02_Buyers'!$A130)</f>
        <v/>
      </c>
      <c r="B193" s="44">
        <f>IF($A193="",0,'02_Buyers'!$Z130)</f>
        <v/>
      </c>
      <c r="C193" s="50">
        <f>IF($A193="",0,'02_Buyers'!$AM130)</f>
        <v/>
      </c>
      <c r="D193" s="50">
        <f>IF($A193="",0,'02_Buyers'!$AN130)</f>
        <v/>
      </c>
      <c r="E193" s="50">
        <f>IF($A193="",0,'02_Buyers'!$AO130)</f>
        <v/>
      </c>
      <c r="F193" s="50">
        <f>IF($A193="",0,'02_Buyers'!$AP130)</f>
        <v/>
      </c>
      <c r="G193" s="45">
        <f>IF($A193="",0,'02_Buyers'!$V130)</f>
        <v/>
      </c>
      <c r="H193" s="45">
        <f>IF(OR($A193="",'02_Buyers'!$AC130=""),0,'02_Buyers'!$AC130)</f>
        <v/>
      </c>
      <c r="I193" s="45">
        <f>IF($A193="",0,IF(OR('02_Buyers'!$U130="LC_SIGHT",'02_Buyers'!$U130="LC_USANCE"),1,0))</f>
        <v/>
      </c>
      <c r="J193" s="7">
        <f>IF($A193="","",'02_Buyers'!$T130)</f>
        <v/>
      </c>
      <c r="K193" s="44">
        <f>IF($A193="",0,$B193*MIN(1,$C193*$J$6)*IF($I193=1,LGD_LC,MIN(1,LGD+$K$6))*(1-$E193))</f>
        <v/>
      </c>
      <c r="L193" s="44">
        <f>IF($A193="",0,$B193*MIN(1,$C193*$J$7)*IF($I193=1,LGD_LC,MIN(1,LGD+$K$7))*(1-$E193))</f>
        <v/>
      </c>
      <c r="M193" s="44">
        <f>IF($A193="",0,$B193*MIN(1,$C193*$J$8)*IF($I193=1,LGD_LC,MIN(1,LGD+$K$8))*(1-$E193))</f>
        <v/>
      </c>
      <c r="N193" s="44">
        <f>IF($A193="",0,$B193*MIN(1,$C193*$J$9)*IF($I193=1,LGD_LC,MIN(1,LGD+$K$9))*(1-$E193))</f>
        <v/>
      </c>
      <c r="O193" s="44">
        <f>IF($A193="",0,$B193*MIN(1,$C193*$J$10)*IF($I193=1,LGD_LC,MIN(1,LGD+$K$10))*(1-$E193))</f>
        <v/>
      </c>
      <c r="P193" s="44">
        <f>IF($A193="",0,$B193*MIN(1,$C193*$J$12)*IF($I193=1,LGD_LC,MIN(1,LGD+$K$12))*(1-$E193))</f>
        <v/>
      </c>
      <c r="Q193" s="44">
        <f>IF($A193="",0,$B193*(TSOFR3M+$H$6/10000+$F193)*$G193/DayBasis)</f>
        <v/>
      </c>
      <c r="R193" s="44">
        <f>IF($A193="",0,$B193*(TSOFR3M+$H$7/10000+$F193)*$G193/DayBasis)</f>
        <v/>
      </c>
      <c r="S193" s="44">
        <f>IF($A193="",0,$B193*(TSOFR3M+$H$8/10000+$F193)*$G193/DayBasis)</f>
        <v/>
      </c>
      <c r="T193" s="44">
        <f>IF($A193="",0,$B193*(TSOFR3M+$H$9/10000+$F193)*$G193/DayBasis)</f>
        <v/>
      </c>
      <c r="U193" s="44">
        <f>IF($A193="",0,$B193*(TSOFR3M+$H$10/10000+$F193)*$G193/DayBasis)</f>
        <v/>
      </c>
      <c r="V193" s="44">
        <f>IF($A193="",0,$B193*(TSOFR3M+$H$12/10000+$F193)*$G193/DayBasis)</f>
        <v/>
      </c>
      <c r="W193" s="44">
        <f>IF(OR($A193="",$M$6&lt;&gt;"Y",$O$6=""),0,IF($H193&gt;=$O$6,$B193*(TSOFR3M+$H$6/10000+$F193)*$N$6/DayBasis,0))</f>
        <v/>
      </c>
      <c r="X193" s="44">
        <f>IF(OR($A193="",$M$7&lt;&gt;"Y",$O$7=""),0,IF($H193&gt;=$O$7,$B193*(TSOFR3M+$H$7/10000+$F193)*$N$7/DayBasis,0))</f>
        <v/>
      </c>
      <c r="Y193" s="44">
        <f>IF(OR($A193="",$M$8&lt;&gt;"Y",$O$8=""),0,IF($H193&gt;=$O$8,$B193*(TSOFR3M+$H$8/10000+$F193)*$N$8/DayBasis,0))</f>
        <v/>
      </c>
      <c r="Z193" s="44">
        <f>IF(OR($A193="",$M$9&lt;&gt;"Y",$O$9=""),0,IF($H193&gt;=$O$9,$B193*(TSOFR3M+$H$9/10000+$F193)*$N$9/DayBasis,0))</f>
        <v/>
      </c>
      <c r="AA193" s="44">
        <f>IF(OR($A193="",$M$10&lt;&gt;"Y",$O$10=""),0,IF($H193&gt;=$O$10,$B193*(TSOFR3M+$H$10/10000+$F193)*$N$10/DayBasis,0))</f>
        <v/>
      </c>
      <c r="AB193" s="44">
        <f>IF(OR($A193="",$M$12&lt;&gt;"Y",$O$12=""),0,IF($H193&gt;=$O$12,$B193*(TSOFR3M+$H$12/10000+$F193)*$N$12/DayBasis,0))</f>
        <v/>
      </c>
      <c r="AC193" s="50">
        <f>IF($A193="",0,MIN(1,$C193*$C$39))</f>
        <v/>
      </c>
      <c r="AD193" s="44">
        <f>IF($A193="",0,$B193*IF($I193=1,LGD_LC,MIN(1,LGD+$C$40))*(1-$E193))</f>
        <v/>
      </c>
      <c r="AE193" s="44">
        <f>IF(OR($A193="",$B193&lt;=0,$AC193&lt;=0),0,IF($AC193&gt;=1,$AD193,IF(_xlfn.NORM.S.INV(RAND())*SQRT(1-Rho)+$C$41*SQRT(Rho)&lt;_xlfn.NORM.S.INV($AC193),$AD193,0)))</f>
        <v/>
      </c>
      <c r="AG193" t="n">
        <v>187</v>
      </c>
      <c r="AH193" s="35" t="n">
        <v>0</v>
      </c>
    </row>
    <row r="194">
      <c r="A194" s="7">
        <f>IF('02_Buyers'!$A131="","",'02_Buyers'!$A131)</f>
        <v/>
      </c>
      <c r="B194" s="44">
        <f>IF($A194="",0,'02_Buyers'!$Z131)</f>
        <v/>
      </c>
      <c r="C194" s="50">
        <f>IF($A194="",0,'02_Buyers'!$AM131)</f>
        <v/>
      </c>
      <c r="D194" s="50">
        <f>IF($A194="",0,'02_Buyers'!$AN131)</f>
        <v/>
      </c>
      <c r="E194" s="50">
        <f>IF($A194="",0,'02_Buyers'!$AO131)</f>
        <v/>
      </c>
      <c r="F194" s="50">
        <f>IF($A194="",0,'02_Buyers'!$AP131)</f>
        <v/>
      </c>
      <c r="G194" s="45">
        <f>IF($A194="",0,'02_Buyers'!$V131)</f>
        <v/>
      </c>
      <c r="H194" s="45">
        <f>IF(OR($A194="",'02_Buyers'!$AC131=""),0,'02_Buyers'!$AC131)</f>
        <v/>
      </c>
      <c r="I194" s="45">
        <f>IF($A194="",0,IF(OR('02_Buyers'!$U131="LC_SIGHT",'02_Buyers'!$U131="LC_USANCE"),1,0))</f>
        <v/>
      </c>
      <c r="J194" s="7">
        <f>IF($A194="","",'02_Buyers'!$T131)</f>
        <v/>
      </c>
      <c r="K194" s="44">
        <f>IF($A194="",0,$B194*MIN(1,$C194*$J$6)*IF($I194=1,LGD_LC,MIN(1,LGD+$K$6))*(1-$E194))</f>
        <v/>
      </c>
      <c r="L194" s="44">
        <f>IF($A194="",0,$B194*MIN(1,$C194*$J$7)*IF($I194=1,LGD_LC,MIN(1,LGD+$K$7))*(1-$E194))</f>
        <v/>
      </c>
      <c r="M194" s="44">
        <f>IF($A194="",0,$B194*MIN(1,$C194*$J$8)*IF($I194=1,LGD_LC,MIN(1,LGD+$K$8))*(1-$E194))</f>
        <v/>
      </c>
      <c r="N194" s="44">
        <f>IF($A194="",0,$B194*MIN(1,$C194*$J$9)*IF($I194=1,LGD_LC,MIN(1,LGD+$K$9))*(1-$E194))</f>
        <v/>
      </c>
      <c r="O194" s="44">
        <f>IF($A194="",0,$B194*MIN(1,$C194*$J$10)*IF($I194=1,LGD_LC,MIN(1,LGD+$K$10))*(1-$E194))</f>
        <v/>
      </c>
      <c r="P194" s="44">
        <f>IF($A194="",0,$B194*MIN(1,$C194*$J$12)*IF($I194=1,LGD_LC,MIN(1,LGD+$K$12))*(1-$E194))</f>
        <v/>
      </c>
      <c r="Q194" s="44">
        <f>IF($A194="",0,$B194*(TSOFR3M+$H$6/10000+$F194)*$G194/DayBasis)</f>
        <v/>
      </c>
      <c r="R194" s="44">
        <f>IF($A194="",0,$B194*(TSOFR3M+$H$7/10000+$F194)*$G194/DayBasis)</f>
        <v/>
      </c>
      <c r="S194" s="44">
        <f>IF($A194="",0,$B194*(TSOFR3M+$H$8/10000+$F194)*$G194/DayBasis)</f>
        <v/>
      </c>
      <c r="T194" s="44">
        <f>IF($A194="",0,$B194*(TSOFR3M+$H$9/10000+$F194)*$G194/DayBasis)</f>
        <v/>
      </c>
      <c r="U194" s="44">
        <f>IF($A194="",0,$B194*(TSOFR3M+$H$10/10000+$F194)*$G194/DayBasis)</f>
        <v/>
      </c>
      <c r="V194" s="44">
        <f>IF($A194="",0,$B194*(TSOFR3M+$H$12/10000+$F194)*$G194/DayBasis)</f>
        <v/>
      </c>
      <c r="W194" s="44">
        <f>IF(OR($A194="",$M$6&lt;&gt;"Y",$O$6=""),0,IF($H194&gt;=$O$6,$B194*(TSOFR3M+$H$6/10000+$F194)*$N$6/DayBasis,0))</f>
        <v/>
      </c>
      <c r="X194" s="44">
        <f>IF(OR($A194="",$M$7&lt;&gt;"Y",$O$7=""),0,IF($H194&gt;=$O$7,$B194*(TSOFR3M+$H$7/10000+$F194)*$N$7/DayBasis,0))</f>
        <v/>
      </c>
      <c r="Y194" s="44">
        <f>IF(OR($A194="",$M$8&lt;&gt;"Y",$O$8=""),0,IF($H194&gt;=$O$8,$B194*(TSOFR3M+$H$8/10000+$F194)*$N$8/DayBasis,0))</f>
        <v/>
      </c>
      <c r="Z194" s="44">
        <f>IF(OR($A194="",$M$9&lt;&gt;"Y",$O$9=""),0,IF($H194&gt;=$O$9,$B194*(TSOFR3M+$H$9/10000+$F194)*$N$9/DayBasis,0))</f>
        <v/>
      </c>
      <c r="AA194" s="44">
        <f>IF(OR($A194="",$M$10&lt;&gt;"Y",$O$10=""),0,IF($H194&gt;=$O$10,$B194*(TSOFR3M+$H$10/10000+$F194)*$N$10/DayBasis,0))</f>
        <v/>
      </c>
      <c r="AB194" s="44">
        <f>IF(OR($A194="",$M$12&lt;&gt;"Y",$O$12=""),0,IF($H194&gt;=$O$12,$B194*(TSOFR3M+$H$12/10000+$F194)*$N$12/DayBasis,0))</f>
        <v/>
      </c>
      <c r="AC194" s="50">
        <f>IF($A194="",0,MIN(1,$C194*$C$39))</f>
        <v/>
      </c>
      <c r="AD194" s="44">
        <f>IF($A194="",0,$B194*IF($I194=1,LGD_LC,MIN(1,LGD+$C$40))*(1-$E194))</f>
        <v/>
      </c>
      <c r="AE194" s="44">
        <f>IF(OR($A194="",$B194&lt;=0,$AC194&lt;=0),0,IF($AC194&gt;=1,$AD194,IF(_xlfn.NORM.S.INV(RAND())*SQRT(1-Rho)+$C$41*SQRT(Rho)&lt;_xlfn.NORM.S.INV($AC194),$AD194,0)))</f>
        <v/>
      </c>
      <c r="AG194" t="n">
        <v>188</v>
      </c>
      <c r="AH194" s="35" t="n">
        <v>0</v>
      </c>
    </row>
    <row r="195">
      <c r="A195" s="7">
        <f>IF('02_Buyers'!$A132="","",'02_Buyers'!$A132)</f>
        <v/>
      </c>
      <c r="B195" s="44">
        <f>IF($A195="",0,'02_Buyers'!$Z132)</f>
        <v/>
      </c>
      <c r="C195" s="50">
        <f>IF($A195="",0,'02_Buyers'!$AM132)</f>
        <v/>
      </c>
      <c r="D195" s="50">
        <f>IF($A195="",0,'02_Buyers'!$AN132)</f>
        <v/>
      </c>
      <c r="E195" s="50">
        <f>IF($A195="",0,'02_Buyers'!$AO132)</f>
        <v/>
      </c>
      <c r="F195" s="50">
        <f>IF($A195="",0,'02_Buyers'!$AP132)</f>
        <v/>
      </c>
      <c r="G195" s="45">
        <f>IF($A195="",0,'02_Buyers'!$V132)</f>
        <v/>
      </c>
      <c r="H195" s="45">
        <f>IF(OR($A195="",'02_Buyers'!$AC132=""),0,'02_Buyers'!$AC132)</f>
        <v/>
      </c>
      <c r="I195" s="45">
        <f>IF($A195="",0,IF(OR('02_Buyers'!$U132="LC_SIGHT",'02_Buyers'!$U132="LC_USANCE"),1,0))</f>
        <v/>
      </c>
      <c r="J195" s="7">
        <f>IF($A195="","",'02_Buyers'!$T132)</f>
        <v/>
      </c>
      <c r="K195" s="44">
        <f>IF($A195="",0,$B195*MIN(1,$C195*$J$6)*IF($I195=1,LGD_LC,MIN(1,LGD+$K$6))*(1-$E195))</f>
        <v/>
      </c>
      <c r="L195" s="44">
        <f>IF($A195="",0,$B195*MIN(1,$C195*$J$7)*IF($I195=1,LGD_LC,MIN(1,LGD+$K$7))*(1-$E195))</f>
        <v/>
      </c>
      <c r="M195" s="44">
        <f>IF($A195="",0,$B195*MIN(1,$C195*$J$8)*IF($I195=1,LGD_LC,MIN(1,LGD+$K$8))*(1-$E195))</f>
        <v/>
      </c>
      <c r="N195" s="44">
        <f>IF($A195="",0,$B195*MIN(1,$C195*$J$9)*IF($I195=1,LGD_LC,MIN(1,LGD+$K$9))*(1-$E195))</f>
        <v/>
      </c>
      <c r="O195" s="44">
        <f>IF($A195="",0,$B195*MIN(1,$C195*$J$10)*IF($I195=1,LGD_LC,MIN(1,LGD+$K$10))*(1-$E195))</f>
        <v/>
      </c>
      <c r="P195" s="44">
        <f>IF($A195="",0,$B195*MIN(1,$C195*$J$12)*IF($I195=1,LGD_LC,MIN(1,LGD+$K$12))*(1-$E195))</f>
        <v/>
      </c>
      <c r="Q195" s="44">
        <f>IF($A195="",0,$B195*(TSOFR3M+$H$6/10000+$F195)*$G195/DayBasis)</f>
        <v/>
      </c>
      <c r="R195" s="44">
        <f>IF($A195="",0,$B195*(TSOFR3M+$H$7/10000+$F195)*$G195/DayBasis)</f>
        <v/>
      </c>
      <c r="S195" s="44">
        <f>IF($A195="",0,$B195*(TSOFR3M+$H$8/10000+$F195)*$G195/DayBasis)</f>
        <v/>
      </c>
      <c r="T195" s="44">
        <f>IF($A195="",0,$B195*(TSOFR3M+$H$9/10000+$F195)*$G195/DayBasis)</f>
        <v/>
      </c>
      <c r="U195" s="44">
        <f>IF($A195="",0,$B195*(TSOFR3M+$H$10/10000+$F195)*$G195/DayBasis)</f>
        <v/>
      </c>
      <c r="V195" s="44">
        <f>IF($A195="",0,$B195*(TSOFR3M+$H$12/10000+$F195)*$G195/DayBasis)</f>
        <v/>
      </c>
      <c r="W195" s="44">
        <f>IF(OR($A195="",$M$6&lt;&gt;"Y",$O$6=""),0,IF($H195&gt;=$O$6,$B195*(TSOFR3M+$H$6/10000+$F195)*$N$6/DayBasis,0))</f>
        <v/>
      </c>
      <c r="X195" s="44">
        <f>IF(OR($A195="",$M$7&lt;&gt;"Y",$O$7=""),0,IF($H195&gt;=$O$7,$B195*(TSOFR3M+$H$7/10000+$F195)*$N$7/DayBasis,0))</f>
        <v/>
      </c>
      <c r="Y195" s="44">
        <f>IF(OR($A195="",$M$8&lt;&gt;"Y",$O$8=""),0,IF($H195&gt;=$O$8,$B195*(TSOFR3M+$H$8/10000+$F195)*$N$8/DayBasis,0))</f>
        <v/>
      </c>
      <c r="Z195" s="44">
        <f>IF(OR($A195="",$M$9&lt;&gt;"Y",$O$9=""),0,IF($H195&gt;=$O$9,$B195*(TSOFR3M+$H$9/10000+$F195)*$N$9/DayBasis,0))</f>
        <v/>
      </c>
      <c r="AA195" s="44">
        <f>IF(OR($A195="",$M$10&lt;&gt;"Y",$O$10=""),0,IF($H195&gt;=$O$10,$B195*(TSOFR3M+$H$10/10000+$F195)*$N$10/DayBasis,0))</f>
        <v/>
      </c>
      <c r="AB195" s="44">
        <f>IF(OR($A195="",$M$12&lt;&gt;"Y",$O$12=""),0,IF($H195&gt;=$O$12,$B195*(TSOFR3M+$H$12/10000+$F195)*$N$12/DayBasis,0))</f>
        <v/>
      </c>
      <c r="AC195" s="50">
        <f>IF($A195="",0,MIN(1,$C195*$C$39))</f>
        <v/>
      </c>
      <c r="AD195" s="44">
        <f>IF($A195="",0,$B195*IF($I195=1,LGD_LC,MIN(1,LGD+$C$40))*(1-$E195))</f>
        <v/>
      </c>
      <c r="AE195" s="44">
        <f>IF(OR($A195="",$B195&lt;=0,$AC195&lt;=0),0,IF($AC195&gt;=1,$AD195,IF(_xlfn.NORM.S.INV(RAND())*SQRT(1-Rho)+$C$41*SQRT(Rho)&lt;_xlfn.NORM.S.INV($AC195),$AD195,0)))</f>
        <v/>
      </c>
      <c r="AG195" t="n">
        <v>189</v>
      </c>
      <c r="AH195" s="35" t="n">
        <v>0</v>
      </c>
    </row>
    <row r="196">
      <c r="A196" s="7">
        <f>IF('02_Buyers'!$A133="","",'02_Buyers'!$A133)</f>
        <v/>
      </c>
      <c r="B196" s="44">
        <f>IF($A196="",0,'02_Buyers'!$Z133)</f>
        <v/>
      </c>
      <c r="C196" s="50">
        <f>IF($A196="",0,'02_Buyers'!$AM133)</f>
        <v/>
      </c>
      <c r="D196" s="50">
        <f>IF($A196="",0,'02_Buyers'!$AN133)</f>
        <v/>
      </c>
      <c r="E196" s="50">
        <f>IF($A196="",0,'02_Buyers'!$AO133)</f>
        <v/>
      </c>
      <c r="F196" s="50">
        <f>IF($A196="",0,'02_Buyers'!$AP133)</f>
        <v/>
      </c>
      <c r="G196" s="45">
        <f>IF($A196="",0,'02_Buyers'!$V133)</f>
        <v/>
      </c>
      <c r="H196" s="45">
        <f>IF(OR($A196="",'02_Buyers'!$AC133=""),0,'02_Buyers'!$AC133)</f>
        <v/>
      </c>
      <c r="I196" s="45">
        <f>IF($A196="",0,IF(OR('02_Buyers'!$U133="LC_SIGHT",'02_Buyers'!$U133="LC_USANCE"),1,0))</f>
        <v/>
      </c>
      <c r="J196" s="7">
        <f>IF($A196="","",'02_Buyers'!$T133)</f>
        <v/>
      </c>
      <c r="K196" s="44">
        <f>IF($A196="",0,$B196*MIN(1,$C196*$J$6)*IF($I196=1,LGD_LC,MIN(1,LGD+$K$6))*(1-$E196))</f>
        <v/>
      </c>
      <c r="L196" s="44">
        <f>IF($A196="",0,$B196*MIN(1,$C196*$J$7)*IF($I196=1,LGD_LC,MIN(1,LGD+$K$7))*(1-$E196))</f>
        <v/>
      </c>
      <c r="M196" s="44">
        <f>IF($A196="",0,$B196*MIN(1,$C196*$J$8)*IF($I196=1,LGD_LC,MIN(1,LGD+$K$8))*(1-$E196))</f>
        <v/>
      </c>
      <c r="N196" s="44">
        <f>IF($A196="",0,$B196*MIN(1,$C196*$J$9)*IF($I196=1,LGD_LC,MIN(1,LGD+$K$9))*(1-$E196))</f>
        <v/>
      </c>
      <c r="O196" s="44">
        <f>IF($A196="",0,$B196*MIN(1,$C196*$J$10)*IF($I196=1,LGD_LC,MIN(1,LGD+$K$10))*(1-$E196))</f>
        <v/>
      </c>
      <c r="P196" s="44">
        <f>IF($A196="",0,$B196*MIN(1,$C196*$J$12)*IF($I196=1,LGD_LC,MIN(1,LGD+$K$12))*(1-$E196))</f>
        <v/>
      </c>
      <c r="Q196" s="44">
        <f>IF($A196="",0,$B196*(TSOFR3M+$H$6/10000+$F196)*$G196/DayBasis)</f>
        <v/>
      </c>
      <c r="R196" s="44">
        <f>IF($A196="",0,$B196*(TSOFR3M+$H$7/10000+$F196)*$G196/DayBasis)</f>
        <v/>
      </c>
      <c r="S196" s="44">
        <f>IF($A196="",0,$B196*(TSOFR3M+$H$8/10000+$F196)*$G196/DayBasis)</f>
        <v/>
      </c>
      <c r="T196" s="44">
        <f>IF($A196="",0,$B196*(TSOFR3M+$H$9/10000+$F196)*$G196/DayBasis)</f>
        <v/>
      </c>
      <c r="U196" s="44">
        <f>IF($A196="",0,$B196*(TSOFR3M+$H$10/10000+$F196)*$G196/DayBasis)</f>
        <v/>
      </c>
      <c r="V196" s="44">
        <f>IF($A196="",0,$B196*(TSOFR3M+$H$12/10000+$F196)*$G196/DayBasis)</f>
        <v/>
      </c>
      <c r="W196" s="44">
        <f>IF(OR($A196="",$M$6&lt;&gt;"Y",$O$6=""),0,IF($H196&gt;=$O$6,$B196*(TSOFR3M+$H$6/10000+$F196)*$N$6/DayBasis,0))</f>
        <v/>
      </c>
      <c r="X196" s="44">
        <f>IF(OR($A196="",$M$7&lt;&gt;"Y",$O$7=""),0,IF($H196&gt;=$O$7,$B196*(TSOFR3M+$H$7/10000+$F196)*$N$7/DayBasis,0))</f>
        <v/>
      </c>
      <c r="Y196" s="44">
        <f>IF(OR($A196="",$M$8&lt;&gt;"Y",$O$8=""),0,IF($H196&gt;=$O$8,$B196*(TSOFR3M+$H$8/10000+$F196)*$N$8/DayBasis,0))</f>
        <v/>
      </c>
      <c r="Z196" s="44">
        <f>IF(OR($A196="",$M$9&lt;&gt;"Y",$O$9=""),0,IF($H196&gt;=$O$9,$B196*(TSOFR3M+$H$9/10000+$F196)*$N$9/DayBasis,0))</f>
        <v/>
      </c>
      <c r="AA196" s="44">
        <f>IF(OR($A196="",$M$10&lt;&gt;"Y",$O$10=""),0,IF($H196&gt;=$O$10,$B196*(TSOFR3M+$H$10/10000+$F196)*$N$10/DayBasis,0))</f>
        <v/>
      </c>
      <c r="AB196" s="44">
        <f>IF(OR($A196="",$M$12&lt;&gt;"Y",$O$12=""),0,IF($H196&gt;=$O$12,$B196*(TSOFR3M+$H$12/10000+$F196)*$N$12/DayBasis,0))</f>
        <v/>
      </c>
      <c r="AC196" s="50">
        <f>IF($A196="",0,MIN(1,$C196*$C$39))</f>
        <v/>
      </c>
      <c r="AD196" s="44">
        <f>IF($A196="",0,$B196*IF($I196=1,LGD_LC,MIN(1,LGD+$C$40))*(1-$E196))</f>
        <v/>
      </c>
      <c r="AE196" s="44">
        <f>IF(OR($A196="",$B196&lt;=0,$AC196&lt;=0),0,IF($AC196&gt;=1,$AD196,IF(_xlfn.NORM.S.INV(RAND())*SQRT(1-Rho)+$C$41*SQRT(Rho)&lt;_xlfn.NORM.S.INV($AC196),$AD196,0)))</f>
        <v/>
      </c>
      <c r="AG196" t="n">
        <v>190</v>
      </c>
      <c r="AH196" s="35" t="n">
        <v>0</v>
      </c>
    </row>
    <row r="197">
      <c r="A197" s="7">
        <f>IF('02_Buyers'!$A134="","",'02_Buyers'!$A134)</f>
        <v/>
      </c>
      <c r="B197" s="44">
        <f>IF($A197="",0,'02_Buyers'!$Z134)</f>
        <v/>
      </c>
      <c r="C197" s="50">
        <f>IF($A197="",0,'02_Buyers'!$AM134)</f>
        <v/>
      </c>
      <c r="D197" s="50">
        <f>IF($A197="",0,'02_Buyers'!$AN134)</f>
        <v/>
      </c>
      <c r="E197" s="50">
        <f>IF($A197="",0,'02_Buyers'!$AO134)</f>
        <v/>
      </c>
      <c r="F197" s="50">
        <f>IF($A197="",0,'02_Buyers'!$AP134)</f>
        <v/>
      </c>
      <c r="G197" s="45">
        <f>IF($A197="",0,'02_Buyers'!$V134)</f>
        <v/>
      </c>
      <c r="H197" s="45">
        <f>IF(OR($A197="",'02_Buyers'!$AC134=""),0,'02_Buyers'!$AC134)</f>
        <v/>
      </c>
      <c r="I197" s="45">
        <f>IF($A197="",0,IF(OR('02_Buyers'!$U134="LC_SIGHT",'02_Buyers'!$U134="LC_USANCE"),1,0))</f>
        <v/>
      </c>
      <c r="J197" s="7">
        <f>IF($A197="","",'02_Buyers'!$T134)</f>
        <v/>
      </c>
      <c r="K197" s="44">
        <f>IF($A197="",0,$B197*MIN(1,$C197*$J$6)*IF($I197=1,LGD_LC,MIN(1,LGD+$K$6))*(1-$E197))</f>
        <v/>
      </c>
      <c r="L197" s="44">
        <f>IF($A197="",0,$B197*MIN(1,$C197*$J$7)*IF($I197=1,LGD_LC,MIN(1,LGD+$K$7))*(1-$E197))</f>
        <v/>
      </c>
      <c r="M197" s="44">
        <f>IF($A197="",0,$B197*MIN(1,$C197*$J$8)*IF($I197=1,LGD_LC,MIN(1,LGD+$K$8))*(1-$E197))</f>
        <v/>
      </c>
      <c r="N197" s="44">
        <f>IF($A197="",0,$B197*MIN(1,$C197*$J$9)*IF($I197=1,LGD_LC,MIN(1,LGD+$K$9))*(1-$E197))</f>
        <v/>
      </c>
      <c r="O197" s="44">
        <f>IF($A197="",0,$B197*MIN(1,$C197*$J$10)*IF($I197=1,LGD_LC,MIN(1,LGD+$K$10))*(1-$E197))</f>
        <v/>
      </c>
      <c r="P197" s="44">
        <f>IF($A197="",0,$B197*MIN(1,$C197*$J$12)*IF($I197=1,LGD_LC,MIN(1,LGD+$K$12))*(1-$E197))</f>
        <v/>
      </c>
      <c r="Q197" s="44">
        <f>IF($A197="",0,$B197*(TSOFR3M+$H$6/10000+$F197)*$G197/DayBasis)</f>
        <v/>
      </c>
      <c r="R197" s="44">
        <f>IF($A197="",0,$B197*(TSOFR3M+$H$7/10000+$F197)*$G197/DayBasis)</f>
        <v/>
      </c>
      <c r="S197" s="44">
        <f>IF($A197="",0,$B197*(TSOFR3M+$H$8/10000+$F197)*$G197/DayBasis)</f>
        <v/>
      </c>
      <c r="T197" s="44">
        <f>IF($A197="",0,$B197*(TSOFR3M+$H$9/10000+$F197)*$G197/DayBasis)</f>
        <v/>
      </c>
      <c r="U197" s="44">
        <f>IF($A197="",0,$B197*(TSOFR3M+$H$10/10000+$F197)*$G197/DayBasis)</f>
        <v/>
      </c>
      <c r="V197" s="44">
        <f>IF($A197="",0,$B197*(TSOFR3M+$H$12/10000+$F197)*$G197/DayBasis)</f>
        <v/>
      </c>
      <c r="W197" s="44">
        <f>IF(OR($A197="",$M$6&lt;&gt;"Y",$O$6=""),0,IF($H197&gt;=$O$6,$B197*(TSOFR3M+$H$6/10000+$F197)*$N$6/DayBasis,0))</f>
        <v/>
      </c>
      <c r="X197" s="44">
        <f>IF(OR($A197="",$M$7&lt;&gt;"Y",$O$7=""),0,IF($H197&gt;=$O$7,$B197*(TSOFR3M+$H$7/10000+$F197)*$N$7/DayBasis,0))</f>
        <v/>
      </c>
      <c r="Y197" s="44">
        <f>IF(OR($A197="",$M$8&lt;&gt;"Y",$O$8=""),0,IF($H197&gt;=$O$8,$B197*(TSOFR3M+$H$8/10000+$F197)*$N$8/DayBasis,0))</f>
        <v/>
      </c>
      <c r="Z197" s="44">
        <f>IF(OR($A197="",$M$9&lt;&gt;"Y",$O$9=""),0,IF($H197&gt;=$O$9,$B197*(TSOFR3M+$H$9/10000+$F197)*$N$9/DayBasis,0))</f>
        <v/>
      </c>
      <c r="AA197" s="44">
        <f>IF(OR($A197="",$M$10&lt;&gt;"Y",$O$10=""),0,IF($H197&gt;=$O$10,$B197*(TSOFR3M+$H$10/10000+$F197)*$N$10/DayBasis,0))</f>
        <v/>
      </c>
      <c r="AB197" s="44">
        <f>IF(OR($A197="",$M$12&lt;&gt;"Y",$O$12=""),0,IF($H197&gt;=$O$12,$B197*(TSOFR3M+$H$12/10000+$F197)*$N$12/DayBasis,0))</f>
        <v/>
      </c>
      <c r="AC197" s="50">
        <f>IF($A197="",0,MIN(1,$C197*$C$39))</f>
        <v/>
      </c>
      <c r="AD197" s="44">
        <f>IF($A197="",0,$B197*IF($I197=1,LGD_LC,MIN(1,LGD+$C$40))*(1-$E197))</f>
        <v/>
      </c>
      <c r="AE197" s="44">
        <f>IF(OR($A197="",$B197&lt;=0,$AC197&lt;=0),0,IF($AC197&gt;=1,$AD197,IF(_xlfn.NORM.S.INV(RAND())*SQRT(1-Rho)+$C$41*SQRT(Rho)&lt;_xlfn.NORM.S.INV($AC197),$AD197,0)))</f>
        <v/>
      </c>
      <c r="AG197" t="n">
        <v>191</v>
      </c>
      <c r="AH197" s="35" t="n">
        <v>0</v>
      </c>
    </row>
    <row r="198">
      <c r="A198" s="7">
        <f>IF('02_Buyers'!$A135="","",'02_Buyers'!$A135)</f>
        <v/>
      </c>
      <c r="B198" s="44">
        <f>IF($A198="",0,'02_Buyers'!$Z135)</f>
        <v/>
      </c>
      <c r="C198" s="50">
        <f>IF($A198="",0,'02_Buyers'!$AM135)</f>
        <v/>
      </c>
      <c r="D198" s="50">
        <f>IF($A198="",0,'02_Buyers'!$AN135)</f>
        <v/>
      </c>
      <c r="E198" s="50">
        <f>IF($A198="",0,'02_Buyers'!$AO135)</f>
        <v/>
      </c>
      <c r="F198" s="50">
        <f>IF($A198="",0,'02_Buyers'!$AP135)</f>
        <v/>
      </c>
      <c r="G198" s="45">
        <f>IF($A198="",0,'02_Buyers'!$V135)</f>
        <v/>
      </c>
      <c r="H198" s="45">
        <f>IF(OR($A198="",'02_Buyers'!$AC135=""),0,'02_Buyers'!$AC135)</f>
        <v/>
      </c>
      <c r="I198" s="45">
        <f>IF($A198="",0,IF(OR('02_Buyers'!$U135="LC_SIGHT",'02_Buyers'!$U135="LC_USANCE"),1,0))</f>
        <v/>
      </c>
      <c r="J198" s="7">
        <f>IF($A198="","",'02_Buyers'!$T135)</f>
        <v/>
      </c>
      <c r="K198" s="44">
        <f>IF($A198="",0,$B198*MIN(1,$C198*$J$6)*IF($I198=1,LGD_LC,MIN(1,LGD+$K$6))*(1-$E198))</f>
        <v/>
      </c>
      <c r="L198" s="44">
        <f>IF($A198="",0,$B198*MIN(1,$C198*$J$7)*IF($I198=1,LGD_LC,MIN(1,LGD+$K$7))*(1-$E198))</f>
        <v/>
      </c>
      <c r="M198" s="44">
        <f>IF($A198="",0,$B198*MIN(1,$C198*$J$8)*IF($I198=1,LGD_LC,MIN(1,LGD+$K$8))*(1-$E198))</f>
        <v/>
      </c>
      <c r="N198" s="44">
        <f>IF($A198="",0,$B198*MIN(1,$C198*$J$9)*IF($I198=1,LGD_LC,MIN(1,LGD+$K$9))*(1-$E198))</f>
        <v/>
      </c>
      <c r="O198" s="44">
        <f>IF($A198="",0,$B198*MIN(1,$C198*$J$10)*IF($I198=1,LGD_LC,MIN(1,LGD+$K$10))*(1-$E198))</f>
        <v/>
      </c>
      <c r="P198" s="44">
        <f>IF($A198="",0,$B198*MIN(1,$C198*$J$12)*IF($I198=1,LGD_LC,MIN(1,LGD+$K$12))*(1-$E198))</f>
        <v/>
      </c>
      <c r="Q198" s="44">
        <f>IF($A198="",0,$B198*(TSOFR3M+$H$6/10000+$F198)*$G198/DayBasis)</f>
        <v/>
      </c>
      <c r="R198" s="44">
        <f>IF($A198="",0,$B198*(TSOFR3M+$H$7/10000+$F198)*$G198/DayBasis)</f>
        <v/>
      </c>
      <c r="S198" s="44">
        <f>IF($A198="",0,$B198*(TSOFR3M+$H$8/10000+$F198)*$G198/DayBasis)</f>
        <v/>
      </c>
      <c r="T198" s="44">
        <f>IF($A198="",0,$B198*(TSOFR3M+$H$9/10000+$F198)*$G198/DayBasis)</f>
        <v/>
      </c>
      <c r="U198" s="44">
        <f>IF($A198="",0,$B198*(TSOFR3M+$H$10/10000+$F198)*$G198/DayBasis)</f>
        <v/>
      </c>
      <c r="V198" s="44">
        <f>IF($A198="",0,$B198*(TSOFR3M+$H$12/10000+$F198)*$G198/DayBasis)</f>
        <v/>
      </c>
      <c r="W198" s="44">
        <f>IF(OR($A198="",$M$6&lt;&gt;"Y",$O$6=""),0,IF($H198&gt;=$O$6,$B198*(TSOFR3M+$H$6/10000+$F198)*$N$6/DayBasis,0))</f>
        <v/>
      </c>
      <c r="X198" s="44">
        <f>IF(OR($A198="",$M$7&lt;&gt;"Y",$O$7=""),0,IF($H198&gt;=$O$7,$B198*(TSOFR3M+$H$7/10000+$F198)*$N$7/DayBasis,0))</f>
        <v/>
      </c>
      <c r="Y198" s="44">
        <f>IF(OR($A198="",$M$8&lt;&gt;"Y",$O$8=""),0,IF($H198&gt;=$O$8,$B198*(TSOFR3M+$H$8/10000+$F198)*$N$8/DayBasis,0))</f>
        <v/>
      </c>
      <c r="Z198" s="44">
        <f>IF(OR($A198="",$M$9&lt;&gt;"Y",$O$9=""),0,IF($H198&gt;=$O$9,$B198*(TSOFR3M+$H$9/10000+$F198)*$N$9/DayBasis,0))</f>
        <v/>
      </c>
      <c r="AA198" s="44">
        <f>IF(OR($A198="",$M$10&lt;&gt;"Y",$O$10=""),0,IF($H198&gt;=$O$10,$B198*(TSOFR3M+$H$10/10000+$F198)*$N$10/DayBasis,0))</f>
        <v/>
      </c>
      <c r="AB198" s="44">
        <f>IF(OR($A198="",$M$12&lt;&gt;"Y",$O$12=""),0,IF($H198&gt;=$O$12,$B198*(TSOFR3M+$H$12/10000+$F198)*$N$12/DayBasis,0))</f>
        <v/>
      </c>
      <c r="AC198" s="50">
        <f>IF($A198="",0,MIN(1,$C198*$C$39))</f>
        <v/>
      </c>
      <c r="AD198" s="44">
        <f>IF($A198="",0,$B198*IF($I198=1,LGD_LC,MIN(1,LGD+$C$40))*(1-$E198))</f>
        <v/>
      </c>
      <c r="AE198" s="44">
        <f>IF(OR($A198="",$B198&lt;=0,$AC198&lt;=0),0,IF($AC198&gt;=1,$AD198,IF(_xlfn.NORM.S.INV(RAND())*SQRT(1-Rho)+$C$41*SQRT(Rho)&lt;_xlfn.NORM.S.INV($AC198),$AD198,0)))</f>
        <v/>
      </c>
      <c r="AG198" t="n">
        <v>192</v>
      </c>
      <c r="AH198" s="35" t="n">
        <v>0</v>
      </c>
    </row>
    <row r="199">
      <c r="A199" s="7">
        <f>IF('02_Buyers'!$A136="","",'02_Buyers'!$A136)</f>
        <v/>
      </c>
      <c r="B199" s="44">
        <f>IF($A199="",0,'02_Buyers'!$Z136)</f>
        <v/>
      </c>
      <c r="C199" s="50">
        <f>IF($A199="",0,'02_Buyers'!$AM136)</f>
        <v/>
      </c>
      <c r="D199" s="50">
        <f>IF($A199="",0,'02_Buyers'!$AN136)</f>
        <v/>
      </c>
      <c r="E199" s="50">
        <f>IF($A199="",0,'02_Buyers'!$AO136)</f>
        <v/>
      </c>
      <c r="F199" s="50">
        <f>IF($A199="",0,'02_Buyers'!$AP136)</f>
        <v/>
      </c>
      <c r="G199" s="45">
        <f>IF($A199="",0,'02_Buyers'!$V136)</f>
        <v/>
      </c>
      <c r="H199" s="45">
        <f>IF(OR($A199="",'02_Buyers'!$AC136=""),0,'02_Buyers'!$AC136)</f>
        <v/>
      </c>
      <c r="I199" s="45">
        <f>IF($A199="",0,IF(OR('02_Buyers'!$U136="LC_SIGHT",'02_Buyers'!$U136="LC_USANCE"),1,0))</f>
        <v/>
      </c>
      <c r="J199" s="7">
        <f>IF($A199="","",'02_Buyers'!$T136)</f>
        <v/>
      </c>
      <c r="K199" s="44">
        <f>IF($A199="",0,$B199*MIN(1,$C199*$J$6)*IF($I199=1,LGD_LC,MIN(1,LGD+$K$6))*(1-$E199))</f>
        <v/>
      </c>
      <c r="L199" s="44">
        <f>IF($A199="",0,$B199*MIN(1,$C199*$J$7)*IF($I199=1,LGD_LC,MIN(1,LGD+$K$7))*(1-$E199))</f>
        <v/>
      </c>
      <c r="M199" s="44">
        <f>IF($A199="",0,$B199*MIN(1,$C199*$J$8)*IF($I199=1,LGD_LC,MIN(1,LGD+$K$8))*(1-$E199))</f>
        <v/>
      </c>
      <c r="N199" s="44">
        <f>IF($A199="",0,$B199*MIN(1,$C199*$J$9)*IF($I199=1,LGD_LC,MIN(1,LGD+$K$9))*(1-$E199))</f>
        <v/>
      </c>
      <c r="O199" s="44">
        <f>IF($A199="",0,$B199*MIN(1,$C199*$J$10)*IF($I199=1,LGD_LC,MIN(1,LGD+$K$10))*(1-$E199))</f>
        <v/>
      </c>
      <c r="P199" s="44">
        <f>IF($A199="",0,$B199*MIN(1,$C199*$J$12)*IF($I199=1,LGD_LC,MIN(1,LGD+$K$12))*(1-$E199))</f>
        <v/>
      </c>
      <c r="Q199" s="44">
        <f>IF($A199="",0,$B199*(TSOFR3M+$H$6/10000+$F199)*$G199/DayBasis)</f>
        <v/>
      </c>
      <c r="R199" s="44">
        <f>IF($A199="",0,$B199*(TSOFR3M+$H$7/10000+$F199)*$G199/DayBasis)</f>
        <v/>
      </c>
      <c r="S199" s="44">
        <f>IF($A199="",0,$B199*(TSOFR3M+$H$8/10000+$F199)*$G199/DayBasis)</f>
        <v/>
      </c>
      <c r="T199" s="44">
        <f>IF($A199="",0,$B199*(TSOFR3M+$H$9/10000+$F199)*$G199/DayBasis)</f>
        <v/>
      </c>
      <c r="U199" s="44">
        <f>IF($A199="",0,$B199*(TSOFR3M+$H$10/10000+$F199)*$G199/DayBasis)</f>
        <v/>
      </c>
      <c r="V199" s="44">
        <f>IF($A199="",0,$B199*(TSOFR3M+$H$12/10000+$F199)*$G199/DayBasis)</f>
        <v/>
      </c>
      <c r="W199" s="44">
        <f>IF(OR($A199="",$M$6&lt;&gt;"Y",$O$6=""),0,IF($H199&gt;=$O$6,$B199*(TSOFR3M+$H$6/10000+$F199)*$N$6/DayBasis,0))</f>
        <v/>
      </c>
      <c r="X199" s="44">
        <f>IF(OR($A199="",$M$7&lt;&gt;"Y",$O$7=""),0,IF($H199&gt;=$O$7,$B199*(TSOFR3M+$H$7/10000+$F199)*$N$7/DayBasis,0))</f>
        <v/>
      </c>
      <c r="Y199" s="44">
        <f>IF(OR($A199="",$M$8&lt;&gt;"Y",$O$8=""),0,IF($H199&gt;=$O$8,$B199*(TSOFR3M+$H$8/10000+$F199)*$N$8/DayBasis,0))</f>
        <v/>
      </c>
      <c r="Z199" s="44">
        <f>IF(OR($A199="",$M$9&lt;&gt;"Y",$O$9=""),0,IF($H199&gt;=$O$9,$B199*(TSOFR3M+$H$9/10000+$F199)*$N$9/DayBasis,0))</f>
        <v/>
      </c>
      <c r="AA199" s="44">
        <f>IF(OR($A199="",$M$10&lt;&gt;"Y",$O$10=""),0,IF($H199&gt;=$O$10,$B199*(TSOFR3M+$H$10/10000+$F199)*$N$10/DayBasis,0))</f>
        <v/>
      </c>
      <c r="AB199" s="44">
        <f>IF(OR($A199="",$M$12&lt;&gt;"Y",$O$12=""),0,IF($H199&gt;=$O$12,$B199*(TSOFR3M+$H$12/10000+$F199)*$N$12/DayBasis,0))</f>
        <v/>
      </c>
      <c r="AC199" s="50">
        <f>IF($A199="",0,MIN(1,$C199*$C$39))</f>
        <v/>
      </c>
      <c r="AD199" s="44">
        <f>IF($A199="",0,$B199*IF($I199=1,LGD_LC,MIN(1,LGD+$C$40))*(1-$E199))</f>
        <v/>
      </c>
      <c r="AE199" s="44">
        <f>IF(OR($A199="",$B199&lt;=0,$AC199&lt;=0),0,IF($AC199&gt;=1,$AD199,IF(_xlfn.NORM.S.INV(RAND())*SQRT(1-Rho)+$C$41*SQRT(Rho)&lt;_xlfn.NORM.S.INV($AC199),$AD199,0)))</f>
        <v/>
      </c>
      <c r="AG199" t="n">
        <v>193</v>
      </c>
      <c r="AH199" s="35" t="n">
        <v>0</v>
      </c>
    </row>
    <row r="200">
      <c r="A200" s="7">
        <f>IF('02_Buyers'!$A137="","",'02_Buyers'!$A137)</f>
        <v/>
      </c>
      <c r="B200" s="44">
        <f>IF($A200="",0,'02_Buyers'!$Z137)</f>
        <v/>
      </c>
      <c r="C200" s="50">
        <f>IF($A200="",0,'02_Buyers'!$AM137)</f>
        <v/>
      </c>
      <c r="D200" s="50">
        <f>IF($A200="",0,'02_Buyers'!$AN137)</f>
        <v/>
      </c>
      <c r="E200" s="50">
        <f>IF($A200="",0,'02_Buyers'!$AO137)</f>
        <v/>
      </c>
      <c r="F200" s="50">
        <f>IF($A200="",0,'02_Buyers'!$AP137)</f>
        <v/>
      </c>
      <c r="G200" s="45">
        <f>IF($A200="",0,'02_Buyers'!$V137)</f>
        <v/>
      </c>
      <c r="H200" s="45">
        <f>IF(OR($A200="",'02_Buyers'!$AC137=""),0,'02_Buyers'!$AC137)</f>
        <v/>
      </c>
      <c r="I200" s="45">
        <f>IF($A200="",0,IF(OR('02_Buyers'!$U137="LC_SIGHT",'02_Buyers'!$U137="LC_USANCE"),1,0))</f>
        <v/>
      </c>
      <c r="J200" s="7">
        <f>IF($A200="","",'02_Buyers'!$T137)</f>
        <v/>
      </c>
      <c r="K200" s="44">
        <f>IF($A200="",0,$B200*MIN(1,$C200*$J$6)*IF($I200=1,LGD_LC,MIN(1,LGD+$K$6))*(1-$E200))</f>
        <v/>
      </c>
      <c r="L200" s="44">
        <f>IF($A200="",0,$B200*MIN(1,$C200*$J$7)*IF($I200=1,LGD_LC,MIN(1,LGD+$K$7))*(1-$E200))</f>
        <v/>
      </c>
      <c r="M200" s="44">
        <f>IF($A200="",0,$B200*MIN(1,$C200*$J$8)*IF($I200=1,LGD_LC,MIN(1,LGD+$K$8))*(1-$E200))</f>
        <v/>
      </c>
      <c r="N200" s="44">
        <f>IF($A200="",0,$B200*MIN(1,$C200*$J$9)*IF($I200=1,LGD_LC,MIN(1,LGD+$K$9))*(1-$E200))</f>
        <v/>
      </c>
      <c r="O200" s="44">
        <f>IF($A200="",0,$B200*MIN(1,$C200*$J$10)*IF($I200=1,LGD_LC,MIN(1,LGD+$K$10))*(1-$E200))</f>
        <v/>
      </c>
      <c r="P200" s="44">
        <f>IF($A200="",0,$B200*MIN(1,$C200*$J$12)*IF($I200=1,LGD_LC,MIN(1,LGD+$K$12))*(1-$E200))</f>
        <v/>
      </c>
      <c r="Q200" s="44">
        <f>IF($A200="",0,$B200*(TSOFR3M+$H$6/10000+$F200)*$G200/DayBasis)</f>
        <v/>
      </c>
      <c r="R200" s="44">
        <f>IF($A200="",0,$B200*(TSOFR3M+$H$7/10000+$F200)*$G200/DayBasis)</f>
        <v/>
      </c>
      <c r="S200" s="44">
        <f>IF($A200="",0,$B200*(TSOFR3M+$H$8/10000+$F200)*$G200/DayBasis)</f>
        <v/>
      </c>
      <c r="T200" s="44">
        <f>IF($A200="",0,$B200*(TSOFR3M+$H$9/10000+$F200)*$G200/DayBasis)</f>
        <v/>
      </c>
      <c r="U200" s="44">
        <f>IF($A200="",0,$B200*(TSOFR3M+$H$10/10000+$F200)*$G200/DayBasis)</f>
        <v/>
      </c>
      <c r="V200" s="44">
        <f>IF($A200="",0,$B200*(TSOFR3M+$H$12/10000+$F200)*$G200/DayBasis)</f>
        <v/>
      </c>
      <c r="W200" s="44">
        <f>IF(OR($A200="",$M$6&lt;&gt;"Y",$O$6=""),0,IF($H200&gt;=$O$6,$B200*(TSOFR3M+$H$6/10000+$F200)*$N$6/DayBasis,0))</f>
        <v/>
      </c>
      <c r="X200" s="44">
        <f>IF(OR($A200="",$M$7&lt;&gt;"Y",$O$7=""),0,IF($H200&gt;=$O$7,$B200*(TSOFR3M+$H$7/10000+$F200)*$N$7/DayBasis,0))</f>
        <v/>
      </c>
      <c r="Y200" s="44">
        <f>IF(OR($A200="",$M$8&lt;&gt;"Y",$O$8=""),0,IF($H200&gt;=$O$8,$B200*(TSOFR3M+$H$8/10000+$F200)*$N$8/DayBasis,0))</f>
        <v/>
      </c>
      <c r="Z200" s="44">
        <f>IF(OR($A200="",$M$9&lt;&gt;"Y",$O$9=""),0,IF($H200&gt;=$O$9,$B200*(TSOFR3M+$H$9/10000+$F200)*$N$9/DayBasis,0))</f>
        <v/>
      </c>
      <c r="AA200" s="44">
        <f>IF(OR($A200="",$M$10&lt;&gt;"Y",$O$10=""),0,IF($H200&gt;=$O$10,$B200*(TSOFR3M+$H$10/10000+$F200)*$N$10/DayBasis,0))</f>
        <v/>
      </c>
      <c r="AB200" s="44">
        <f>IF(OR($A200="",$M$12&lt;&gt;"Y",$O$12=""),0,IF($H200&gt;=$O$12,$B200*(TSOFR3M+$H$12/10000+$F200)*$N$12/DayBasis,0))</f>
        <v/>
      </c>
      <c r="AC200" s="50">
        <f>IF($A200="",0,MIN(1,$C200*$C$39))</f>
        <v/>
      </c>
      <c r="AD200" s="44">
        <f>IF($A200="",0,$B200*IF($I200=1,LGD_LC,MIN(1,LGD+$C$40))*(1-$E200))</f>
        <v/>
      </c>
      <c r="AE200" s="44">
        <f>IF(OR($A200="",$B200&lt;=0,$AC200&lt;=0),0,IF($AC200&gt;=1,$AD200,IF(_xlfn.NORM.S.INV(RAND())*SQRT(1-Rho)+$C$41*SQRT(Rho)&lt;_xlfn.NORM.S.INV($AC200),$AD200,0)))</f>
        <v/>
      </c>
      <c r="AG200" t="n">
        <v>194</v>
      </c>
      <c r="AH200" s="35" t="n">
        <v>0</v>
      </c>
    </row>
    <row r="201">
      <c r="A201" s="7">
        <f>IF('02_Buyers'!$A138="","",'02_Buyers'!$A138)</f>
        <v/>
      </c>
      <c r="B201" s="44">
        <f>IF($A201="",0,'02_Buyers'!$Z138)</f>
        <v/>
      </c>
      <c r="C201" s="50">
        <f>IF($A201="",0,'02_Buyers'!$AM138)</f>
        <v/>
      </c>
      <c r="D201" s="50">
        <f>IF($A201="",0,'02_Buyers'!$AN138)</f>
        <v/>
      </c>
      <c r="E201" s="50">
        <f>IF($A201="",0,'02_Buyers'!$AO138)</f>
        <v/>
      </c>
      <c r="F201" s="50">
        <f>IF($A201="",0,'02_Buyers'!$AP138)</f>
        <v/>
      </c>
      <c r="G201" s="45">
        <f>IF($A201="",0,'02_Buyers'!$V138)</f>
        <v/>
      </c>
      <c r="H201" s="45">
        <f>IF(OR($A201="",'02_Buyers'!$AC138=""),0,'02_Buyers'!$AC138)</f>
        <v/>
      </c>
      <c r="I201" s="45">
        <f>IF($A201="",0,IF(OR('02_Buyers'!$U138="LC_SIGHT",'02_Buyers'!$U138="LC_USANCE"),1,0))</f>
        <v/>
      </c>
      <c r="J201" s="7">
        <f>IF($A201="","",'02_Buyers'!$T138)</f>
        <v/>
      </c>
      <c r="K201" s="44">
        <f>IF($A201="",0,$B201*MIN(1,$C201*$J$6)*IF($I201=1,LGD_LC,MIN(1,LGD+$K$6))*(1-$E201))</f>
        <v/>
      </c>
      <c r="L201" s="44">
        <f>IF($A201="",0,$B201*MIN(1,$C201*$J$7)*IF($I201=1,LGD_LC,MIN(1,LGD+$K$7))*(1-$E201))</f>
        <v/>
      </c>
      <c r="M201" s="44">
        <f>IF($A201="",0,$B201*MIN(1,$C201*$J$8)*IF($I201=1,LGD_LC,MIN(1,LGD+$K$8))*(1-$E201))</f>
        <v/>
      </c>
      <c r="N201" s="44">
        <f>IF($A201="",0,$B201*MIN(1,$C201*$J$9)*IF($I201=1,LGD_LC,MIN(1,LGD+$K$9))*(1-$E201))</f>
        <v/>
      </c>
      <c r="O201" s="44">
        <f>IF($A201="",0,$B201*MIN(1,$C201*$J$10)*IF($I201=1,LGD_LC,MIN(1,LGD+$K$10))*(1-$E201))</f>
        <v/>
      </c>
      <c r="P201" s="44">
        <f>IF($A201="",0,$B201*MIN(1,$C201*$J$12)*IF($I201=1,LGD_LC,MIN(1,LGD+$K$12))*(1-$E201))</f>
        <v/>
      </c>
      <c r="Q201" s="44">
        <f>IF($A201="",0,$B201*(TSOFR3M+$H$6/10000+$F201)*$G201/DayBasis)</f>
        <v/>
      </c>
      <c r="R201" s="44">
        <f>IF($A201="",0,$B201*(TSOFR3M+$H$7/10000+$F201)*$G201/DayBasis)</f>
        <v/>
      </c>
      <c r="S201" s="44">
        <f>IF($A201="",0,$B201*(TSOFR3M+$H$8/10000+$F201)*$G201/DayBasis)</f>
        <v/>
      </c>
      <c r="T201" s="44">
        <f>IF($A201="",0,$B201*(TSOFR3M+$H$9/10000+$F201)*$G201/DayBasis)</f>
        <v/>
      </c>
      <c r="U201" s="44">
        <f>IF($A201="",0,$B201*(TSOFR3M+$H$10/10000+$F201)*$G201/DayBasis)</f>
        <v/>
      </c>
      <c r="V201" s="44">
        <f>IF($A201="",0,$B201*(TSOFR3M+$H$12/10000+$F201)*$G201/DayBasis)</f>
        <v/>
      </c>
      <c r="W201" s="44">
        <f>IF(OR($A201="",$M$6&lt;&gt;"Y",$O$6=""),0,IF($H201&gt;=$O$6,$B201*(TSOFR3M+$H$6/10000+$F201)*$N$6/DayBasis,0))</f>
        <v/>
      </c>
      <c r="X201" s="44">
        <f>IF(OR($A201="",$M$7&lt;&gt;"Y",$O$7=""),0,IF($H201&gt;=$O$7,$B201*(TSOFR3M+$H$7/10000+$F201)*$N$7/DayBasis,0))</f>
        <v/>
      </c>
      <c r="Y201" s="44">
        <f>IF(OR($A201="",$M$8&lt;&gt;"Y",$O$8=""),0,IF($H201&gt;=$O$8,$B201*(TSOFR3M+$H$8/10000+$F201)*$N$8/DayBasis,0))</f>
        <v/>
      </c>
      <c r="Z201" s="44">
        <f>IF(OR($A201="",$M$9&lt;&gt;"Y",$O$9=""),0,IF($H201&gt;=$O$9,$B201*(TSOFR3M+$H$9/10000+$F201)*$N$9/DayBasis,0))</f>
        <v/>
      </c>
      <c r="AA201" s="44">
        <f>IF(OR($A201="",$M$10&lt;&gt;"Y",$O$10=""),0,IF($H201&gt;=$O$10,$B201*(TSOFR3M+$H$10/10000+$F201)*$N$10/DayBasis,0))</f>
        <v/>
      </c>
      <c r="AB201" s="44">
        <f>IF(OR($A201="",$M$12&lt;&gt;"Y",$O$12=""),0,IF($H201&gt;=$O$12,$B201*(TSOFR3M+$H$12/10000+$F201)*$N$12/DayBasis,0))</f>
        <v/>
      </c>
      <c r="AC201" s="50">
        <f>IF($A201="",0,MIN(1,$C201*$C$39))</f>
        <v/>
      </c>
      <c r="AD201" s="44">
        <f>IF($A201="",0,$B201*IF($I201=1,LGD_LC,MIN(1,LGD+$C$40))*(1-$E201))</f>
        <v/>
      </c>
      <c r="AE201" s="44">
        <f>IF(OR($A201="",$B201&lt;=0,$AC201&lt;=0),0,IF($AC201&gt;=1,$AD201,IF(_xlfn.NORM.S.INV(RAND())*SQRT(1-Rho)+$C$41*SQRT(Rho)&lt;_xlfn.NORM.S.INV($AC201),$AD201,0)))</f>
        <v/>
      </c>
      <c r="AG201" t="n">
        <v>195</v>
      </c>
      <c r="AH201" s="35" t="n">
        <v>0</v>
      </c>
    </row>
    <row r="202">
      <c r="A202" s="7">
        <f>IF('02_Buyers'!$A139="","",'02_Buyers'!$A139)</f>
        <v/>
      </c>
      <c r="B202" s="44">
        <f>IF($A202="",0,'02_Buyers'!$Z139)</f>
        <v/>
      </c>
      <c r="C202" s="50">
        <f>IF($A202="",0,'02_Buyers'!$AM139)</f>
        <v/>
      </c>
      <c r="D202" s="50">
        <f>IF($A202="",0,'02_Buyers'!$AN139)</f>
        <v/>
      </c>
      <c r="E202" s="50">
        <f>IF($A202="",0,'02_Buyers'!$AO139)</f>
        <v/>
      </c>
      <c r="F202" s="50">
        <f>IF($A202="",0,'02_Buyers'!$AP139)</f>
        <v/>
      </c>
      <c r="G202" s="45">
        <f>IF($A202="",0,'02_Buyers'!$V139)</f>
        <v/>
      </c>
      <c r="H202" s="45">
        <f>IF(OR($A202="",'02_Buyers'!$AC139=""),0,'02_Buyers'!$AC139)</f>
        <v/>
      </c>
      <c r="I202" s="45">
        <f>IF($A202="",0,IF(OR('02_Buyers'!$U139="LC_SIGHT",'02_Buyers'!$U139="LC_USANCE"),1,0))</f>
        <v/>
      </c>
      <c r="J202" s="7">
        <f>IF($A202="","",'02_Buyers'!$T139)</f>
        <v/>
      </c>
      <c r="K202" s="44">
        <f>IF($A202="",0,$B202*MIN(1,$C202*$J$6)*IF($I202=1,LGD_LC,MIN(1,LGD+$K$6))*(1-$E202))</f>
        <v/>
      </c>
      <c r="L202" s="44">
        <f>IF($A202="",0,$B202*MIN(1,$C202*$J$7)*IF($I202=1,LGD_LC,MIN(1,LGD+$K$7))*(1-$E202))</f>
        <v/>
      </c>
      <c r="M202" s="44">
        <f>IF($A202="",0,$B202*MIN(1,$C202*$J$8)*IF($I202=1,LGD_LC,MIN(1,LGD+$K$8))*(1-$E202))</f>
        <v/>
      </c>
      <c r="N202" s="44">
        <f>IF($A202="",0,$B202*MIN(1,$C202*$J$9)*IF($I202=1,LGD_LC,MIN(1,LGD+$K$9))*(1-$E202))</f>
        <v/>
      </c>
      <c r="O202" s="44">
        <f>IF($A202="",0,$B202*MIN(1,$C202*$J$10)*IF($I202=1,LGD_LC,MIN(1,LGD+$K$10))*(1-$E202))</f>
        <v/>
      </c>
      <c r="P202" s="44">
        <f>IF($A202="",0,$B202*MIN(1,$C202*$J$12)*IF($I202=1,LGD_LC,MIN(1,LGD+$K$12))*(1-$E202))</f>
        <v/>
      </c>
      <c r="Q202" s="44">
        <f>IF($A202="",0,$B202*(TSOFR3M+$H$6/10000+$F202)*$G202/DayBasis)</f>
        <v/>
      </c>
      <c r="R202" s="44">
        <f>IF($A202="",0,$B202*(TSOFR3M+$H$7/10000+$F202)*$G202/DayBasis)</f>
        <v/>
      </c>
      <c r="S202" s="44">
        <f>IF($A202="",0,$B202*(TSOFR3M+$H$8/10000+$F202)*$G202/DayBasis)</f>
        <v/>
      </c>
      <c r="T202" s="44">
        <f>IF($A202="",0,$B202*(TSOFR3M+$H$9/10000+$F202)*$G202/DayBasis)</f>
        <v/>
      </c>
      <c r="U202" s="44">
        <f>IF($A202="",0,$B202*(TSOFR3M+$H$10/10000+$F202)*$G202/DayBasis)</f>
        <v/>
      </c>
      <c r="V202" s="44">
        <f>IF($A202="",0,$B202*(TSOFR3M+$H$12/10000+$F202)*$G202/DayBasis)</f>
        <v/>
      </c>
      <c r="W202" s="44">
        <f>IF(OR($A202="",$M$6&lt;&gt;"Y",$O$6=""),0,IF($H202&gt;=$O$6,$B202*(TSOFR3M+$H$6/10000+$F202)*$N$6/DayBasis,0))</f>
        <v/>
      </c>
      <c r="X202" s="44">
        <f>IF(OR($A202="",$M$7&lt;&gt;"Y",$O$7=""),0,IF($H202&gt;=$O$7,$B202*(TSOFR3M+$H$7/10000+$F202)*$N$7/DayBasis,0))</f>
        <v/>
      </c>
      <c r="Y202" s="44">
        <f>IF(OR($A202="",$M$8&lt;&gt;"Y",$O$8=""),0,IF($H202&gt;=$O$8,$B202*(TSOFR3M+$H$8/10000+$F202)*$N$8/DayBasis,0))</f>
        <v/>
      </c>
      <c r="Z202" s="44">
        <f>IF(OR($A202="",$M$9&lt;&gt;"Y",$O$9=""),0,IF($H202&gt;=$O$9,$B202*(TSOFR3M+$H$9/10000+$F202)*$N$9/DayBasis,0))</f>
        <v/>
      </c>
      <c r="AA202" s="44">
        <f>IF(OR($A202="",$M$10&lt;&gt;"Y",$O$10=""),0,IF($H202&gt;=$O$10,$B202*(TSOFR3M+$H$10/10000+$F202)*$N$10/DayBasis,0))</f>
        <v/>
      </c>
      <c r="AB202" s="44">
        <f>IF(OR($A202="",$M$12&lt;&gt;"Y",$O$12=""),0,IF($H202&gt;=$O$12,$B202*(TSOFR3M+$H$12/10000+$F202)*$N$12/DayBasis,0))</f>
        <v/>
      </c>
      <c r="AC202" s="50">
        <f>IF($A202="",0,MIN(1,$C202*$C$39))</f>
        <v/>
      </c>
      <c r="AD202" s="44">
        <f>IF($A202="",0,$B202*IF($I202=1,LGD_LC,MIN(1,LGD+$C$40))*(1-$E202))</f>
        <v/>
      </c>
      <c r="AE202" s="44">
        <f>IF(OR($A202="",$B202&lt;=0,$AC202&lt;=0),0,IF($AC202&gt;=1,$AD202,IF(_xlfn.NORM.S.INV(RAND())*SQRT(1-Rho)+$C$41*SQRT(Rho)&lt;_xlfn.NORM.S.INV($AC202),$AD202,0)))</f>
        <v/>
      </c>
      <c r="AG202" t="n">
        <v>196</v>
      </c>
      <c r="AH202" s="35" t="n">
        <v>0</v>
      </c>
    </row>
    <row r="203">
      <c r="A203" s="7">
        <f>IF('02_Buyers'!$A140="","",'02_Buyers'!$A140)</f>
        <v/>
      </c>
      <c r="B203" s="44">
        <f>IF($A203="",0,'02_Buyers'!$Z140)</f>
        <v/>
      </c>
      <c r="C203" s="50">
        <f>IF($A203="",0,'02_Buyers'!$AM140)</f>
        <v/>
      </c>
      <c r="D203" s="50">
        <f>IF($A203="",0,'02_Buyers'!$AN140)</f>
        <v/>
      </c>
      <c r="E203" s="50">
        <f>IF($A203="",0,'02_Buyers'!$AO140)</f>
        <v/>
      </c>
      <c r="F203" s="50">
        <f>IF($A203="",0,'02_Buyers'!$AP140)</f>
        <v/>
      </c>
      <c r="G203" s="45">
        <f>IF($A203="",0,'02_Buyers'!$V140)</f>
        <v/>
      </c>
      <c r="H203" s="45">
        <f>IF(OR($A203="",'02_Buyers'!$AC140=""),0,'02_Buyers'!$AC140)</f>
        <v/>
      </c>
      <c r="I203" s="45">
        <f>IF($A203="",0,IF(OR('02_Buyers'!$U140="LC_SIGHT",'02_Buyers'!$U140="LC_USANCE"),1,0))</f>
        <v/>
      </c>
      <c r="J203" s="7">
        <f>IF($A203="","",'02_Buyers'!$T140)</f>
        <v/>
      </c>
      <c r="K203" s="44">
        <f>IF($A203="",0,$B203*MIN(1,$C203*$J$6)*IF($I203=1,LGD_LC,MIN(1,LGD+$K$6))*(1-$E203))</f>
        <v/>
      </c>
      <c r="L203" s="44">
        <f>IF($A203="",0,$B203*MIN(1,$C203*$J$7)*IF($I203=1,LGD_LC,MIN(1,LGD+$K$7))*(1-$E203))</f>
        <v/>
      </c>
      <c r="M203" s="44">
        <f>IF($A203="",0,$B203*MIN(1,$C203*$J$8)*IF($I203=1,LGD_LC,MIN(1,LGD+$K$8))*(1-$E203))</f>
        <v/>
      </c>
      <c r="N203" s="44">
        <f>IF($A203="",0,$B203*MIN(1,$C203*$J$9)*IF($I203=1,LGD_LC,MIN(1,LGD+$K$9))*(1-$E203))</f>
        <v/>
      </c>
      <c r="O203" s="44">
        <f>IF($A203="",0,$B203*MIN(1,$C203*$J$10)*IF($I203=1,LGD_LC,MIN(1,LGD+$K$10))*(1-$E203))</f>
        <v/>
      </c>
      <c r="P203" s="44">
        <f>IF($A203="",0,$B203*MIN(1,$C203*$J$12)*IF($I203=1,LGD_LC,MIN(1,LGD+$K$12))*(1-$E203))</f>
        <v/>
      </c>
      <c r="Q203" s="44">
        <f>IF($A203="",0,$B203*(TSOFR3M+$H$6/10000+$F203)*$G203/DayBasis)</f>
        <v/>
      </c>
      <c r="R203" s="44">
        <f>IF($A203="",0,$B203*(TSOFR3M+$H$7/10000+$F203)*$G203/DayBasis)</f>
        <v/>
      </c>
      <c r="S203" s="44">
        <f>IF($A203="",0,$B203*(TSOFR3M+$H$8/10000+$F203)*$G203/DayBasis)</f>
        <v/>
      </c>
      <c r="T203" s="44">
        <f>IF($A203="",0,$B203*(TSOFR3M+$H$9/10000+$F203)*$G203/DayBasis)</f>
        <v/>
      </c>
      <c r="U203" s="44">
        <f>IF($A203="",0,$B203*(TSOFR3M+$H$10/10000+$F203)*$G203/DayBasis)</f>
        <v/>
      </c>
      <c r="V203" s="44">
        <f>IF($A203="",0,$B203*(TSOFR3M+$H$12/10000+$F203)*$G203/DayBasis)</f>
        <v/>
      </c>
      <c r="W203" s="44">
        <f>IF(OR($A203="",$M$6&lt;&gt;"Y",$O$6=""),0,IF($H203&gt;=$O$6,$B203*(TSOFR3M+$H$6/10000+$F203)*$N$6/DayBasis,0))</f>
        <v/>
      </c>
      <c r="X203" s="44">
        <f>IF(OR($A203="",$M$7&lt;&gt;"Y",$O$7=""),0,IF($H203&gt;=$O$7,$B203*(TSOFR3M+$H$7/10000+$F203)*$N$7/DayBasis,0))</f>
        <v/>
      </c>
      <c r="Y203" s="44">
        <f>IF(OR($A203="",$M$8&lt;&gt;"Y",$O$8=""),0,IF($H203&gt;=$O$8,$B203*(TSOFR3M+$H$8/10000+$F203)*$N$8/DayBasis,0))</f>
        <v/>
      </c>
      <c r="Z203" s="44">
        <f>IF(OR($A203="",$M$9&lt;&gt;"Y",$O$9=""),0,IF($H203&gt;=$O$9,$B203*(TSOFR3M+$H$9/10000+$F203)*$N$9/DayBasis,0))</f>
        <v/>
      </c>
      <c r="AA203" s="44">
        <f>IF(OR($A203="",$M$10&lt;&gt;"Y",$O$10=""),0,IF($H203&gt;=$O$10,$B203*(TSOFR3M+$H$10/10000+$F203)*$N$10/DayBasis,0))</f>
        <v/>
      </c>
      <c r="AB203" s="44">
        <f>IF(OR($A203="",$M$12&lt;&gt;"Y",$O$12=""),0,IF($H203&gt;=$O$12,$B203*(TSOFR3M+$H$12/10000+$F203)*$N$12/DayBasis,0))</f>
        <v/>
      </c>
      <c r="AC203" s="50">
        <f>IF($A203="",0,MIN(1,$C203*$C$39))</f>
        <v/>
      </c>
      <c r="AD203" s="44">
        <f>IF($A203="",0,$B203*IF($I203=1,LGD_LC,MIN(1,LGD+$C$40))*(1-$E203))</f>
        <v/>
      </c>
      <c r="AE203" s="44">
        <f>IF(OR($A203="",$B203&lt;=0,$AC203&lt;=0),0,IF($AC203&gt;=1,$AD203,IF(_xlfn.NORM.S.INV(RAND())*SQRT(1-Rho)+$C$41*SQRT(Rho)&lt;_xlfn.NORM.S.INV($AC203),$AD203,0)))</f>
        <v/>
      </c>
      <c r="AG203" t="n">
        <v>197</v>
      </c>
      <c r="AH203" s="35" t="n">
        <v>0</v>
      </c>
    </row>
    <row r="204">
      <c r="A204" s="7">
        <f>IF('02_Buyers'!$A141="","",'02_Buyers'!$A141)</f>
        <v/>
      </c>
      <c r="B204" s="44">
        <f>IF($A204="",0,'02_Buyers'!$Z141)</f>
        <v/>
      </c>
      <c r="C204" s="50">
        <f>IF($A204="",0,'02_Buyers'!$AM141)</f>
        <v/>
      </c>
      <c r="D204" s="50">
        <f>IF($A204="",0,'02_Buyers'!$AN141)</f>
        <v/>
      </c>
      <c r="E204" s="50">
        <f>IF($A204="",0,'02_Buyers'!$AO141)</f>
        <v/>
      </c>
      <c r="F204" s="50">
        <f>IF($A204="",0,'02_Buyers'!$AP141)</f>
        <v/>
      </c>
      <c r="G204" s="45">
        <f>IF($A204="",0,'02_Buyers'!$V141)</f>
        <v/>
      </c>
      <c r="H204" s="45">
        <f>IF(OR($A204="",'02_Buyers'!$AC141=""),0,'02_Buyers'!$AC141)</f>
        <v/>
      </c>
      <c r="I204" s="45">
        <f>IF($A204="",0,IF(OR('02_Buyers'!$U141="LC_SIGHT",'02_Buyers'!$U141="LC_USANCE"),1,0))</f>
        <v/>
      </c>
      <c r="J204" s="7">
        <f>IF($A204="","",'02_Buyers'!$T141)</f>
        <v/>
      </c>
      <c r="K204" s="44">
        <f>IF($A204="",0,$B204*MIN(1,$C204*$J$6)*IF($I204=1,LGD_LC,MIN(1,LGD+$K$6))*(1-$E204))</f>
        <v/>
      </c>
      <c r="L204" s="44">
        <f>IF($A204="",0,$B204*MIN(1,$C204*$J$7)*IF($I204=1,LGD_LC,MIN(1,LGD+$K$7))*(1-$E204))</f>
        <v/>
      </c>
      <c r="M204" s="44">
        <f>IF($A204="",0,$B204*MIN(1,$C204*$J$8)*IF($I204=1,LGD_LC,MIN(1,LGD+$K$8))*(1-$E204))</f>
        <v/>
      </c>
      <c r="N204" s="44">
        <f>IF($A204="",0,$B204*MIN(1,$C204*$J$9)*IF($I204=1,LGD_LC,MIN(1,LGD+$K$9))*(1-$E204))</f>
        <v/>
      </c>
      <c r="O204" s="44">
        <f>IF($A204="",0,$B204*MIN(1,$C204*$J$10)*IF($I204=1,LGD_LC,MIN(1,LGD+$K$10))*(1-$E204))</f>
        <v/>
      </c>
      <c r="P204" s="44">
        <f>IF($A204="",0,$B204*MIN(1,$C204*$J$12)*IF($I204=1,LGD_LC,MIN(1,LGD+$K$12))*(1-$E204))</f>
        <v/>
      </c>
      <c r="Q204" s="44">
        <f>IF($A204="",0,$B204*(TSOFR3M+$H$6/10000+$F204)*$G204/DayBasis)</f>
        <v/>
      </c>
      <c r="R204" s="44">
        <f>IF($A204="",0,$B204*(TSOFR3M+$H$7/10000+$F204)*$G204/DayBasis)</f>
        <v/>
      </c>
      <c r="S204" s="44">
        <f>IF($A204="",0,$B204*(TSOFR3M+$H$8/10000+$F204)*$G204/DayBasis)</f>
        <v/>
      </c>
      <c r="T204" s="44">
        <f>IF($A204="",0,$B204*(TSOFR3M+$H$9/10000+$F204)*$G204/DayBasis)</f>
        <v/>
      </c>
      <c r="U204" s="44">
        <f>IF($A204="",0,$B204*(TSOFR3M+$H$10/10000+$F204)*$G204/DayBasis)</f>
        <v/>
      </c>
      <c r="V204" s="44">
        <f>IF($A204="",0,$B204*(TSOFR3M+$H$12/10000+$F204)*$G204/DayBasis)</f>
        <v/>
      </c>
      <c r="W204" s="44">
        <f>IF(OR($A204="",$M$6&lt;&gt;"Y",$O$6=""),0,IF($H204&gt;=$O$6,$B204*(TSOFR3M+$H$6/10000+$F204)*$N$6/DayBasis,0))</f>
        <v/>
      </c>
      <c r="X204" s="44">
        <f>IF(OR($A204="",$M$7&lt;&gt;"Y",$O$7=""),0,IF($H204&gt;=$O$7,$B204*(TSOFR3M+$H$7/10000+$F204)*$N$7/DayBasis,0))</f>
        <v/>
      </c>
      <c r="Y204" s="44">
        <f>IF(OR($A204="",$M$8&lt;&gt;"Y",$O$8=""),0,IF($H204&gt;=$O$8,$B204*(TSOFR3M+$H$8/10000+$F204)*$N$8/DayBasis,0))</f>
        <v/>
      </c>
      <c r="Z204" s="44">
        <f>IF(OR($A204="",$M$9&lt;&gt;"Y",$O$9=""),0,IF($H204&gt;=$O$9,$B204*(TSOFR3M+$H$9/10000+$F204)*$N$9/DayBasis,0))</f>
        <v/>
      </c>
      <c r="AA204" s="44">
        <f>IF(OR($A204="",$M$10&lt;&gt;"Y",$O$10=""),0,IF($H204&gt;=$O$10,$B204*(TSOFR3M+$H$10/10000+$F204)*$N$10/DayBasis,0))</f>
        <v/>
      </c>
      <c r="AB204" s="44">
        <f>IF(OR($A204="",$M$12&lt;&gt;"Y",$O$12=""),0,IF($H204&gt;=$O$12,$B204*(TSOFR3M+$H$12/10000+$F204)*$N$12/DayBasis,0))</f>
        <v/>
      </c>
      <c r="AC204" s="50">
        <f>IF($A204="",0,MIN(1,$C204*$C$39))</f>
        <v/>
      </c>
      <c r="AD204" s="44">
        <f>IF($A204="",0,$B204*IF($I204=1,LGD_LC,MIN(1,LGD+$C$40))*(1-$E204))</f>
        <v/>
      </c>
      <c r="AE204" s="44">
        <f>IF(OR($A204="",$B204&lt;=0,$AC204&lt;=0),0,IF($AC204&gt;=1,$AD204,IF(_xlfn.NORM.S.INV(RAND())*SQRT(1-Rho)+$C$41*SQRT(Rho)&lt;_xlfn.NORM.S.INV($AC204),$AD204,0)))</f>
        <v/>
      </c>
      <c r="AG204" t="n">
        <v>198</v>
      </c>
      <c r="AH204" s="35" t="n">
        <v>0</v>
      </c>
    </row>
    <row r="205">
      <c r="A205" s="7">
        <f>IF('02_Buyers'!$A142="","",'02_Buyers'!$A142)</f>
        <v/>
      </c>
      <c r="B205" s="44">
        <f>IF($A205="",0,'02_Buyers'!$Z142)</f>
        <v/>
      </c>
      <c r="C205" s="50">
        <f>IF($A205="",0,'02_Buyers'!$AM142)</f>
        <v/>
      </c>
      <c r="D205" s="50">
        <f>IF($A205="",0,'02_Buyers'!$AN142)</f>
        <v/>
      </c>
      <c r="E205" s="50">
        <f>IF($A205="",0,'02_Buyers'!$AO142)</f>
        <v/>
      </c>
      <c r="F205" s="50">
        <f>IF($A205="",0,'02_Buyers'!$AP142)</f>
        <v/>
      </c>
      <c r="G205" s="45">
        <f>IF($A205="",0,'02_Buyers'!$V142)</f>
        <v/>
      </c>
      <c r="H205" s="45">
        <f>IF(OR($A205="",'02_Buyers'!$AC142=""),0,'02_Buyers'!$AC142)</f>
        <v/>
      </c>
      <c r="I205" s="45">
        <f>IF($A205="",0,IF(OR('02_Buyers'!$U142="LC_SIGHT",'02_Buyers'!$U142="LC_USANCE"),1,0))</f>
        <v/>
      </c>
      <c r="J205" s="7">
        <f>IF($A205="","",'02_Buyers'!$T142)</f>
        <v/>
      </c>
      <c r="K205" s="44">
        <f>IF($A205="",0,$B205*MIN(1,$C205*$J$6)*IF($I205=1,LGD_LC,MIN(1,LGD+$K$6))*(1-$E205))</f>
        <v/>
      </c>
      <c r="L205" s="44">
        <f>IF($A205="",0,$B205*MIN(1,$C205*$J$7)*IF($I205=1,LGD_LC,MIN(1,LGD+$K$7))*(1-$E205))</f>
        <v/>
      </c>
      <c r="M205" s="44">
        <f>IF($A205="",0,$B205*MIN(1,$C205*$J$8)*IF($I205=1,LGD_LC,MIN(1,LGD+$K$8))*(1-$E205))</f>
        <v/>
      </c>
      <c r="N205" s="44">
        <f>IF($A205="",0,$B205*MIN(1,$C205*$J$9)*IF($I205=1,LGD_LC,MIN(1,LGD+$K$9))*(1-$E205))</f>
        <v/>
      </c>
      <c r="O205" s="44">
        <f>IF($A205="",0,$B205*MIN(1,$C205*$J$10)*IF($I205=1,LGD_LC,MIN(1,LGD+$K$10))*(1-$E205))</f>
        <v/>
      </c>
      <c r="P205" s="44">
        <f>IF($A205="",0,$B205*MIN(1,$C205*$J$12)*IF($I205=1,LGD_LC,MIN(1,LGD+$K$12))*(1-$E205))</f>
        <v/>
      </c>
      <c r="Q205" s="44">
        <f>IF($A205="",0,$B205*(TSOFR3M+$H$6/10000+$F205)*$G205/DayBasis)</f>
        <v/>
      </c>
      <c r="R205" s="44">
        <f>IF($A205="",0,$B205*(TSOFR3M+$H$7/10000+$F205)*$G205/DayBasis)</f>
        <v/>
      </c>
      <c r="S205" s="44">
        <f>IF($A205="",0,$B205*(TSOFR3M+$H$8/10000+$F205)*$G205/DayBasis)</f>
        <v/>
      </c>
      <c r="T205" s="44">
        <f>IF($A205="",0,$B205*(TSOFR3M+$H$9/10000+$F205)*$G205/DayBasis)</f>
        <v/>
      </c>
      <c r="U205" s="44">
        <f>IF($A205="",0,$B205*(TSOFR3M+$H$10/10000+$F205)*$G205/DayBasis)</f>
        <v/>
      </c>
      <c r="V205" s="44">
        <f>IF($A205="",0,$B205*(TSOFR3M+$H$12/10000+$F205)*$G205/DayBasis)</f>
        <v/>
      </c>
      <c r="W205" s="44">
        <f>IF(OR($A205="",$M$6&lt;&gt;"Y",$O$6=""),0,IF($H205&gt;=$O$6,$B205*(TSOFR3M+$H$6/10000+$F205)*$N$6/DayBasis,0))</f>
        <v/>
      </c>
      <c r="X205" s="44">
        <f>IF(OR($A205="",$M$7&lt;&gt;"Y",$O$7=""),0,IF($H205&gt;=$O$7,$B205*(TSOFR3M+$H$7/10000+$F205)*$N$7/DayBasis,0))</f>
        <v/>
      </c>
      <c r="Y205" s="44">
        <f>IF(OR($A205="",$M$8&lt;&gt;"Y",$O$8=""),0,IF($H205&gt;=$O$8,$B205*(TSOFR3M+$H$8/10000+$F205)*$N$8/DayBasis,0))</f>
        <v/>
      </c>
      <c r="Z205" s="44">
        <f>IF(OR($A205="",$M$9&lt;&gt;"Y",$O$9=""),0,IF($H205&gt;=$O$9,$B205*(TSOFR3M+$H$9/10000+$F205)*$N$9/DayBasis,0))</f>
        <v/>
      </c>
      <c r="AA205" s="44">
        <f>IF(OR($A205="",$M$10&lt;&gt;"Y",$O$10=""),0,IF($H205&gt;=$O$10,$B205*(TSOFR3M+$H$10/10000+$F205)*$N$10/DayBasis,0))</f>
        <v/>
      </c>
      <c r="AB205" s="44">
        <f>IF(OR($A205="",$M$12&lt;&gt;"Y",$O$12=""),0,IF($H205&gt;=$O$12,$B205*(TSOFR3M+$H$12/10000+$F205)*$N$12/DayBasis,0))</f>
        <v/>
      </c>
      <c r="AC205" s="50">
        <f>IF($A205="",0,MIN(1,$C205*$C$39))</f>
        <v/>
      </c>
      <c r="AD205" s="44">
        <f>IF($A205="",0,$B205*IF($I205=1,LGD_LC,MIN(1,LGD+$C$40))*(1-$E205))</f>
        <v/>
      </c>
      <c r="AE205" s="44">
        <f>IF(OR($A205="",$B205&lt;=0,$AC205&lt;=0),0,IF($AC205&gt;=1,$AD205,IF(_xlfn.NORM.S.INV(RAND())*SQRT(1-Rho)+$C$41*SQRT(Rho)&lt;_xlfn.NORM.S.INV($AC205),$AD205,0)))</f>
        <v/>
      </c>
      <c r="AG205" t="n">
        <v>199</v>
      </c>
      <c r="AH205" s="35" t="n">
        <v>0</v>
      </c>
    </row>
    <row r="206">
      <c r="A206" s="7">
        <f>IF('02_Buyers'!$A143="","",'02_Buyers'!$A143)</f>
        <v/>
      </c>
      <c r="B206" s="44">
        <f>IF($A206="",0,'02_Buyers'!$Z143)</f>
        <v/>
      </c>
      <c r="C206" s="50">
        <f>IF($A206="",0,'02_Buyers'!$AM143)</f>
        <v/>
      </c>
      <c r="D206" s="50">
        <f>IF($A206="",0,'02_Buyers'!$AN143)</f>
        <v/>
      </c>
      <c r="E206" s="50">
        <f>IF($A206="",0,'02_Buyers'!$AO143)</f>
        <v/>
      </c>
      <c r="F206" s="50">
        <f>IF($A206="",0,'02_Buyers'!$AP143)</f>
        <v/>
      </c>
      <c r="G206" s="45">
        <f>IF($A206="",0,'02_Buyers'!$V143)</f>
        <v/>
      </c>
      <c r="H206" s="45">
        <f>IF(OR($A206="",'02_Buyers'!$AC143=""),0,'02_Buyers'!$AC143)</f>
        <v/>
      </c>
      <c r="I206" s="45">
        <f>IF($A206="",0,IF(OR('02_Buyers'!$U143="LC_SIGHT",'02_Buyers'!$U143="LC_USANCE"),1,0))</f>
        <v/>
      </c>
      <c r="J206" s="7">
        <f>IF($A206="","",'02_Buyers'!$T143)</f>
        <v/>
      </c>
      <c r="K206" s="44">
        <f>IF($A206="",0,$B206*MIN(1,$C206*$J$6)*IF($I206=1,LGD_LC,MIN(1,LGD+$K$6))*(1-$E206))</f>
        <v/>
      </c>
      <c r="L206" s="44">
        <f>IF($A206="",0,$B206*MIN(1,$C206*$J$7)*IF($I206=1,LGD_LC,MIN(1,LGD+$K$7))*(1-$E206))</f>
        <v/>
      </c>
      <c r="M206" s="44">
        <f>IF($A206="",0,$B206*MIN(1,$C206*$J$8)*IF($I206=1,LGD_LC,MIN(1,LGD+$K$8))*(1-$E206))</f>
        <v/>
      </c>
      <c r="N206" s="44">
        <f>IF($A206="",0,$B206*MIN(1,$C206*$J$9)*IF($I206=1,LGD_LC,MIN(1,LGD+$K$9))*(1-$E206))</f>
        <v/>
      </c>
      <c r="O206" s="44">
        <f>IF($A206="",0,$B206*MIN(1,$C206*$J$10)*IF($I206=1,LGD_LC,MIN(1,LGD+$K$10))*(1-$E206))</f>
        <v/>
      </c>
      <c r="P206" s="44">
        <f>IF($A206="",0,$B206*MIN(1,$C206*$J$12)*IF($I206=1,LGD_LC,MIN(1,LGD+$K$12))*(1-$E206))</f>
        <v/>
      </c>
      <c r="Q206" s="44">
        <f>IF($A206="",0,$B206*(TSOFR3M+$H$6/10000+$F206)*$G206/DayBasis)</f>
        <v/>
      </c>
      <c r="R206" s="44">
        <f>IF($A206="",0,$B206*(TSOFR3M+$H$7/10000+$F206)*$G206/DayBasis)</f>
        <v/>
      </c>
      <c r="S206" s="44">
        <f>IF($A206="",0,$B206*(TSOFR3M+$H$8/10000+$F206)*$G206/DayBasis)</f>
        <v/>
      </c>
      <c r="T206" s="44">
        <f>IF($A206="",0,$B206*(TSOFR3M+$H$9/10000+$F206)*$G206/DayBasis)</f>
        <v/>
      </c>
      <c r="U206" s="44">
        <f>IF($A206="",0,$B206*(TSOFR3M+$H$10/10000+$F206)*$G206/DayBasis)</f>
        <v/>
      </c>
      <c r="V206" s="44">
        <f>IF($A206="",0,$B206*(TSOFR3M+$H$12/10000+$F206)*$G206/DayBasis)</f>
        <v/>
      </c>
      <c r="W206" s="44">
        <f>IF(OR($A206="",$M$6&lt;&gt;"Y",$O$6=""),0,IF($H206&gt;=$O$6,$B206*(TSOFR3M+$H$6/10000+$F206)*$N$6/DayBasis,0))</f>
        <v/>
      </c>
      <c r="X206" s="44">
        <f>IF(OR($A206="",$M$7&lt;&gt;"Y",$O$7=""),0,IF($H206&gt;=$O$7,$B206*(TSOFR3M+$H$7/10000+$F206)*$N$7/DayBasis,0))</f>
        <v/>
      </c>
      <c r="Y206" s="44">
        <f>IF(OR($A206="",$M$8&lt;&gt;"Y",$O$8=""),0,IF($H206&gt;=$O$8,$B206*(TSOFR3M+$H$8/10000+$F206)*$N$8/DayBasis,0))</f>
        <v/>
      </c>
      <c r="Z206" s="44">
        <f>IF(OR($A206="",$M$9&lt;&gt;"Y",$O$9=""),0,IF($H206&gt;=$O$9,$B206*(TSOFR3M+$H$9/10000+$F206)*$N$9/DayBasis,0))</f>
        <v/>
      </c>
      <c r="AA206" s="44">
        <f>IF(OR($A206="",$M$10&lt;&gt;"Y",$O$10=""),0,IF($H206&gt;=$O$10,$B206*(TSOFR3M+$H$10/10000+$F206)*$N$10/DayBasis,0))</f>
        <v/>
      </c>
      <c r="AB206" s="44">
        <f>IF(OR($A206="",$M$12&lt;&gt;"Y",$O$12=""),0,IF($H206&gt;=$O$12,$B206*(TSOFR3M+$H$12/10000+$F206)*$N$12/DayBasis,0))</f>
        <v/>
      </c>
      <c r="AC206" s="50">
        <f>IF($A206="",0,MIN(1,$C206*$C$39))</f>
        <v/>
      </c>
      <c r="AD206" s="44">
        <f>IF($A206="",0,$B206*IF($I206=1,LGD_LC,MIN(1,LGD+$C$40))*(1-$E206))</f>
        <v/>
      </c>
      <c r="AE206" s="44">
        <f>IF(OR($A206="",$B206&lt;=0,$AC206&lt;=0),0,IF($AC206&gt;=1,$AD206,IF(_xlfn.NORM.S.INV(RAND())*SQRT(1-Rho)+$C$41*SQRT(Rho)&lt;_xlfn.NORM.S.INV($AC206),$AD206,0)))</f>
        <v/>
      </c>
      <c r="AG206" t="n">
        <v>200</v>
      </c>
      <c r="AH206" s="35" t="n">
        <v>0</v>
      </c>
    </row>
    <row r="207">
      <c r="A207" s="7">
        <f>IF('02_Buyers'!$A144="","",'02_Buyers'!$A144)</f>
        <v/>
      </c>
      <c r="B207" s="44">
        <f>IF($A207="",0,'02_Buyers'!$Z144)</f>
        <v/>
      </c>
      <c r="C207" s="50">
        <f>IF($A207="",0,'02_Buyers'!$AM144)</f>
        <v/>
      </c>
      <c r="D207" s="50">
        <f>IF($A207="",0,'02_Buyers'!$AN144)</f>
        <v/>
      </c>
      <c r="E207" s="50">
        <f>IF($A207="",0,'02_Buyers'!$AO144)</f>
        <v/>
      </c>
      <c r="F207" s="50">
        <f>IF($A207="",0,'02_Buyers'!$AP144)</f>
        <v/>
      </c>
      <c r="G207" s="45">
        <f>IF($A207="",0,'02_Buyers'!$V144)</f>
        <v/>
      </c>
      <c r="H207" s="45">
        <f>IF(OR($A207="",'02_Buyers'!$AC144=""),0,'02_Buyers'!$AC144)</f>
        <v/>
      </c>
      <c r="I207" s="45">
        <f>IF($A207="",0,IF(OR('02_Buyers'!$U144="LC_SIGHT",'02_Buyers'!$U144="LC_USANCE"),1,0))</f>
        <v/>
      </c>
      <c r="J207" s="7">
        <f>IF($A207="","",'02_Buyers'!$T144)</f>
        <v/>
      </c>
      <c r="K207" s="44">
        <f>IF($A207="",0,$B207*MIN(1,$C207*$J$6)*IF($I207=1,LGD_LC,MIN(1,LGD+$K$6))*(1-$E207))</f>
        <v/>
      </c>
      <c r="L207" s="44">
        <f>IF($A207="",0,$B207*MIN(1,$C207*$J$7)*IF($I207=1,LGD_LC,MIN(1,LGD+$K$7))*(1-$E207))</f>
        <v/>
      </c>
      <c r="M207" s="44">
        <f>IF($A207="",0,$B207*MIN(1,$C207*$J$8)*IF($I207=1,LGD_LC,MIN(1,LGD+$K$8))*(1-$E207))</f>
        <v/>
      </c>
      <c r="N207" s="44">
        <f>IF($A207="",0,$B207*MIN(1,$C207*$J$9)*IF($I207=1,LGD_LC,MIN(1,LGD+$K$9))*(1-$E207))</f>
        <v/>
      </c>
      <c r="O207" s="44">
        <f>IF($A207="",0,$B207*MIN(1,$C207*$J$10)*IF($I207=1,LGD_LC,MIN(1,LGD+$K$10))*(1-$E207))</f>
        <v/>
      </c>
      <c r="P207" s="44">
        <f>IF($A207="",0,$B207*MIN(1,$C207*$J$12)*IF($I207=1,LGD_LC,MIN(1,LGD+$K$12))*(1-$E207))</f>
        <v/>
      </c>
      <c r="Q207" s="44">
        <f>IF($A207="",0,$B207*(TSOFR3M+$H$6/10000+$F207)*$G207/DayBasis)</f>
        <v/>
      </c>
      <c r="R207" s="44">
        <f>IF($A207="",0,$B207*(TSOFR3M+$H$7/10000+$F207)*$G207/DayBasis)</f>
        <v/>
      </c>
      <c r="S207" s="44">
        <f>IF($A207="",0,$B207*(TSOFR3M+$H$8/10000+$F207)*$G207/DayBasis)</f>
        <v/>
      </c>
      <c r="T207" s="44">
        <f>IF($A207="",0,$B207*(TSOFR3M+$H$9/10000+$F207)*$G207/DayBasis)</f>
        <v/>
      </c>
      <c r="U207" s="44">
        <f>IF($A207="",0,$B207*(TSOFR3M+$H$10/10000+$F207)*$G207/DayBasis)</f>
        <v/>
      </c>
      <c r="V207" s="44">
        <f>IF($A207="",0,$B207*(TSOFR3M+$H$12/10000+$F207)*$G207/DayBasis)</f>
        <v/>
      </c>
      <c r="W207" s="44">
        <f>IF(OR($A207="",$M$6&lt;&gt;"Y",$O$6=""),0,IF($H207&gt;=$O$6,$B207*(TSOFR3M+$H$6/10000+$F207)*$N$6/DayBasis,0))</f>
        <v/>
      </c>
      <c r="X207" s="44">
        <f>IF(OR($A207="",$M$7&lt;&gt;"Y",$O$7=""),0,IF($H207&gt;=$O$7,$B207*(TSOFR3M+$H$7/10000+$F207)*$N$7/DayBasis,0))</f>
        <v/>
      </c>
      <c r="Y207" s="44">
        <f>IF(OR($A207="",$M$8&lt;&gt;"Y",$O$8=""),0,IF($H207&gt;=$O$8,$B207*(TSOFR3M+$H$8/10000+$F207)*$N$8/DayBasis,0))</f>
        <v/>
      </c>
      <c r="Z207" s="44">
        <f>IF(OR($A207="",$M$9&lt;&gt;"Y",$O$9=""),0,IF($H207&gt;=$O$9,$B207*(TSOFR3M+$H$9/10000+$F207)*$N$9/DayBasis,0))</f>
        <v/>
      </c>
      <c r="AA207" s="44">
        <f>IF(OR($A207="",$M$10&lt;&gt;"Y",$O$10=""),0,IF($H207&gt;=$O$10,$B207*(TSOFR3M+$H$10/10000+$F207)*$N$10/DayBasis,0))</f>
        <v/>
      </c>
      <c r="AB207" s="44">
        <f>IF(OR($A207="",$M$12&lt;&gt;"Y",$O$12=""),0,IF($H207&gt;=$O$12,$B207*(TSOFR3M+$H$12/10000+$F207)*$N$12/DayBasis,0))</f>
        <v/>
      </c>
      <c r="AC207" s="50">
        <f>IF($A207="",0,MIN(1,$C207*$C$39))</f>
        <v/>
      </c>
      <c r="AD207" s="44">
        <f>IF($A207="",0,$B207*IF($I207=1,LGD_LC,MIN(1,LGD+$C$40))*(1-$E207))</f>
        <v/>
      </c>
      <c r="AE207" s="44">
        <f>IF(OR($A207="",$B207&lt;=0,$AC207&lt;=0),0,IF($AC207&gt;=1,$AD207,IF(_xlfn.NORM.S.INV(RAND())*SQRT(1-Rho)+$C$41*SQRT(Rho)&lt;_xlfn.NORM.S.INV($AC207),$AD207,0)))</f>
        <v/>
      </c>
      <c r="AG207" t="n">
        <v>201</v>
      </c>
      <c r="AH207" s="35" t="n">
        <v>0</v>
      </c>
    </row>
    <row r="208">
      <c r="A208" s="7">
        <f>IF('02_Buyers'!$A145="","",'02_Buyers'!$A145)</f>
        <v/>
      </c>
      <c r="B208" s="44">
        <f>IF($A208="",0,'02_Buyers'!$Z145)</f>
        <v/>
      </c>
      <c r="C208" s="50">
        <f>IF($A208="",0,'02_Buyers'!$AM145)</f>
        <v/>
      </c>
      <c r="D208" s="50">
        <f>IF($A208="",0,'02_Buyers'!$AN145)</f>
        <v/>
      </c>
      <c r="E208" s="50">
        <f>IF($A208="",0,'02_Buyers'!$AO145)</f>
        <v/>
      </c>
      <c r="F208" s="50">
        <f>IF($A208="",0,'02_Buyers'!$AP145)</f>
        <v/>
      </c>
      <c r="G208" s="45">
        <f>IF($A208="",0,'02_Buyers'!$V145)</f>
        <v/>
      </c>
      <c r="H208" s="45">
        <f>IF(OR($A208="",'02_Buyers'!$AC145=""),0,'02_Buyers'!$AC145)</f>
        <v/>
      </c>
      <c r="I208" s="45">
        <f>IF($A208="",0,IF(OR('02_Buyers'!$U145="LC_SIGHT",'02_Buyers'!$U145="LC_USANCE"),1,0))</f>
        <v/>
      </c>
      <c r="J208" s="7">
        <f>IF($A208="","",'02_Buyers'!$T145)</f>
        <v/>
      </c>
      <c r="K208" s="44">
        <f>IF($A208="",0,$B208*MIN(1,$C208*$J$6)*IF($I208=1,LGD_LC,MIN(1,LGD+$K$6))*(1-$E208))</f>
        <v/>
      </c>
      <c r="L208" s="44">
        <f>IF($A208="",0,$B208*MIN(1,$C208*$J$7)*IF($I208=1,LGD_LC,MIN(1,LGD+$K$7))*(1-$E208))</f>
        <v/>
      </c>
      <c r="M208" s="44">
        <f>IF($A208="",0,$B208*MIN(1,$C208*$J$8)*IF($I208=1,LGD_LC,MIN(1,LGD+$K$8))*(1-$E208))</f>
        <v/>
      </c>
      <c r="N208" s="44">
        <f>IF($A208="",0,$B208*MIN(1,$C208*$J$9)*IF($I208=1,LGD_LC,MIN(1,LGD+$K$9))*(1-$E208))</f>
        <v/>
      </c>
      <c r="O208" s="44">
        <f>IF($A208="",0,$B208*MIN(1,$C208*$J$10)*IF($I208=1,LGD_LC,MIN(1,LGD+$K$10))*(1-$E208))</f>
        <v/>
      </c>
      <c r="P208" s="44">
        <f>IF($A208="",0,$B208*MIN(1,$C208*$J$12)*IF($I208=1,LGD_LC,MIN(1,LGD+$K$12))*(1-$E208))</f>
        <v/>
      </c>
      <c r="Q208" s="44">
        <f>IF($A208="",0,$B208*(TSOFR3M+$H$6/10000+$F208)*$G208/DayBasis)</f>
        <v/>
      </c>
      <c r="R208" s="44">
        <f>IF($A208="",0,$B208*(TSOFR3M+$H$7/10000+$F208)*$G208/DayBasis)</f>
        <v/>
      </c>
      <c r="S208" s="44">
        <f>IF($A208="",0,$B208*(TSOFR3M+$H$8/10000+$F208)*$G208/DayBasis)</f>
        <v/>
      </c>
      <c r="T208" s="44">
        <f>IF($A208="",0,$B208*(TSOFR3M+$H$9/10000+$F208)*$G208/DayBasis)</f>
        <v/>
      </c>
      <c r="U208" s="44">
        <f>IF($A208="",0,$B208*(TSOFR3M+$H$10/10000+$F208)*$G208/DayBasis)</f>
        <v/>
      </c>
      <c r="V208" s="44">
        <f>IF($A208="",0,$B208*(TSOFR3M+$H$12/10000+$F208)*$G208/DayBasis)</f>
        <v/>
      </c>
      <c r="W208" s="44">
        <f>IF(OR($A208="",$M$6&lt;&gt;"Y",$O$6=""),0,IF($H208&gt;=$O$6,$B208*(TSOFR3M+$H$6/10000+$F208)*$N$6/DayBasis,0))</f>
        <v/>
      </c>
      <c r="X208" s="44">
        <f>IF(OR($A208="",$M$7&lt;&gt;"Y",$O$7=""),0,IF($H208&gt;=$O$7,$B208*(TSOFR3M+$H$7/10000+$F208)*$N$7/DayBasis,0))</f>
        <v/>
      </c>
      <c r="Y208" s="44">
        <f>IF(OR($A208="",$M$8&lt;&gt;"Y",$O$8=""),0,IF($H208&gt;=$O$8,$B208*(TSOFR3M+$H$8/10000+$F208)*$N$8/DayBasis,0))</f>
        <v/>
      </c>
      <c r="Z208" s="44">
        <f>IF(OR($A208="",$M$9&lt;&gt;"Y",$O$9=""),0,IF($H208&gt;=$O$9,$B208*(TSOFR3M+$H$9/10000+$F208)*$N$9/DayBasis,0))</f>
        <v/>
      </c>
      <c r="AA208" s="44">
        <f>IF(OR($A208="",$M$10&lt;&gt;"Y",$O$10=""),0,IF($H208&gt;=$O$10,$B208*(TSOFR3M+$H$10/10000+$F208)*$N$10/DayBasis,0))</f>
        <v/>
      </c>
      <c r="AB208" s="44">
        <f>IF(OR($A208="",$M$12&lt;&gt;"Y",$O$12=""),0,IF($H208&gt;=$O$12,$B208*(TSOFR3M+$H$12/10000+$F208)*$N$12/DayBasis,0))</f>
        <v/>
      </c>
      <c r="AC208" s="50">
        <f>IF($A208="",0,MIN(1,$C208*$C$39))</f>
        <v/>
      </c>
      <c r="AD208" s="44">
        <f>IF($A208="",0,$B208*IF($I208=1,LGD_LC,MIN(1,LGD+$C$40))*(1-$E208))</f>
        <v/>
      </c>
      <c r="AE208" s="44">
        <f>IF(OR($A208="",$B208&lt;=0,$AC208&lt;=0),0,IF($AC208&gt;=1,$AD208,IF(_xlfn.NORM.S.INV(RAND())*SQRT(1-Rho)+$C$41*SQRT(Rho)&lt;_xlfn.NORM.S.INV($AC208),$AD208,0)))</f>
        <v/>
      </c>
      <c r="AG208" t="n">
        <v>202</v>
      </c>
      <c r="AH208" s="35" t="n">
        <v>0</v>
      </c>
    </row>
    <row r="209">
      <c r="A209" s="7">
        <f>IF('02_Buyers'!$A146="","",'02_Buyers'!$A146)</f>
        <v/>
      </c>
      <c r="B209" s="44">
        <f>IF($A209="",0,'02_Buyers'!$Z146)</f>
        <v/>
      </c>
      <c r="C209" s="50">
        <f>IF($A209="",0,'02_Buyers'!$AM146)</f>
        <v/>
      </c>
      <c r="D209" s="50">
        <f>IF($A209="",0,'02_Buyers'!$AN146)</f>
        <v/>
      </c>
      <c r="E209" s="50">
        <f>IF($A209="",0,'02_Buyers'!$AO146)</f>
        <v/>
      </c>
      <c r="F209" s="50">
        <f>IF($A209="",0,'02_Buyers'!$AP146)</f>
        <v/>
      </c>
      <c r="G209" s="45">
        <f>IF($A209="",0,'02_Buyers'!$V146)</f>
        <v/>
      </c>
      <c r="H209" s="45">
        <f>IF(OR($A209="",'02_Buyers'!$AC146=""),0,'02_Buyers'!$AC146)</f>
        <v/>
      </c>
      <c r="I209" s="45">
        <f>IF($A209="",0,IF(OR('02_Buyers'!$U146="LC_SIGHT",'02_Buyers'!$U146="LC_USANCE"),1,0))</f>
        <v/>
      </c>
      <c r="J209" s="7">
        <f>IF($A209="","",'02_Buyers'!$T146)</f>
        <v/>
      </c>
      <c r="K209" s="44">
        <f>IF($A209="",0,$B209*MIN(1,$C209*$J$6)*IF($I209=1,LGD_LC,MIN(1,LGD+$K$6))*(1-$E209))</f>
        <v/>
      </c>
      <c r="L209" s="44">
        <f>IF($A209="",0,$B209*MIN(1,$C209*$J$7)*IF($I209=1,LGD_LC,MIN(1,LGD+$K$7))*(1-$E209))</f>
        <v/>
      </c>
      <c r="M209" s="44">
        <f>IF($A209="",0,$B209*MIN(1,$C209*$J$8)*IF($I209=1,LGD_LC,MIN(1,LGD+$K$8))*(1-$E209))</f>
        <v/>
      </c>
      <c r="N209" s="44">
        <f>IF($A209="",0,$B209*MIN(1,$C209*$J$9)*IF($I209=1,LGD_LC,MIN(1,LGD+$K$9))*(1-$E209))</f>
        <v/>
      </c>
      <c r="O209" s="44">
        <f>IF($A209="",0,$B209*MIN(1,$C209*$J$10)*IF($I209=1,LGD_LC,MIN(1,LGD+$K$10))*(1-$E209))</f>
        <v/>
      </c>
      <c r="P209" s="44">
        <f>IF($A209="",0,$B209*MIN(1,$C209*$J$12)*IF($I209=1,LGD_LC,MIN(1,LGD+$K$12))*(1-$E209))</f>
        <v/>
      </c>
      <c r="Q209" s="44">
        <f>IF($A209="",0,$B209*(TSOFR3M+$H$6/10000+$F209)*$G209/DayBasis)</f>
        <v/>
      </c>
      <c r="R209" s="44">
        <f>IF($A209="",0,$B209*(TSOFR3M+$H$7/10000+$F209)*$G209/DayBasis)</f>
        <v/>
      </c>
      <c r="S209" s="44">
        <f>IF($A209="",0,$B209*(TSOFR3M+$H$8/10000+$F209)*$G209/DayBasis)</f>
        <v/>
      </c>
      <c r="T209" s="44">
        <f>IF($A209="",0,$B209*(TSOFR3M+$H$9/10000+$F209)*$G209/DayBasis)</f>
        <v/>
      </c>
      <c r="U209" s="44">
        <f>IF($A209="",0,$B209*(TSOFR3M+$H$10/10000+$F209)*$G209/DayBasis)</f>
        <v/>
      </c>
      <c r="V209" s="44">
        <f>IF($A209="",0,$B209*(TSOFR3M+$H$12/10000+$F209)*$G209/DayBasis)</f>
        <v/>
      </c>
      <c r="W209" s="44">
        <f>IF(OR($A209="",$M$6&lt;&gt;"Y",$O$6=""),0,IF($H209&gt;=$O$6,$B209*(TSOFR3M+$H$6/10000+$F209)*$N$6/DayBasis,0))</f>
        <v/>
      </c>
      <c r="X209" s="44">
        <f>IF(OR($A209="",$M$7&lt;&gt;"Y",$O$7=""),0,IF($H209&gt;=$O$7,$B209*(TSOFR3M+$H$7/10000+$F209)*$N$7/DayBasis,0))</f>
        <v/>
      </c>
      <c r="Y209" s="44">
        <f>IF(OR($A209="",$M$8&lt;&gt;"Y",$O$8=""),0,IF($H209&gt;=$O$8,$B209*(TSOFR3M+$H$8/10000+$F209)*$N$8/DayBasis,0))</f>
        <v/>
      </c>
      <c r="Z209" s="44">
        <f>IF(OR($A209="",$M$9&lt;&gt;"Y",$O$9=""),0,IF($H209&gt;=$O$9,$B209*(TSOFR3M+$H$9/10000+$F209)*$N$9/DayBasis,0))</f>
        <v/>
      </c>
      <c r="AA209" s="44">
        <f>IF(OR($A209="",$M$10&lt;&gt;"Y",$O$10=""),0,IF($H209&gt;=$O$10,$B209*(TSOFR3M+$H$10/10000+$F209)*$N$10/DayBasis,0))</f>
        <v/>
      </c>
      <c r="AB209" s="44">
        <f>IF(OR($A209="",$M$12&lt;&gt;"Y",$O$12=""),0,IF($H209&gt;=$O$12,$B209*(TSOFR3M+$H$12/10000+$F209)*$N$12/DayBasis,0))</f>
        <v/>
      </c>
      <c r="AC209" s="50">
        <f>IF($A209="",0,MIN(1,$C209*$C$39))</f>
        <v/>
      </c>
      <c r="AD209" s="44">
        <f>IF($A209="",0,$B209*IF($I209=1,LGD_LC,MIN(1,LGD+$C$40))*(1-$E209))</f>
        <v/>
      </c>
      <c r="AE209" s="44">
        <f>IF(OR($A209="",$B209&lt;=0,$AC209&lt;=0),0,IF($AC209&gt;=1,$AD209,IF(_xlfn.NORM.S.INV(RAND())*SQRT(1-Rho)+$C$41*SQRT(Rho)&lt;_xlfn.NORM.S.INV($AC209),$AD209,0)))</f>
        <v/>
      </c>
      <c r="AG209" t="n">
        <v>203</v>
      </c>
      <c r="AH209" s="35" t="n">
        <v>0</v>
      </c>
    </row>
    <row r="210">
      <c r="A210" s="7">
        <f>IF('02_Buyers'!$A147="","",'02_Buyers'!$A147)</f>
        <v/>
      </c>
      <c r="B210" s="44">
        <f>IF($A210="",0,'02_Buyers'!$Z147)</f>
        <v/>
      </c>
      <c r="C210" s="50">
        <f>IF($A210="",0,'02_Buyers'!$AM147)</f>
        <v/>
      </c>
      <c r="D210" s="50">
        <f>IF($A210="",0,'02_Buyers'!$AN147)</f>
        <v/>
      </c>
      <c r="E210" s="50">
        <f>IF($A210="",0,'02_Buyers'!$AO147)</f>
        <v/>
      </c>
      <c r="F210" s="50">
        <f>IF($A210="",0,'02_Buyers'!$AP147)</f>
        <v/>
      </c>
      <c r="G210" s="45">
        <f>IF($A210="",0,'02_Buyers'!$V147)</f>
        <v/>
      </c>
      <c r="H210" s="45">
        <f>IF(OR($A210="",'02_Buyers'!$AC147=""),0,'02_Buyers'!$AC147)</f>
        <v/>
      </c>
      <c r="I210" s="45">
        <f>IF($A210="",0,IF(OR('02_Buyers'!$U147="LC_SIGHT",'02_Buyers'!$U147="LC_USANCE"),1,0))</f>
        <v/>
      </c>
      <c r="J210" s="7">
        <f>IF($A210="","",'02_Buyers'!$T147)</f>
        <v/>
      </c>
      <c r="K210" s="44">
        <f>IF($A210="",0,$B210*MIN(1,$C210*$J$6)*IF($I210=1,LGD_LC,MIN(1,LGD+$K$6))*(1-$E210))</f>
        <v/>
      </c>
      <c r="L210" s="44">
        <f>IF($A210="",0,$B210*MIN(1,$C210*$J$7)*IF($I210=1,LGD_LC,MIN(1,LGD+$K$7))*(1-$E210))</f>
        <v/>
      </c>
      <c r="M210" s="44">
        <f>IF($A210="",0,$B210*MIN(1,$C210*$J$8)*IF($I210=1,LGD_LC,MIN(1,LGD+$K$8))*(1-$E210))</f>
        <v/>
      </c>
      <c r="N210" s="44">
        <f>IF($A210="",0,$B210*MIN(1,$C210*$J$9)*IF($I210=1,LGD_LC,MIN(1,LGD+$K$9))*(1-$E210))</f>
        <v/>
      </c>
      <c r="O210" s="44">
        <f>IF($A210="",0,$B210*MIN(1,$C210*$J$10)*IF($I210=1,LGD_LC,MIN(1,LGD+$K$10))*(1-$E210))</f>
        <v/>
      </c>
      <c r="P210" s="44">
        <f>IF($A210="",0,$B210*MIN(1,$C210*$J$12)*IF($I210=1,LGD_LC,MIN(1,LGD+$K$12))*(1-$E210))</f>
        <v/>
      </c>
      <c r="Q210" s="44">
        <f>IF($A210="",0,$B210*(TSOFR3M+$H$6/10000+$F210)*$G210/DayBasis)</f>
        <v/>
      </c>
      <c r="R210" s="44">
        <f>IF($A210="",0,$B210*(TSOFR3M+$H$7/10000+$F210)*$G210/DayBasis)</f>
        <v/>
      </c>
      <c r="S210" s="44">
        <f>IF($A210="",0,$B210*(TSOFR3M+$H$8/10000+$F210)*$G210/DayBasis)</f>
        <v/>
      </c>
      <c r="T210" s="44">
        <f>IF($A210="",0,$B210*(TSOFR3M+$H$9/10000+$F210)*$G210/DayBasis)</f>
        <v/>
      </c>
      <c r="U210" s="44">
        <f>IF($A210="",0,$B210*(TSOFR3M+$H$10/10000+$F210)*$G210/DayBasis)</f>
        <v/>
      </c>
      <c r="V210" s="44">
        <f>IF($A210="",0,$B210*(TSOFR3M+$H$12/10000+$F210)*$G210/DayBasis)</f>
        <v/>
      </c>
      <c r="W210" s="44">
        <f>IF(OR($A210="",$M$6&lt;&gt;"Y",$O$6=""),0,IF($H210&gt;=$O$6,$B210*(TSOFR3M+$H$6/10000+$F210)*$N$6/DayBasis,0))</f>
        <v/>
      </c>
      <c r="X210" s="44">
        <f>IF(OR($A210="",$M$7&lt;&gt;"Y",$O$7=""),0,IF($H210&gt;=$O$7,$B210*(TSOFR3M+$H$7/10000+$F210)*$N$7/DayBasis,0))</f>
        <v/>
      </c>
      <c r="Y210" s="44">
        <f>IF(OR($A210="",$M$8&lt;&gt;"Y",$O$8=""),0,IF($H210&gt;=$O$8,$B210*(TSOFR3M+$H$8/10000+$F210)*$N$8/DayBasis,0))</f>
        <v/>
      </c>
      <c r="Z210" s="44">
        <f>IF(OR($A210="",$M$9&lt;&gt;"Y",$O$9=""),0,IF($H210&gt;=$O$9,$B210*(TSOFR3M+$H$9/10000+$F210)*$N$9/DayBasis,0))</f>
        <v/>
      </c>
      <c r="AA210" s="44">
        <f>IF(OR($A210="",$M$10&lt;&gt;"Y",$O$10=""),0,IF($H210&gt;=$O$10,$B210*(TSOFR3M+$H$10/10000+$F210)*$N$10/DayBasis,0))</f>
        <v/>
      </c>
      <c r="AB210" s="44">
        <f>IF(OR($A210="",$M$12&lt;&gt;"Y",$O$12=""),0,IF($H210&gt;=$O$12,$B210*(TSOFR3M+$H$12/10000+$F210)*$N$12/DayBasis,0))</f>
        <v/>
      </c>
      <c r="AC210" s="50">
        <f>IF($A210="",0,MIN(1,$C210*$C$39))</f>
        <v/>
      </c>
      <c r="AD210" s="44">
        <f>IF($A210="",0,$B210*IF($I210=1,LGD_LC,MIN(1,LGD+$C$40))*(1-$E210))</f>
        <v/>
      </c>
      <c r="AE210" s="44">
        <f>IF(OR($A210="",$B210&lt;=0,$AC210&lt;=0),0,IF($AC210&gt;=1,$AD210,IF(_xlfn.NORM.S.INV(RAND())*SQRT(1-Rho)+$C$41*SQRT(Rho)&lt;_xlfn.NORM.S.INV($AC210),$AD210,0)))</f>
        <v/>
      </c>
      <c r="AG210" t="n">
        <v>204</v>
      </c>
      <c r="AH210" s="35" t="n">
        <v>0</v>
      </c>
    </row>
    <row r="211">
      <c r="A211" s="7">
        <f>IF('02_Buyers'!$A148="","",'02_Buyers'!$A148)</f>
        <v/>
      </c>
      <c r="B211" s="44">
        <f>IF($A211="",0,'02_Buyers'!$Z148)</f>
        <v/>
      </c>
      <c r="C211" s="50">
        <f>IF($A211="",0,'02_Buyers'!$AM148)</f>
        <v/>
      </c>
      <c r="D211" s="50">
        <f>IF($A211="",0,'02_Buyers'!$AN148)</f>
        <v/>
      </c>
      <c r="E211" s="50">
        <f>IF($A211="",0,'02_Buyers'!$AO148)</f>
        <v/>
      </c>
      <c r="F211" s="50">
        <f>IF($A211="",0,'02_Buyers'!$AP148)</f>
        <v/>
      </c>
      <c r="G211" s="45">
        <f>IF($A211="",0,'02_Buyers'!$V148)</f>
        <v/>
      </c>
      <c r="H211" s="45">
        <f>IF(OR($A211="",'02_Buyers'!$AC148=""),0,'02_Buyers'!$AC148)</f>
        <v/>
      </c>
      <c r="I211" s="45">
        <f>IF($A211="",0,IF(OR('02_Buyers'!$U148="LC_SIGHT",'02_Buyers'!$U148="LC_USANCE"),1,0))</f>
        <v/>
      </c>
      <c r="J211" s="7">
        <f>IF($A211="","",'02_Buyers'!$T148)</f>
        <v/>
      </c>
      <c r="K211" s="44">
        <f>IF($A211="",0,$B211*MIN(1,$C211*$J$6)*IF($I211=1,LGD_LC,MIN(1,LGD+$K$6))*(1-$E211))</f>
        <v/>
      </c>
      <c r="L211" s="44">
        <f>IF($A211="",0,$B211*MIN(1,$C211*$J$7)*IF($I211=1,LGD_LC,MIN(1,LGD+$K$7))*(1-$E211))</f>
        <v/>
      </c>
      <c r="M211" s="44">
        <f>IF($A211="",0,$B211*MIN(1,$C211*$J$8)*IF($I211=1,LGD_LC,MIN(1,LGD+$K$8))*(1-$E211))</f>
        <v/>
      </c>
      <c r="N211" s="44">
        <f>IF($A211="",0,$B211*MIN(1,$C211*$J$9)*IF($I211=1,LGD_LC,MIN(1,LGD+$K$9))*(1-$E211))</f>
        <v/>
      </c>
      <c r="O211" s="44">
        <f>IF($A211="",0,$B211*MIN(1,$C211*$J$10)*IF($I211=1,LGD_LC,MIN(1,LGD+$K$10))*(1-$E211))</f>
        <v/>
      </c>
      <c r="P211" s="44">
        <f>IF($A211="",0,$B211*MIN(1,$C211*$J$12)*IF($I211=1,LGD_LC,MIN(1,LGD+$K$12))*(1-$E211))</f>
        <v/>
      </c>
      <c r="Q211" s="44">
        <f>IF($A211="",0,$B211*(TSOFR3M+$H$6/10000+$F211)*$G211/DayBasis)</f>
        <v/>
      </c>
      <c r="R211" s="44">
        <f>IF($A211="",0,$B211*(TSOFR3M+$H$7/10000+$F211)*$G211/DayBasis)</f>
        <v/>
      </c>
      <c r="S211" s="44">
        <f>IF($A211="",0,$B211*(TSOFR3M+$H$8/10000+$F211)*$G211/DayBasis)</f>
        <v/>
      </c>
      <c r="T211" s="44">
        <f>IF($A211="",0,$B211*(TSOFR3M+$H$9/10000+$F211)*$G211/DayBasis)</f>
        <v/>
      </c>
      <c r="U211" s="44">
        <f>IF($A211="",0,$B211*(TSOFR3M+$H$10/10000+$F211)*$G211/DayBasis)</f>
        <v/>
      </c>
      <c r="V211" s="44">
        <f>IF($A211="",0,$B211*(TSOFR3M+$H$12/10000+$F211)*$G211/DayBasis)</f>
        <v/>
      </c>
      <c r="W211" s="44">
        <f>IF(OR($A211="",$M$6&lt;&gt;"Y",$O$6=""),0,IF($H211&gt;=$O$6,$B211*(TSOFR3M+$H$6/10000+$F211)*$N$6/DayBasis,0))</f>
        <v/>
      </c>
      <c r="X211" s="44">
        <f>IF(OR($A211="",$M$7&lt;&gt;"Y",$O$7=""),0,IF($H211&gt;=$O$7,$B211*(TSOFR3M+$H$7/10000+$F211)*$N$7/DayBasis,0))</f>
        <v/>
      </c>
      <c r="Y211" s="44">
        <f>IF(OR($A211="",$M$8&lt;&gt;"Y",$O$8=""),0,IF($H211&gt;=$O$8,$B211*(TSOFR3M+$H$8/10000+$F211)*$N$8/DayBasis,0))</f>
        <v/>
      </c>
      <c r="Z211" s="44">
        <f>IF(OR($A211="",$M$9&lt;&gt;"Y",$O$9=""),0,IF($H211&gt;=$O$9,$B211*(TSOFR3M+$H$9/10000+$F211)*$N$9/DayBasis,0))</f>
        <v/>
      </c>
      <c r="AA211" s="44">
        <f>IF(OR($A211="",$M$10&lt;&gt;"Y",$O$10=""),0,IF($H211&gt;=$O$10,$B211*(TSOFR3M+$H$10/10000+$F211)*$N$10/DayBasis,0))</f>
        <v/>
      </c>
      <c r="AB211" s="44">
        <f>IF(OR($A211="",$M$12&lt;&gt;"Y",$O$12=""),0,IF($H211&gt;=$O$12,$B211*(TSOFR3M+$H$12/10000+$F211)*$N$12/DayBasis,0))</f>
        <v/>
      </c>
      <c r="AC211" s="50">
        <f>IF($A211="",0,MIN(1,$C211*$C$39))</f>
        <v/>
      </c>
      <c r="AD211" s="44">
        <f>IF($A211="",0,$B211*IF($I211=1,LGD_LC,MIN(1,LGD+$C$40))*(1-$E211))</f>
        <v/>
      </c>
      <c r="AE211" s="44">
        <f>IF(OR($A211="",$B211&lt;=0,$AC211&lt;=0),0,IF($AC211&gt;=1,$AD211,IF(_xlfn.NORM.S.INV(RAND())*SQRT(1-Rho)+$C$41*SQRT(Rho)&lt;_xlfn.NORM.S.INV($AC211),$AD211,0)))</f>
        <v/>
      </c>
      <c r="AG211" t="n">
        <v>205</v>
      </c>
      <c r="AH211" s="35" t="n">
        <v>0</v>
      </c>
    </row>
    <row r="212">
      <c r="A212" s="7">
        <f>IF('02_Buyers'!$A149="","",'02_Buyers'!$A149)</f>
        <v/>
      </c>
      <c r="B212" s="44">
        <f>IF($A212="",0,'02_Buyers'!$Z149)</f>
        <v/>
      </c>
      <c r="C212" s="50">
        <f>IF($A212="",0,'02_Buyers'!$AM149)</f>
        <v/>
      </c>
      <c r="D212" s="50">
        <f>IF($A212="",0,'02_Buyers'!$AN149)</f>
        <v/>
      </c>
      <c r="E212" s="50">
        <f>IF($A212="",0,'02_Buyers'!$AO149)</f>
        <v/>
      </c>
      <c r="F212" s="50">
        <f>IF($A212="",0,'02_Buyers'!$AP149)</f>
        <v/>
      </c>
      <c r="G212" s="45">
        <f>IF($A212="",0,'02_Buyers'!$V149)</f>
        <v/>
      </c>
      <c r="H212" s="45">
        <f>IF(OR($A212="",'02_Buyers'!$AC149=""),0,'02_Buyers'!$AC149)</f>
        <v/>
      </c>
      <c r="I212" s="45">
        <f>IF($A212="",0,IF(OR('02_Buyers'!$U149="LC_SIGHT",'02_Buyers'!$U149="LC_USANCE"),1,0))</f>
        <v/>
      </c>
      <c r="J212" s="7">
        <f>IF($A212="","",'02_Buyers'!$T149)</f>
        <v/>
      </c>
      <c r="K212" s="44">
        <f>IF($A212="",0,$B212*MIN(1,$C212*$J$6)*IF($I212=1,LGD_LC,MIN(1,LGD+$K$6))*(1-$E212))</f>
        <v/>
      </c>
      <c r="L212" s="44">
        <f>IF($A212="",0,$B212*MIN(1,$C212*$J$7)*IF($I212=1,LGD_LC,MIN(1,LGD+$K$7))*(1-$E212))</f>
        <v/>
      </c>
      <c r="M212" s="44">
        <f>IF($A212="",0,$B212*MIN(1,$C212*$J$8)*IF($I212=1,LGD_LC,MIN(1,LGD+$K$8))*(1-$E212))</f>
        <v/>
      </c>
      <c r="N212" s="44">
        <f>IF($A212="",0,$B212*MIN(1,$C212*$J$9)*IF($I212=1,LGD_LC,MIN(1,LGD+$K$9))*(1-$E212))</f>
        <v/>
      </c>
      <c r="O212" s="44">
        <f>IF($A212="",0,$B212*MIN(1,$C212*$J$10)*IF($I212=1,LGD_LC,MIN(1,LGD+$K$10))*(1-$E212))</f>
        <v/>
      </c>
      <c r="P212" s="44">
        <f>IF($A212="",0,$B212*MIN(1,$C212*$J$12)*IF($I212=1,LGD_LC,MIN(1,LGD+$K$12))*(1-$E212))</f>
        <v/>
      </c>
      <c r="Q212" s="44">
        <f>IF($A212="",0,$B212*(TSOFR3M+$H$6/10000+$F212)*$G212/DayBasis)</f>
        <v/>
      </c>
      <c r="R212" s="44">
        <f>IF($A212="",0,$B212*(TSOFR3M+$H$7/10000+$F212)*$G212/DayBasis)</f>
        <v/>
      </c>
      <c r="S212" s="44">
        <f>IF($A212="",0,$B212*(TSOFR3M+$H$8/10000+$F212)*$G212/DayBasis)</f>
        <v/>
      </c>
      <c r="T212" s="44">
        <f>IF($A212="",0,$B212*(TSOFR3M+$H$9/10000+$F212)*$G212/DayBasis)</f>
        <v/>
      </c>
      <c r="U212" s="44">
        <f>IF($A212="",0,$B212*(TSOFR3M+$H$10/10000+$F212)*$G212/DayBasis)</f>
        <v/>
      </c>
      <c r="V212" s="44">
        <f>IF($A212="",0,$B212*(TSOFR3M+$H$12/10000+$F212)*$G212/DayBasis)</f>
        <v/>
      </c>
      <c r="W212" s="44">
        <f>IF(OR($A212="",$M$6&lt;&gt;"Y",$O$6=""),0,IF($H212&gt;=$O$6,$B212*(TSOFR3M+$H$6/10000+$F212)*$N$6/DayBasis,0))</f>
        <v/>
      </c>
      <c r="X212" s="44">
        <f>IF(OR($A212="",$M$7&lt;&gt;"Y",$O$7=""),0,IF($H212&gt;=$O$7,$B212*(TSOFR3M+$H$7/10000+$F212)*$N$7/DayBasis,0))</f>
        <v/>
      </c>
      <c r="Y212" s="44">
        <f>IF(OR($A212="",$M$8&lt;&gt;"Y",$O$8=""),0,IF($H212&gt;=$O$8,$B212*(TSOFR3M+$H$8/10000+$F212)*$N$8/DayBasis,0))</f>
        <v/>
      </c>
      <c r="Z212" s="44">
        <f>IF(OR($A212="",$M$9&lt;&gt;"Y",$O$9=""),0,IF($H212&gt;=$O$9,$B212*(TSOFR3M+$H$9/10000+$F212)*$N$9/DayBasis,0))</f>
        <v/>
      </c>
      <c r="AA212" s="44">
        <f>IF(OR($A212="",$M$10&lt;&gt;"Y",$O$10=""),0,IF($H212&gt;=$O$10,$B212*(TSOFR3M+$H$10/10000+$F212)*$N$10/DayBasis,0))</f>
        <v/>
      </c>
      <c r="AB212" s="44">
        <f>IF(OR($A212="",$M$12&lt;&gt;"Y",$O$12=""),0,IF($H212&gt;=$O$12,$B212*(TSOFR3M+$H$12/10000+$F212)*$N$12/DayBasis,0))</f>
        <v/>
      </c>
      <c r="AC212" s="50">
        <f>IF($A212="",0,MIN(1,$C212*$C$39))</f>
        <v/>
      </c>
      <c r="AD212" s="44">
        <f>IF($A212="",0,$B212*IF($I212=1,LGD_LC,MIN(1,LGD+$C$40))*(1-$E212))</f>
        <v/>
      </c>
      <c r="AE212" s="44">
        <f>IF(OR($A212="",$B212&lt;=0,$AC212&lt;=0),0,IF($AC212&gt;=1,$AD212,IF(_xlfn.NORM.S.INV(RAND())*SQRT(1-Rho)+$C$41*SQRT(Rho)&lt;_xlfn.NORM.S.INV($AC212),$AD212,0)))</f>
        <v/>
      </c>
      <c r="AG212" t="n">
        <v>206</v>
      </c>
      <c r="AH212" s="35" t="n">
        <v>0</v>
      </c>
    </row>
    <row r="213">
      <c r="A213" s="7">
        <f>IF('02_Buyers'!$A150="","",'02_Buyers'!$A150)</f>
        <v/>
      </c>
      <c r="B213" s="44">
        <f>IF($A213="",0,'02_Buyers'!$Z150)</f>
        <v/>
      </c>
      <c r="C213" s="50">
        <f>IF($A213="",0,'02_Buyers'!$AM150)</f>
        <v/>
      </c>
      <c r="D213" s="50">
        <f>IF($A213="",0,'02_Buyers'!$AN150)</f>
        <v/>
      </c>
      <c r="E213" s="50">
        <f>IF($A213="",0,'02_Buyers'!$AO150)</f>
        <v/>
      </c>
      <c r="F213" s="50">
        <f>IF($A213="",0,'02_Buyers'!$AP150)</f>
        <v/>
      </c>
      <c r="G213" s="45">
        <f>IF($A213="",0,'02_Buyers'!$V150)</f>
        <v/>
      </c>
      <c r="H213" s="45">
        <f>IF(OR($A213="",'02_Buyers'!$AC150=""),0,'02_Buyers'!$AC150)</f>
        <v/>
      </c>
      <c r="I213" s="45">
        <f>IF($A213="",0,IF(OR('02_Buyers'!$U150="LC_SIGHT",'02_Buyers'!$U150="LC_USANCE"),1,0))</f>
        <v/>
      </c>
      <c r="J213" s="7">
        <f>IF($A213="","",'02_Buyers'!$T150)</f>
        <v/>
      </c>
      <c r="K213" s="44">
        <f>IF($A213="",0,$B213*MIN(1,$C213*$J$6)*IF($I213=1,LGD_LC,MIN(1,LGD+$K$6))*(1-$E213))</f>
        <v/>
      </c>
      <c r="L213" s="44">
        <f>IF($A213="",0,$B213*MIN(1,$C213*$J$7)*IF($I213=1,LGD_LC,MIN(1,LGD+$K$7))*(1-$E213))</f>
        <v/>
      </c>
      <c r="M213" s="44">
        <f>IF($A213="",0,$B213*MIN(1,$C213*$J$8)*IF($I213=1,LGD_LC,MIN(1,LGD+$K$8))*(1-$E213))</f>
        <v/>
      </c>
      <c r="N213" s="44">
        <f>IF($A213="",0,$B213*MIN(1,$C213*$J$9)*IF($I213=1,LGD_LC,MIN(1,LGD+$K$9))*(1-$E213))</f>
        <v/>
      </c>
      <c r="O213" s="44">
        <f>IF($A213="",0,$B213*MIN(1,$C213*$J$10)*IF($I213=1,LGD_LC,MIN(1,LGD+$K$10))*(1-$E213))</f>
        <v/>
      </c>
      <c r="P213" s="44">
        <f>IF($A213="",0,$B213*MIN(1,$C213*$J$12)*IF($I213=1,LGD_LC,MIN(1,LGD+$K$12))*(1-$E213))</f>
        <v/>
      </c>
      <c r="Q213" s="44">
        <f>IF($A213="",0,$B213*(TSOFR3M+$H$6/10000+$F213)*$G213/DayBasis)</f>
        <v/>
      </c>
      <c r="R213" s="44">
        <f>IF($A213="",0,$B213*(TSOFR3M+$H$7/10000+$F213)*$G213/DayBasis)</f>
        <v/>
      </c>
      <c r="S213" s="44">
        <f>IF($A213="",0,$B213*(TSOFR3M+$H$8/10000+$F213)*$G213/DayBasis)</f>
        <v/>
      </c>
      <c r="T213" s="44">
        <f>IF($A213="",0,$B213*(TSOFR3M+$H$9/10000+$F213)*$G213/DayBasis)</f>
        <v/>
      </c>
      <c r="U213" s="44">
        <f>IF($A213="",0,$B213*(TSOFR3M+$H$10/10000+$F213)*$G213/DayBasis)</f>
        <v/>
      </c>
      <c r="V213" s="44">
        <f>IF($A213="",0,$B213*(TSOFR3M+$H$12/10000+$F213)*$G213/DayBasis)</f>
        <v/>
      </c>
      <c r="W213" s="44">
        <f>IF(OR($A213="",$M$6&lt;&gt;"Y",$O$6=""),0,IF($H213&gt;=$O$6,$B213*(TSOFR3M+$H$6/10000+$F213)*$N$6/DayBasis,0))</f>
        <v/>
      </c>
      <c r="X213" s="44">
        <f>IF(OR($A213="",$M$7&lt;&gt;"Y",$O$7=""),0,IF($H213&gt;=$O$7,$B213*(TSOFR3M+$H$7/10000+$F213)*$N$7/DayBasis,0))</f>
        <v/>
      </c>
      <c r="Y213" s="44">
        <f>IF(OR($A213="",$M$8&lt;&gt;"Y",$O$8=""),0,IF($H213&gt;=$O$8,$B213*(TSOFR3M+$H$8/10000+$F213)*$N$8/DayBasis,0))</f>
        <v/>
      </c>
      <c r="Z213" s="44">
        <f>IF(OR($A213="",$M$9&lt;&gt;"Y",$O$9=""),0,IF($H213&gt;=$O$9,$B213*(TSOFR3M+$H$9/10000+$F213)*$N$9/DayBasis,0))</f>
        <v/>
      </c>
      <c r="AA213" s="44">
        <f>IF(OR($A213="",$M$10&lt;&gt;"Y",$O$10=""),0,IF($H213&gt;=$O$10,$B213*(TSOFR3M+$H$10/10000+$F213)*$N$10/DayBasis,0))</f>
        <v/>
      </c>
      <c r="AB213" s="44">
        <f>IF(OR($A213="",$M$12&lt;&gt;"Y",$O$12=""),0,IF($H213&gt;=$O$12,$B213*(TSOFR3M+$H$12/10000+$F213)*$N$12/DayBasis,0))</f>
        <v/>
      </c>
      <c r="AC213" s="50">
        <f>IF($A213="",0,MIN(1,$C213*$C$39))</f>
        <v/>
      </c>
      <c r="AD213" s="44">
        <f>IF($A213="",0,$B213*IF($I213=1,LGD_LC,MIN(1,LGD+$C$40))*(1-$E213))</f>
        <v/>
      </c>
      <c r="AE213" s="44">
        <f>IF(OR($A213="",$B213&lt;=0,$AC213&lt;=0),0,IF($AC213&gt;=1,$AD213,IF(_xlfn.NORM.S.INV(RAND())*SQRT(1-Rho)+$C$41*SQRT(Rho)&lt;_xlfn.NORM.S.INV($AC213),$AD213,0)))</f>
        <v/>
      </c>
      <c r="AG213" t="n">
        <v>207</v>
      </c>
      <c r="AH213" s="35" t="n">
        <v>0</v>
      </c>
    </row>
    <row r="214">
      <c r="A214" s="7">
        <f>IF('02_Buyers'!$A151="","",'02_Buyers'!$A151)</f>
        <v/>
      </c>
      <c r="B214" s="44">
        <f>IF($A214="",0,'02_Buyers'!$Z151)</f>
        <v/>
      </c>
      <c r="C214" s="50">
        <f>IF($A214="",0,'02_Buyers'!$AM151)</f>
        <v/>
      </c>
      <c r="D214" s="50">
        <f>IF($A214="",0,'02_Buyers'!$AN151)</f>
        <v/>
      </c>
      <c r="E214" s="50">
        <f>IF($A214="",0,'02_Buyers'!$AO151)</f>
        <v/>
      </c>
      <c r="F214" s="50">
        <f>IF($A214="",0,'02_Buyers'!$AP151)</f>
        <v/>
      </c>
      <c r="G214" s="45">
        <f>IF($A214="",0,'02_Buyers'!$V151)</f>
        <v/>
      </c>
      <c r="H214" s="45">
        <f>IF(OR($A214="",'02_Buyers'!$AC151=""),0,'02_Buyers'!$AC151)</f>
        <v/>
      </c>
      <c r="I214" s="45">
        <f>IF($A214="",0,IF(OR('02_Buyers'!$U151="LC_SIGHT",'02_Buyers'!$U151="LC_USANCE"),1,0))</f>
        <v/>
      </c>
      <c r="J214" s="7">
        <f>IF($A214="","",'02_Buyers'!$T151)</f>
        <v/>
      </c>
      <c r="K214" s="44">
        <f>IF($A214="",0,$B214*MIN(1,$C214*$J$6)*IF($I214=1,LGD_LC,MIN(1,LGD+$K$6))*(1-$E214))</f>
        <v/>
      </c>
      <c r="L214" s="44">
        <f>IF($A214="",0,$B214*MIN(1,$C214*$J$7)*IF($I214=1,LGD_LC,MIN(1,LGD+$K$7))*(1-$E214))</f>
        <v/>
      </c>
      <c r="M214" s="44">
        <f>IF($A214="",0,$B214*MIN(1,$C214*$J$8)*IF($I214=1,LGD_LC,MIN(1,LGD+$K$8))*(1-$E214))</f>
        <v/>
      </c>
      <c r="N214" s="44">
        <f>IF($A214="",0,$B214*MIN(1,$C214*$J$9)*IF($I214=1,LGD_LC,MIN(1,LGD+$K$9))*(1-$E214))</f>
        <v/>
      </c>
      <c r="O214" s="44">
        <f>IF($A214="",0,$B214*MIN(1,$C214*$J$10)*IF($I214=1,LGD_LC,MIN(1,LGD+$K$10))*(1-$E214))</f>
        <v/>
      </c>
      <c r="P214" s="44">
        <f>IF($A214="",0,$B214*MIN(1,$C214*$J$12)*IF($I214=1,LGD_LC,MIN(1,LGD+$K$12))*(1-$E214))</f>
        <v/>
      </c>
      <c r="Q214" s="44">
        <f>IF($A214="",0,$B214*(TSOFR3M+$H$6/10000+$F214)*$G214/DayBasis)</f>
        <v/>
      </c>
      <c r="R214" s="44">
        <f>IF($A214="",0,$B214*(TSOFR3M+$H$7/10000+$F214)*$G214/DayBasis)</f>
        <v/>
      </c>
      <c r="S214" s="44">
        <f>IF($A214="",0,$B214*(TSOFR3M+$H$8/10000+$F214)*$G214/DayBasis)</f>
        <v/>
      </c>
      <c r="T214" s="44">
        <f>IF($A214="",0,$B214*(TSOFR3M+$H$9/10000+$F214)*$G214/DayBasis)</f>
        <v/>
      </c>
      <c r="U214" s="44">
        <f>IF($A214="",0,$B214*(TSOFR3M+$H$10/10000+$F214)*$G214/DayBasis)</f>
        <v/>
      </c>
      <c r="V214" s="44">
        <f>IF($A214="",0,$B214*(TSOFR3M+$H$12/10000+$F214)*$G214/DayBasis)</f>
        <v/>
      </c>
      <c r="W214" s="44">
        <f>IF(OR($A214="",$M$6&lt;&gt;"Y",$O$6=""),0,IF($H214&gt;=$O$6,$B214*(TSOFR3M+$H$6/10000+$F214)*$N$6/DayBasis,0))</f>
        <v/>
      </c>
      <c r="X214" s="44">
        <f>IF(OR($A214="",$M$7&lt;&gt;"Y",$O$7=""),0,IF($H214&gt;=$O$7,$B214*(TSOFR3M+$H$7/10000+$F214)*$N$7/DayBasis,0))</f>
        <v/>
      </c>
      <c r="Y214" s="44">
        <f>IF(OR($A214="",$M$8&lt;&gt;"Y",$O$8=""),0,IF($H214&gt;=$O$8,$B214*(TSOFR3M+$H$8/10000+$F214)*$N$8/DayBasis,0))</f>
        <v/>
      </c>
      <c r="Z214" s="44">
        <f>IF(OR($A214="",$M$9&lt;&gt;"Y",$O$9=""),0,IF($H214&gt;=$O$9,$B214*(TSOFR3M+$H$9/10000+$F214)*$N$9/DayBasis,0))</f>
        <v/>
      </c>
      <c r="AA214" s="44">
        <f>IF(OR($A214="",$M$10&lt;&gt;"Y",$O$10=""),0,IF($H214&gt;=$O$10,$B214*(TSOFR3M+$H$10/10000+$F214)*$N$10/DayBasis,0))</f>
        <v/>
      </c>
      <c r="AB214" s="44">
        <f>IF(OR($A214="",$M$12&lt;&gt;"Y",$O$12=""),0,IF($H214&gt;=$O$12,$B214*(TSOFR3M+$H$12/10000+$F214)*$N$12/DayBasis,0))</f>
        <v/>
      </c>
      <c r="AC214" s="50">
        <f>IF($A214="",0,MIN(1,$C214*$C$39))</f>
        <v/>
      </c>
      <c r="AD214" s="44">
        <f>IF($A214="",0,$B214*IF($I214=1,LGD_LC,MIN(1,LGD+$C$40))*(1-$E214))</f>
        <v/>
      </c>
      <c r="AE214" s="44">
        <f>IF(OR($A214="",$B214&lt;=0,$AC214&lt;=0),0,IF($AC214&gt;=1,$AD214,IF(_xlfn.NORM.S.INV(RAND())*SQRT(1-Rho)+$C$41*SQRT(Rho)&lt;_xlfn.NORM.S.INV($AC214),$AD214,0)))</f>
        <v/>
      </c>
      <c r="AG214" t="n">
        <v>208</v>
      </c>
      <c r="AH214" s="35" t="n">
        <v>0</v>
      </c>
    </row>
    <row r="215">
      <c r="AG215" t="n">
        <v>209</v>
      </c>
      <c r="AH215" s="35" t="n">
        <v>0</v>
      </c>
    </row>
    <row r="216">
      <c r="AG216" t="n">
        <v>210</v>
      </c>
      <c r="AH216" s="35" t="n">
        <v>0</v>
      </c>
    </row>
    <row r="217">
      <c r="AG217" t="n">
        <v>211</v>
      </c>
      <c r="AH217" s="35" t="n">
        <v>0</v>
      </c>
    </row>
    <row r="218">
      <c r="AG218" t="n">
        <v>212</v>
      </c>
      <c r="AH218" s="35" t="n">
        <v>0</v>
      </c>
    </row>
    <row r="219">
      <c r="AG219" t="n">
        <v>213</v>
      </c>
      <c r="AH219" s="35" t="n">
        <v>0</v>
      </c>
    </row>
    <row r="220">
      <c r="AG220" t="n">
        <v>214</v>
      </c>
      <c r="AH220" s="35" t="n">
        <v>0</v>
      </c>
    </row>
    <row r="221">
      <c r="AG221" t="n">
        <v>215</v>
      </c>
      <c r="AH221" s="35" t="n">
        <v>0</v>
      </c>
    </row>
    <row r="222">
      <c r="AG222" t="n">
        <v>216</v>
      </c>
      <c r="AH222" s="35" t="n">
        <v>0</v>
      </c>
    </row>
    <row r="223">
      <c r="AG223" t="n">
        <v>217</v>
      </c>
      <c r="AH223" s="35" t="n">
        <v>0</v>
      </c>
    </row>
    <row r="224">
      <c r="AG224" t="n">
        <v>218</v>
      </c>
      <c r="AH224" s="35" t="n">
        <v>0</v>
      </c>
    </row>
    <row r="225">
      <c r="AG225" t="n">
        <v>219</v>
      </c>
      <c r="AH225" s="35" t="n">
        <v>0</v>
      </c>
    </row>
    <row r="226">
      <c r="AG226" t="n">
        <v>220</v>
      </c>
      <c r="AH226" s="35" t="n">
        <v>0</v>
      </c>
    </row>
    <row r="227">
      <c r="AG227" t="n">
        <v>221</v>
      </c>
      <c r="AH227" s="35" t="n">
        <v>0</v>
      </c>
    </row>
    <row r="228">
      <c r="AG228" t="n">
        <v>222</v>
      </c>
      <c r="AH228" s="35" t="n">
        <v>0</v>
      </c>
    </row>
    <row r="229">
      <c r="AG229" t="n">
        <v>223</v>
      </c>
      <c r="AH229" s="35" t="n">
        <v>0</v>
      </c>
    </row>
    <row r="230">
      <c r="AG230" t="n">
        <v>224</v>
      </c>
      <c r="AH230" s="35" t="n">
        <v>0</v>
      </c>
    </row>
    <row r="231">
      <c r="AG231" t="n">
        <v>225</v>
      </c>
      <c r="AH231" s="35" t="n">
        <v>0</v>
      </c>
    </row>
    <row r="232">
      <c r="AG232" t="n">
        <v>226</v>
      </c>
      <c r="AH232" s="35" t="n">
        <v>0</v>
      </c>
    </row>
    <row r="233">
      <c r="AG233" t="n">
        <v>227</v>
      </c>
      <c r="AH233" s="35" t="n">
        <v>0</v>
      </c>
    </row>
    <row r="234">
      <c r="AG234" t="n">
        <v>228</v>
      </c>
      <c r="AH234" s="35" t="n">
        <v>0</v>
      </c>
    </row>
    <row r="235">
      <c r="AG235" t="n">
        <v>229</v>
      </c>
      <c r="AH235" s="35" t="n">
        <v>0</v>
      </c>
    </row>
    <row r="236">
      <c r="AG236" t="n">
        <v>230</v>
      </c>
      <c r="AH236" s="35" t="n">
        <v>0</v>
      </c>
    </row>
    <row r="237">
      <c r="AG237" t="n">
        <v>231</v>
      </c>
      <c r="AH237" s="35" t="n">
        <v>0</v>
      </c>
    </row>
    <row r="238">
      <c r="AG238" t="n">
        <v>232</v>
      </c>
      <c r="AH238" s="35" t="n">
        <v>0</v>
      </c>
    </row>
    <row r="239">
      <c r="AG239" t="n">
        <v>233</v>
      </c>
      <c r="AH239" s="35" t="n">
        <v>0</v>
      </c>
    </row>
    <row r="240">
      <c r="AG240" t="n">
        <v>234</v>
      </c>
      <c r="AH240" s="35" t="n">
        <v>0</v>
      </c>
    </row>
    <row r="241">
      <c r="AG241" t="n">
        <v>235</v>
      </c>
      <c r="AH241" s="35" t="n">
        <v>0</v>
      </c>
    </row>
    <row r="242">
      <c r="AG242" t="n">
        <v>236</v>
      </c>
      <c r="AH242" s="35" t="n">
        <v>0</v>
      </c>
    </row>
    <row r="243">
      <c r="AG243" t="n">
        <v>237</v>
      </c>
      <c r="AH243" s="35" t="n">
        <v>0</v>
      </c>
    </row>
    <row r="244">
      <c r="AG244" t="n">
        <v>238</v>
      </c>
      <c r="AH244" s="35" t="n">
        <v>0</v>
      </c>
    </row>
    <row r="245">
      <c r="AG245" t="n">
        <v>239</v>
      </c>
      <c r="AH245" s="35" t="n">
        <v>0</v>
      </c>
    </row>
    <row r="246">
      <c r="AG246" t="n">
        <v>240</v>
      </c>
      <c r="AH246" s="35" t="n">
        <v>0</v>
      </c>
    </row>
    <row r="247">
      <c r="AG247" t="n">
        <v>241</v>
      </c>
      <c r="AH247" s="35" t="n">
        <v>0</v>
      </c>
    </row>
    <row r="248">
      <c r="AG248" t="n">
        <v>242</v>
      </c>
      <c r="AH248" s="35" t="n">
        <v>0</v>
      </c>
    </row>
    <row r="249">
      <c r="AG249" t="n">
        <v>243</v>
      </c>
      <c r="AH249" s="35" t="n">
        <v>0</v>
      </c>
    </row>
    <row r="250">
      <c r="AG250" t="n">
        <v>244</v>
      </c>
      <c r="AH250" s="35" t="n">
        <v>0</v>
      </c>
    </row>
    <row r="251">
      <c r="AG251" t="n">
        <v>245</v>
      </c>
      <c r="AH251" s="35" t="n">
        <v>0</v>
      </c>
    </row>
    <row r="252">
      <c r="AG252" t="n">
        <v>246</v>
      </c>
      <c r="AH252" s="35" t="n">
        <v>0</v>
      </c>
    </row>
    <row r="253">
      <c r="AG253" t="n">
        <v>247</v>
      </c>
      <c r="AH253" s="35" t="n">
        <v>0</v>
      </c>
    </row>
    <row r="254">
      <c r="AG254" t="n">
        <v>248</v>
      </c>
      <c r="AH254" s="35" t="n">
        <v>0</v>
      </c>
    </row>
    <row r="255">
      <c r="AG255" t="n">
        <v>249</v>
      </c>
      <c r="AH255" s="35" t="n">
        <v>0</v>
      </c>
    </row>
    <row r="256">
      <c r="AG256" t="n">
        <v>250</v>
      </c>
      <c r="AH256" s="35" t="n">
        <v>0</v>
      </c>
    </row>
    <row r="257">
      <c r="AG257" t="n">
        <v>251</v>
      </c>
      <c r="AH257" s="35" t="n">
        <v>0</v>
      </c>
    </row>
    <row r="258">
      <c r="AG258" t="n">
        <v>252</v>
      </c>
      <c r="AH258" s="35" t="n">
        <v>0</v>
      </c>
    </row>
    <row r="259">
      <c r="AG259" t="n">
        <v>253</v>
      </c>
      <c r="AH259" s="35" t="n">
        <v>0</v>
      </c>
    </row>
    <row r="260">
      <c r="AG260" t="n">
        <v>254</v>
      </c>
      <c r="AH260" s="35" t="n">
        <v>0</v>
      </c>
    </row>
    <row r="261">
      <c r="AG261" t="n">
        <v>255</v>
      </c>
      <c r="AH261" s="35" t="n">
        <v>0</v>
      </c>
    </row>
    <row r="262">
      <c r="AG262" t="n">
        <v>256</v>
      </c>
      <c r="AH262" s="35" t="n">
        <v>0</v>
      </c>
    </row>
    <row r="263">
      <c r="AG263" t="n">
        <v>257</v>
      </c>
      <c r="AH263" s="35" t="n">
        <v>0</v>
      </c>
    </row>
    <row r="264">
      <c r="AG264" t="n">
        <v>258</v>
      </c>
      <c r="AH264" s="35" t="n">
        <v>0</v>
      </c>
    </row>
    <row r="265">
      <c r="AG265" t="n">
        <v>259</v>
      </c>
      <c r="AH265" s="35" t="n">
        <v>0</v>
      </c>
    </row>
    <row r="266">
      <c r="AG266" t="n">
        <v>260</v>
      </c>
      <c r="AH266" s="35" t="n">
        <v>0</v>
      </c>
    </row>
    <row r="267">
      <c r="AG267" t="n">
        <v>261</v>
      </c>
      <c r="AH267" s="35" t="n">
        <v>0</v>
      </c>
    </row>
    <row r="268">
      <c r="AG268" t="n">
        <v>262</v>
      </c>
      <c r="AH268" s="35" t="n">
        <v>0</v>
      </c>
    </row>
    <row r="269">
      <c r="AG269" t="n">
        <v>263</v>
      </c>
      <c r="AH269" s="35" t="n">
        <v>0</v>
      </c>
    </row>
    <row r="270">
      <c r="AG270" t="n">
        <v>264</v>
      </c>
      <c r="AH270" s="35" t="n">
        <v>0</v>
      </c>
    </row>
    <row r="271">
      <c r="AG271" t="n">
        <v>265</v>
      </c>
      <c r="AH271" s="35" t="n">
        <v>0</v>
      </c>
    </row>
    <row r="272">
      <c r="AG272" t="n">
        <v>266</v>
      </c>
      <c r="AH272" s="35" t="n">
        <v>0</v>
      </c>
    </row>
    <row r="273">
      <c r="AG273" t="n">
        <v>267</v>
      </c>
      <c r="AH273" s="35" t="n">
        <v>0</v>
      </c>
    </row>
    <row r="274">
      <c r="AG274" t="n">
        <v>268</v>
      </c>
      <c r="AH274" s="35" t="n">
        <v>0</v>
      </c>
    </row>
    <row r="275">
      <c r="AG275" t="n">
        <v>269</v>
      </c>
      <c r="AH275" s="35" t="n">
        <v>0</v>
      </c>
    </row>
    <row r="276">
      <c r="AG276" t="n">
        <v>270</v>
      </c>
      <c r="AH276" s="35" t="n">
        <v>0</v>
      </c>
    </row>
    <row r="277">
      <c r="AG277" t="n">
        <v>271</v>
      </c>
      <c r="AH277" s="35" t="n">
        <v>0</v>
      </c>
    </row>
    <row r="278">
      <c r="AG278" t="n">
        <v>272</v>
      </c>
      <c r="AH278" s="35" t="n">
        <v>0</v>
      </c>
    </row>
    <row r="279">
      <c r="AG279" t="n">
        <v>273</v>
      </c>
      <c r="AH279" s="35" t="n">
        <v>0</v>
      </c>
    </row>
    <row r="280">
      <c r="AG280" t="n">
        <v>274</v>
      </c>
      <c r="AH280" s="35" t="n">
        <v>0</v>
      </c>
    </row>
    <row r="281">
      <c r="AG281" t="n">
        <v>275</v>
      </c>
      <c r="AH281" s="35" t="n">
        <v>0</v>
      </c>
    </row>
    <row r="282">
      <c r="AG282" t="n">
        <v>276</v>
      </c>
      <c r="AH282" s="35" t="n">
        <v>0</v>
      </c>
    </row>
    <row r="283">
      <c r="AG283" t="n">
        <v>277</v>
      </c>
      <c r="AH283" s="35" t="n">
        <v>0</v>
      </c>
    </row>
    <row r="284">
      <c r="AG284" t="n">
        <v>278</v>
      </c>
      <c r="AH284" s="35" t="n">
        <v>0</v>
      </c>
    </row>
    <row r="285">
      <c r="AG285" t="n">
        <v>279</v>
      </c>
      <c r="AH285" s="35" t="n">
        <v>0</v>
      </c>
    </row>
    <row r="286">
      <c r="AG286" t="n">
        <v>280</v>
      </c>
      <c r="AH286" s="35" t="n">
        <v>0</v>
      </c>
    </row>
    <row r="287">
      <c r="AG287" t="n">
        <v>281</v>
      </c>
      <c r="AH287" s="35" t="n">
        <v>0</v>
      </c>
    </row>
    <row r="288">
      <c r="AG288" t="n">
        <v>282</v>
      </c>
      <c r="AH288" s="35" t="n">
        <v>0</v>
      </c>
    </row>
    <row r="289">
      <c r="AG289" t="n">
        <v>283</v>
      </c>
      <c r="AH289" s="35" t="n">
        <v>0</v>
      </c>
    </row>
    <row r="290">
      <c r="AG290" t="n">
        <v>284</v>
      </c>
      <c r="AH290" s="35" t="n">
        <v>0</v>
      </c>
    </row>
    <row r="291">
      <c r="AG291" t="n">
        <v>285</v>
      </c>
      <c r="AH291" s="35" t="n">
        <v>0</v>
      </c>
    </row>
    <row r="292">
      <c r="AG292" t="n">
        <v>286</v>
      </c>
      <c r="AH292" s="35" t="n">
        <v>0</v>
      </c>
    </row>
    <row r="293">
      <c r="AG293" t="n">
        <v>287</v>
      </c>
      <c r="AH293" s="35" t="n">
        <v>0</v>
      </c>
    </row>
    <row r="294">
      <c r="AG294" t="n">
        <v>288</v>
      </c>
      <c r="AH294" s="35" t="n">
        <v>0</v>
      </c>
    </row>
    <row r="295">
      <c r="AG295" t="n">
        <v>289</v>
      </c>
      <c r="AH295" s="35" t="n">
        <v>0</v>
      </c>
    </row>
    <row r="296">
      <c r="AG296" t="n">
        <v>290</v>
      </c>
      <c r="AH296" s="35" t="n">
        <v>0</v>
      </c>
    </row>
    <row r="297">
      <c r="AG297" t="n">
        <v>291</v>
      </c>
      <c r="AH297" s="35" t="n">
        <v>0</v>
      </c>
    </row>
    <row r="298">
      <c r="AG298" t="n">
        <v>292</v>
      </c>
      <c r="AH298" s="35" t="n">
        <v>0</v>
      </c>
    </row>
    <row r="299">
      <c r="AG299" t="n">
        <v>293</v>
      </c>
      <c r="AH299" s="35" t="n">
        <v>0</v>
      </c>
    </row>
    <row r="300">
      <c r="AG300" t="n">
        <v>294</v>
      </c>
      <c r="AH300" s="35" t="n">
        <v>0</v>
      </c>
    </row>
    <row r="301">
      <c r="AG301" t="n">
        <v>295</v>
      </c>
      <c r="AH301" s="35" t="n">
        <v>0</v>
      </c>
    </row>
    <row r="302">
      <c r="AG302" t="n">
        <v>296</v>
      </c>
      <c r="AH302" s="35" t="n">
        <v>0</v>
      </c>
    </row>
    <row r="303">
      <c r="AG303" t="n">
        <v>297</v>
      </c>
      <c r="AH303" s="35" t="n">
        <v>0</v>
      </c>
    </row>
    <row r="304">
      <c r="AG304" t="n">
        <v>298</v>
      </c>
      <c r="AH304" s="35" t="n">
        <v>0</v>
      </c>
    </row>
    <row r="305">
      <c r="AG305" t="n">
        <v>299</v>
      </c>
      <c r="AH305" s="35" t="n">
        <v>0</v>
      </c>
    </row>
    <row r="306">
      <c r="AG306" t="n">
        <v>300</v>
      </c>
      <c r="AH306" s="35" t="n">
        <v>0</v>
      </c>
    </row>
    <row r="307">
      <c r="AG307" t="n">
        <v>301</v>
      </c>
      <c r="AH307" s="35" t="n">
        <v>0</v>
      </c>
    </row>
    <row r="308">
      <c r="AG308" t="n">
        <v>302</v>
      </c>
      <c r="AH308" s="35" t="n">
        <v>0</v>
      </c>
    </row>
    <row r="309">
      <c r="AG309" t="n">
        <v>303</v>
      </c>
      <c r="AH309" s="35" t="n">
        <v>0</v>
      </c>
    </row>
    <row r="310">
      <c r="AG310" t="n">
        <v>304</v>
      </c>
      <c r="AH310" s="35" t="n">
        <v>0</v>
      </c>
    </row>
    <row r="311">
      <c r="AG311" t="n">
        <v>305</v>
      </c>
      <c r="AH311" s="35" t="n">
        <v>0</v>
      </c>
    </row>
    <row r="312">
      <c r="AG312" t="n">
        <v>306</v>
      </c>
      <c r="AH312" s="35" t="n">
        <v>0</v>
      </c>
    </row>
    <row r="313">
      <c r="AG313" t="n">
        <v>307</v>
      </c>
      <c r="AH313" s="35" t="n">
        <v>0</v>
      </c>
    </row>
    <row r="314">
      <c r="AG314" t="n">
        <v>308</v>
      </c>
      <c r="AH314" s="35" t="n">
        <v>0</v>
      </c>
    </row>
    <row r="315">
      <c r="AG315" t="n">
        <v>309</v>
      </c>
      <c r="AH315" s="35" t="n">
        <v>0</v>
      </c>
    </row>
    <row r="316">
      <c r="AG316" t="n">
        <v>310</v>
      </c>
      <c r="AH316" s="35" t="n">
        <v>0</v>
      </c>
    </row>
    <row r="317">
      <c r="AG317" t="n">
        <v>311</v>
      </c>
      <c r="AH317" s="35" t="n">
        <v>0</v>
      </c>
    </row>
    <row r="318">
      <c r="AG318" t="n">
        <v>312</v>
      </c>
      <c r="AH318" s="35" t="n">
        <v>0</v>
      </c>
    </row>
    <row r="319">
      <c r="AG319" t="n">
        <v>313</v>
      </c>
      <c r="AH319" s="35" t="n">
        <v>0</v>
      </c>
    </row>
    <row r="320">
      <c r="AG320" t="n">
        <v>314</v>
      </c>
      <c r="AH320" s="35" t="n">
        <v>0</v>
      </c>
    </row>
    <row r="321">
      <c r="AG321" t="n">
        <v>315</v>
      </c>
      <c r="AH321" s="35" t="n">
        <v>0</v>
      </c>
    </row>
    <row r="322">
      <c r="AG322" t="n">
        <v>316</v>
      </c>
      <c r="AH322" s="35" t="n">
        <v>0</v>
      </c>
    </row>
    <row r="323">
      <c r="AG323" t="n">
        <v>317</v>
      </c>
      <c r="AH323" s="35" t="n">
        <v>0</v>
      </c>
    </row>
    <row r="324">
      <c r="AG324" t="n">
        <v>318</v>
      </c>
      <c r="AH324" s="35" t="n">
        <v>0</v>
      </c>
    </row>
    <row r="325">
      <c r="AG325" t="n">
        <v>319</v>
      </c>
      <c r="AH325" s="35" t="n">
        <v>0</v>
      </c>
    </row>
    <row r="326">
      <c r="AG326" t="n">
        <v>320</v>
      </c>
      <c r="AH326" s="35" t="n">
        <v>0</v>
      </c>
    </row>
    <row r="327">
      <c r="AG327" t="n">
        <v>321</v>
      </c>
      <c r="AH327" s="35" t="n">
        <v>0</v>
      </c>
    </row>
    <row r="328">
      <c r="AG328" t="n">
        <v>322</v>
      </c>
      <c r="AH328" s="35" t="n">
        <v>0</v>
      </c>
    </row>
    <row r="329">
      <c r="AG329" t="n">
        <v>323</v>
      </c>
      <c r="AH329" s="35" t="n">
        <v>0</v>
      </c>
    </row>
    <row r="330">
      <c r="AG330" t="n">
        <v>324</v>
      </c>
      <c r="AH330" s="35" t="n">
        <v>0</v>
      </c>
    </row>
    <row r="331">
      <c r="AG331" t="n">
        <v>325</v>
      </c>
      <c r="AH331" s="35" t="n">
        <v>0</v>
      </c>
    </row>
    <row r="332">
      <c r="AG332" t="n">
        <v>326</v>
      </c>
      <c r="AH332" s="35" t="n">
        <v>0</v>
      </c>
    </row>
    <row r="333">
      <c r="AG333" t="n">
        <v>327</v>
      </c>
      <c r="AH333" s="35" t="n">
        <v>0</v>
      </c>
    </row>
    <row r="334">
      <c r="AG334" t="n">
        <v>328</v>
      </c>
      <c r="AH334" s="35" t="n">
        <v>0</v>
      </c>
    </row>
    <row r="335">
      <c r="AG335" t="n">
        <v>329</v>
      </c>
      <c r="AH335" s="35" t="n">
        <v>0</v>
      </c>
    </row>
    <row r="336">
      <c r="AG336" t="n">
        <v>330</v>
      </c>
      <c r="AH336" s="35" t="n">
        <v>0</v>
      </c>
    </row>
    <row r="337">
      <c r="AG337" t="n">
        <v>331</v>
      </c>
      <c r="AH337" s="35" t="n">
        <v>0</v>
      </c>
    </row>
    <row r="338">
      <c r="AG338" t="n">
        <v>332</v>
      </c>
      <c r="AH338" s="35" t="n">
        <v>0</v>
      </c>
    </row>
    <row r="339">
      <c r="AG339" t="n">
        <v>333</v>
      </c>
      <c r="AH339" s="35" t="n">
        <v>0</v>
      </c>
    </row>
    <row r="340">
      <c r="AG340" t="n">
        <v>334</v>
      </c>
      <c r="AH340" s="35" t="n">
        <v>0</v>
      </c>
    </row>
    <row r="341">
      <c r="AG341" t="n">
        <v>335</v>
      </c>
      <c r="AH341" s="35" t="n">
        <v>0</v>
      </c>
    </row>
    <row r="342">
      <c r="AG342" t="n">
        <v>336</v>
      </c>
      <c r="AH342" s="35" t="n">
        <v>0</v>
      </c>
    </row>
    <row r="343">
      <c r="AG343" t="n">
        <v>337</v>
      </c>
      <c r="AH343" s="35" t="n">
        <v>0</v>
      </c>
    </row>
    <row r="344">
      <c r="AG344" t="n">
        <v>338</v>
      </c>
      <c r="AH344" s="35" t="n">
        <v>0</v>
      </c>
    </row>
    <row r="345">
      <c r="AG345" t="n">
        <v>339</v>
      </c>
      <c r="AH345" s="35" t="n">
        <v>0</v>
      </c>
    </row>
    <row r="346">
      <c r="AG346" t="n">
        <v>340</v>
      </c>
      <c r="AH346" s="35" t="n">
        <v>0</v>
      </c>
    </row>
    <row r="347">
      <c r="AG347" t="n">
        <v>341</v>
      </c>
      <c r="AH347" s="35" t="n">
        <v>0</v>
      </c>
    </row>
    <row r="348">
      <c r="AG348" t="n">
        <v>342</v>
      </c>
      <c r="AH348" s="35" t="n">
        <v>0</v>
      </c>
    </row>
    <row r="349">
      <c r="AG349" t="n">
        <v>343</v>
      </c>
      <c r="AH349" s="35" t="n">
        <v>0</v>
      </c>
    </row>
    <row r="350">
      <c r="AG350" t="n">
        <v>344</v>
      </c>
      <c r="AH350" s="35" t="n">
        <v>0</v>
      </c>
    </row>
    <row r="351">
      <c r="AG351" t="n">
        <v>345</v>
      </c>
      <c r="AH351" s="35" t="n">
        <v>0</v>
      </c>
    </row>
    <row r="352">
      <c r="AG352" t="n">
        <v>346</v>
      </c>
      <c r="AH352" s="35" t="n">
        <v>0</v>
      </c>
    </row>
    <row r="353">
      <c r="AG353" t="n">
        <v>347</v>
      </c>
      <c r="AH353" s="35" t="n">
        <v>0</v>
      </c>
    </row>
    <row r="354">
      <c r="AG354" t="n">
        <v>348</v>
      </c>
      <c r="AH354" s="35" t="n">
        <v>0</v>
      </c>
    </row>
    <row r="355">
      <c r="AG355" t="n">
        <v>349</v>
      </c>
      <c r="AH355" s="35" t="n">
        <v>0</v>
      </c>
    </row>
    <row r="356">
      <c r="AG356" t="n">
        <v>350</v>
      </c>
      <c r="AH356" s="35" t="n">
        <v>0</v>
      </c>
    </row>
    <row r="357">
      <c r="AG357" t="n">
        <v>351</v>
      </c>
      <c r="AH357" s="35" t="n">
        <v>0</v>
      </c>
    </row>
    <row r="358">
      <c r="AG358" t="n">
        <v>352</v>
      </c>
      <c r="AH358" s="35" t="n">
        <v>0</v>
      </c>
    </row>
    <row r="359">
      <c r="AG359" t="n">
        <v>353</v>
      </c>
      <c r="AH359" s="35" t="n">
        <v>0</v>
      </c>
    </row>
    <row r="360">
      <c r="AG360" t="n">
        <v>354</v>
      </c>
      <c r="AH360" s="35" t="n">
        <v>0</v>
      </c>
    </row>
    <row r="361">
      <c r="AG361" t="n">
        <v>355</v>
      </c>
      <c r="AH361" s="35" t="n">
        <v>0</v>
      </c>
    </row>
    <row r="362">
      <c r="AG362" t="n">
        <v>356</v>
      </c>
      <c r="AH362" s="35" t="n">
        <v>0</v>
      </c>
    </row>
    <row r="363">
      <c r="AG363" t="n">
        <v>357</v>
      </c>
      <c r="AH363" s="35" t="n">
        <v>0</v>
      </c>
    </row>
    <row r="364">
      <c r="AG364" t="n">
        <v>358</v>
      </c>
      <c r="AH364" s="35" t="n">
        <v>0</v>
      </c>
    </row>
    <row r="365">
      <c r="AG365" t="n">
        <v>359</v>
      </c>
      <c r="AH365" s="35" t="n">
        <v>0</v>
      </c>
    </row>
    <row r="366">
      <c r="AG366" t="n">
        <v>360</v>
      </c>
      <c r="AH366" s="35" t="n">
        <v>0</v>
      </c>
    </row>
    <row r="367">
      <c r="AG367" t="n">
        <v>361</v>
      </c>
      <c r="AH367" s="35" t="n">
        <v>0</v>
      </c>
    </row>
    <row r="368">
      <c r="AG368" t="n">
        <v>362</v>
      </c>
      <c r="AH368" s="35" t="n">
        <v>0</v>
      </c>
    </row>
    <row r="369">
      <c r="AG369" t="n">
        <v>363</v>
      </c>
      <c r="AH369" s="35" t="n">
        <v>0</v>
      </c>
    </row>
    <row r="370">
      <c r="AG370" t="n">
        <v>364</v>
      </c>
      <c r="AH370" s="35" t="n">
        <v>0</v>
      </c>
    </row>
    <row r="371">
      <c r="AG371" t="n">
        <v>365</v>
      </c>
      <c r="AH371" s="35" t="n">
        <v>0</v>
      </c>
    </row>
    <row r="372">
      <c r="AG372" t="n">
        <v>366</v>
      </c>
      <c r="AH372" s="35" t="n">
        <v>0</v>
      </c>
    </row>
    <row r="373">
      <c r="AG373" t="n">
        <v>367</v>
      </c>
      <c r="AH373" s="35" t="n">
        <v>0</v>
      </c>
    </row>
    <row r="374">
      <c r="AG374" t="n">
        <v>368</v>
      </c>
      <c r="AH374" s="35" t="n">
        <v>0</v>
      </c>
    </row>
    <row r="375">
      <c r="AG375" t="n">
        <v>369</v>
      </c>
      <c r="AH375" s="35" t="n">
        <v>0</v>
      </c>
    </row>
    <row r="376">
      <c r="AG376" t="n">
        <v>370</v>
      </c>
      <c r="AH376" s="35" t="n">
        <v>0</v>
      </c>
    </row>
    <row r="377">
      <c r="AG377" t="n">
        <v>371</v>
      </c>
      <c r="AH377" s="35" t="n">
        <v>0</v>
      </c>
    </row>
    <row r="378">
      <c r="AG378" t="n">
        <v>372</v>
      </c>
      <c r="AH378" s="35" t="n">
        <v>0</v>
      </c>
    </row>
    <row r="379">
      <c r="AG379" t="n">
        <v>373</v>
      </c>
      <c r="AH379" s="35" t="n">
        <v>0</v>
      </c>
    </row>
    <row r="380">
      <c r="AG380" t="n">
        <v>374</v>
      </c>
      <c r="AH380" s="35" t="n">
        <v>0</v>
      </c>
    </row>
    <row r="381">
      <c r="AG381" t="n">
        <v>375</v>
      </c>
      <c r="AH381" s="35" t="n">
        <v>0</v>
      </c>
    </row>
    <row r="382">
      <c r="AG382" t="n">
        <v>376</v>
      </c>
      <c r="AH382" s="35" t="n">
        <v>0</v>
      </c>
    </row>
    <row r="383">
      <c r="AG383" t="n">
        <v>377</v>
      </c>
      <c r="AH383" s="35" t="n">
        <v>0</v>
      </c>
    </row>
    <row r="384">
      <c r="AG384" t="n">
        <v>378</v>
      </c>
      <c r="AH384" s="35" t="n">
        <v>0</v>
      </c>
    </row>
    <row r="385">
      <c r="AG385" t="n">
        <v>379</v>
      </c>
      <c r="AH385" s="35" t="n">
        <v>0</v>
      </c>
    </row>
    <row r="386">
      <c r="AG386" t="n">
        <v>380</v>
      </c>
      <c r="AH386" s="35" t="n">
        <v>0</v>
      </c>
    </row>
    <row r="387">
      <c r="AG387" t="n">
        <v>381</v>
      </c>
      <c r="AH387" s="35" t="n">
        <v>0</v>
      </c>
    </row>
    <row r="388">
      <c r="AG388" t="n">
        <v>382</v>
      </c>
      <c r="AH388" s="35" t="n">
        <v>0</v>
      </c>
    </row>
    <row r="389">
      <c r="AG389" t="n">
        <v>383</v>
      </c>
      <c r="AH389" s="35" t="n">
        <v>0</v>
      </c>
    </row>
    <row r="390">
      <c r="AG390" t="n">
        <v>384</v>
      </c>
      <c r="AH390" s="35" t="n">
        <v>0</v>
      </c>
    </row>
    <row r="391">
      <c r="AG391" t="n">
        <v>385</v>
      </c>
      <c r="AH391" s="35" t="n">
        <v>0</v>
      </c>
    </row>
    <row r="392">
      <c r="AG392" t="n">
        <v>386</v>
      </c>
      <c r="AH392" s="35" t="n">
        <v>0</v>
      </c>
    </row>
    <row r="393">
      <c r="AG393" t="n">
        <v>387</v>
      </c>
      <c r="AH393" s="35" t="n">
        <v>0</v>
      </c>
    </row>
    <row r="394">
      <c r="AG394" t="n">
        <v>388</v>
      </c>
      <c r="AH394" s="35" t="n">
        <v>0</v>
      </c>
    </row>
    <row r="395">
      <c r="AG395" t="n">
        <v>389</v>
      </c>
      <c r="AH395" s="35" t="n">
        <v>0</v>
      </c>
    </row>
    <row r="396">
      <c r="AG396" t="n">
        <v>390</v>
      </c>
      <c r="AH396" s="35" t="n">
        <v>0</v>
      </c>
    </row>
    <row r="397">
      <c r="AG397" t="n">
        <v>391</v>
      </c>
      <c r="AH397" s="35" t="n">
        <v>0</v>
      </c>
    </row>
    <row r="398">
      <c r="AG398" t="n">
        <v>392</v>
      </c>
      <c r="AH398" s="35" t="n">
        <v>0</v>
      </c>
    </row>
    <row r="399">
      <c r="AG399" t="n">
        <v>393</v>
      </c>
      <c r="AH399" s="35" t="n">
        <v>0</v>
      </c>
    </row>
    <row r="400">
      <c r="AG400" t="n">
        <v>394</v>
      </c>
      <c r="AH400" s="35" t="n">
        <v>0</v>
      </c>
    </row>
    <row r="401">
      <c r="AG401" t="n">
        <v>395</v>
      </c>
      <c r="AH401" s="35" t="n">
        <v>0</v>
      </c>
    </row>
    <row r="402">
      <c r="AG402" t="n">
        <v>396</v>
      </c>
      <c r="AH402" s="35" t="n">
        <v>0</v>
      </c>
    </row>
    <row r="403">
      <c r="AG403" t="n">
        <v>397</v>
      </c>
      <c r="AH403" s="35" t="n">
        <v>0</v>
      </c>
    </row>
    <row r="404">
      <c r="AG404" t="n">
        <v>398</v>
      </c>
      <c r="AH404" s="35" t="n">
        <v>0</v>
      </c>
    </row>
    <row r="405">
      <c r="AG405" t="n">
        <v>399</v>
      </c>
      <c r="AH405" s="35" t="n">
        <v>0</v>
      </c>
    </row>
    <row r="406">
      <c r="AG406" t="n">
        <v>400</v>
      </c>
      <c r="AH406" s="35" t="n">
        <v>0</v>
      </c>
    </row>
    <row r="407">
      <c r="AG407" t="n">
        <v>401</v>
      </c>
      <c r="AH407" s="35" t="n">
        <v>0</v>
      </c>
    </row>
    <row r="408">
      <c r="AG408" t="n">
        <v>402</v>
      </c>
      <c r="AH408" s="35" t="n">
        <v>0</v>
      </c>
    </row>
    <row r="409">
      <c r="AG409" t="n">
        <v>403</v>
      </c>
      <c r="AH409" s="35" t="n">
        <v>0</v>
      </c>
    </row>
    <row r="410">
      <c r="AG410" t="n">
        <v>404</v>
      </c>
      <c r="AH410" s="35" t="n">
        <v>0</v>
      </c>
    </row>
    <row r="411">
      <c r="AG411" t="n">
        <v>405</v>
      </c>
      <c r="AH411" s="35" t="n">
        <v>0</v>
      </c>
    </row>
    <row r="412">
      <c r="AG412" t="n">
        <v>406</v>
      </c>
      <c r="AH412" s="35" t="n">
        <v>0</v>
      </c>
    </row>
    <row r="413">
      <c r="AG413" t="n">
        <v>407</v>
      </c>
      <c r="AH413" s="35" t="n">
        <v>0</v>
      </c>
    </row>
    <row r="414">
      <c r="AG414" t="n">
        <v>408</v>
      </c>
      <c r="AH414" s="35" t="n">
        <v>0</v>
      </c>
    </row>
    <row r="415">
      <c r="AG415" t="n">
        <v>409</v>
      </c>
      <c r="AH415" s="35" t="n">
        <v>0</v>
      </c>
    </row>
    <row r="416">
      <c r="AG416" t="n">
        <v>410</v>
      </c>
      <c r="AH416" s="35" t="n">
        <v>0</v>
      </c>
    </row>
    <row r="417">
      <c r="AG417" t="n">
        <v>411</v>
      </c>
      <c r="AH417" s="35" t="n">
        <v>0</v>
      </c>
    </row>
    <row r="418">
      <c r="AG418" t="n">
        <v>412</v>
      </c>
      <c r="AH418" s="35" t="n">
        <v>0</v>
      </c>
    </row>
    <row r="419">
      <c r="AG419" t="n">
        <v>413</v>
      </c>
      <c r="AH419" s="35" t="n">
        <v>0</v>
      </c>
    </row>
    <row r="420">
      <c r="AG420" t="n">
        <v>414</v>
      </c>
      <c r="AH420" s="35" t="n">
        <v>0</v>
      </c>
    </row>
    <row r="421">
      <c r="AG421" t="n">
        <v>415</v>
      </c>
      <c r="AH421" s="35" t="n">
        <v>0</v>
      </c>
    </row>
    <row r="422">
      <c r="AG422" t="n">
        <v>416</v>
      </c>
      <c r="AH422" s="35" t="n">
        <v>0</v>
      </c>
    </row>
    <row r="423">
      <c r="AG423" t="n">
        <v>417</v>
      </c>
      <c r="AH423" s="35" t="n">
        <v>0</v>
      </c>
    </row>
    <row r="424">
      <c r="AG424" t="n">
        <v>418</v>
      </c>
      <c r="AH424" s="35" t="n">
        <v>0</v>
      </c>
    </row>
    <row r="425">
      <c r="AG425" t="n">
        <v>419</v>
      </c>
      <c r="AH425" s="35" t="n">
        <v>0</v>
      </c>
    </row>
    <row r="426">
      <c r="AG426" t="n">
        <v>420</v>
      </c>
      <c r="AH426" s="35" t="n">
        <v>0</v>
      </c>
    </row>
    <row r="427">
      <c r="AG427" t="n">
        <v>421</v>
      </c>
      <c r="AH427" s="35" t="n">
        <v>0</v>
      </c>
    </row>
    <row r="428">
      <c r="AG428" t="n">
        <v>422</v>
      </c>
      <c r="AH428" s="35" t="n">
        <v>0</v>
      </c>
    </row>
    <row r="429">
      <c r="AG429" t="n">
        <v>423</v>
      </c>
      <c r="AH429" s="35" t="n">
        <v>0</v>
      </c>
    </row>
    <row r="430">
      <c r="AG430" t="n">
        <v>424</v>
      </c>
      <c r="AH430" s="35" t="n">
        <v>0</v>
      </c>
    </row>
    <row r="431">
      <c r="AG431" t="n">
        <v>425</v>
      </c>
      <c r="AH431" s="35" t="n">
        <v>0</v>
      </c>
    </row>
    <row r="432">
      <c r="AG432" t="n">
        <v>426</v>
      </c>
      <c r="AH432" s="35" t="n">
        <v>0</v>
      </c>
    </row>
    <row r="433">
      <c r="AG433" t="n">
        <v>427</v>
      </c>
      <c r="AH433" s="35" t="n">
        <v>0</v>
      </c>
    </row>
    <row r="434">
      <c r="AG434" t="n">
        <v>428</v>
      </c>
      <c r="AH434" s="35" t="n">
        <v>0</v>
      </c>
    </row>
    <row r="435">
      <c r="AG435" t="n">
        <v>429</v>
      </c>
      <c r="AH435" s="35" t="n">
        <v>0</v>
      </c>
    </row>
    <row r="436">
      <c r="AG436" t="n">
        <v>430</v>
      </c>
      <c r="AH436" s="35" t="n">
        <v>0</v>
      </c>
    </row>
    <row r="437">
      <c r="AG437" t="n">
        <v>431</v>
      </c>
      <c r="AH437" s="35" t="n">
        <v>0</v>
      </c>
    </row>
    <row r="438">
      <c r="AG438" t="n">
        <v>432</v>
      </c>
      <c r="AH438" s="35" t="n">
        <v>0</v>
      </c>
    </row>
    <row r="439">
      <c r="AG439" t="n">
        <v>433</v>
      </c>
      <c r="AH439" s="35" t="n">
        <v>0</v>
      </c>
    </row>
    <row r="440">
      <c r="AG440" t="n">
        <v>434</v>
      </c>
      <c r="AH440" s="35" t="n">
        <v>0</v>
      </c>
    </row>
    <row r="441">
      <c r="AG441" t="n">
        <v>435</v>
      </c>
      <c r="AH441" s="35" t="n">
        <v>0</v>
      </c>
    </row>
    <row r="442">
      <c r="AG442" t="n">
        <v>436</v>
      </c>
      <c r="AH442" s="35" t="n">
        <v>0</v>
      </c>
    </row>
    <row r="443">
      <c r="AG443" t="n">
        <v>437</v>
      </c>
      <c r="AH443" s="35" t="n">
        <v>0</v>
      </c>
    </row>
    <row r="444">
      <c r="AG444" t="n">
        <v>438</v>
      </c>
      <c r="AH444" s="35" t="n">
        <v>0</v>
      </c>
    </row>
    <row r="445">
      <c r="AG445" t="n">
        <v>439</v>
      </c>
      <c r="AH445" s="35" t="n">
        <v>0</v>
      </c>
    </row>
    <row r="446">
      <c r="AG446" t="n">
        <v>440</v>
      </c>
      <c r="AH446" s="35" t="n">
        <v>0</v>
      </c>
    </row>
    <row r="447">
      <c r="AG447" t="n">
        <v>441</v>
      </c>
      <c r="AH447" s="35" t="n">
        <v>0</v>
      </c>
    </row>
    <row r="448">
      <c r="AG448" t="n">
        <v>442</v>
      </c>
      <c r="AH448" s="35" t="n">
        <v>0</v>
      </c>
    </row>
    <row r="449">
      <c r="AG449" t="n">
        <v>443</v>
      </c>
      <c r="AH449" s="35" t="n">
        <v>0</v>
      </c>
    </row>
    <row r="450">
      <c r="AG450" t="n">
        <v>444</v>
      </c>
      <c r="AH450" s="35" t="n">
        <v>0</v>
      </c>
    </row>
    <row r="451">
      <c r="AG451" t="n">
        <v>445</v>
      </c>
      <c r="AH451" s="35" t="n">
        <v>0</v>
      </c>
    </row>
    <row r="452">
      <c r="AG452" t="n">
        <v>446</v>
      </c>
      <c r="AH452" s="35" t="n">
        <v>0</v>
      </c>
    </row>
    <row r="453">
      <c r="AG453" t="n">
        <v>447</v>
      </c>
      <c r="AH453" s="35" t="n">
        <v>0</v>
      </c>
    </row>
    <row r="454">
      <c r="AG454" t="n">
        <v>448</v>
      </c>
      <c r="AH454" s="35" t="n">
        <v>0</v>
      </c>
    </row>
    <row r="455">
      <c r="AG455" t="n">
        <v>449</v>
      </c>
      <c r="AH455" s="35" t="n">
        <v>0</v>
      </c>
    </row>
    <row r="456">
      <c r="AG456" t="n">
        <v>450</v>
      </c>
      <c r="AH456" s="35" t="n">
        <v>0</v>
      </c>
    </row>
    <row r="457">
      <c r="AG457" t="n">
        <v>451</v>
      </c>
      <c r="AH457" s="35" t="n">
        <v>0</v>
      </c>
    </row>
    <row r="458">
      <c r="AG458" t="n">
        <v>452</v>
      </c>
      <c r="AH458" s="35" t="n">
        <v>0</v>
      </c>
    </row>
    <row r="459">
      <c r="AG459" t="n">
        <v>453</v>
      </c>
      <c r="AH459" s="35" t="n">
        <v>0</v>
      </c>
    </row>
    <row r="460">
      <c r="AG460" t="n">
        <v>454</v>
      </c>
      <c r="AH460" s="35" t="n">
        <v>0</v>
      </c>
    </row>
    <row r="461">
      <c r="AG461" t="n">
        <v>455</v>
      </c>
      <c r="AH461" s="35" t="n">
        <v>0</v>
      </c>
    </row>
    <row r="462">
      <c r="AG462" t="n">
        <v>456</v>
      </c>
      <c r="AH462" s="35" t="n">
        <v>0</v>
      </c>
    </row>
    <row r="463">
      <c r="AG463" t="n">
        <v>457</v>
      </c>
      <c r="AH463" s="35" t="n">
        <v>0</v>
      </c>
    </row>
    <row r="464">
      <c r="AG464" t="n">
        <v>458</v>
      </c>
      <c r="AH464" s="35" t="n">
        <v>0</v>
      </c>
    </row>
    <row r="465">
      <c r="AG465" t="n">
        <v>459</v>
      </c>
      <c r="AH465" s="35" t="n">
        <v>0</v>
      </c>
    </row>
    <row r="466">
      <c r="AG466" t="n">
        <v>460</v>
      </c>
      <c r="AH466" s="35" t="n">
        <v>0</v>
      </c>
    </row>
    <row r="467">
      <c r="AG467" t="n">
        <v>461</v>
      </c>
      <c r="AH467" s="35" t="n">
        <v>0</v>
      </c>
    </row>
    <row r="468">
      <c r="AG468" t="n">
        <v>462</v>
      </c>
      <c r="AH468" s="35" t="n">
        <v>0</v>
      </c>
    </row>
    <row r="469">
      <c r="AG469" t="n">
        <v>463</v>
      </c>
      <c r="AH469" s="35" t="n">
        <v>0</v>
      </c>
    </row>
    <row r="470">
      <c r="AG470" t="n">
        <v>464</v>
      </c>
      <c r="AH470" s="35" t="n">
        <v>0</v>
      </c>
    </row>
    <row r="471">
      <c r="AG471" t="n">
        <v>465</v>
      </c>
      <c r="AH471" s="35" t="n">
        <v>0</v>
      </c>
    </row>
    <row r="472">
      <c r="AG472" t="n">
        <v>466</v>
      </c>
      <c r="AH472" s="35" t="n">
        <v>0</v>
      </c>
    </row>
    <row r="473">
      <c r="AG473" t="n">
        <v>467</v>
      </c>
      <c r="AH473" s="35" t="n">
        <v>0</v>
      </c>
    </row>
    <row r="474">
      <c r="AG474" t="n">
        <v>468</v>
      </c>
      <c r="AH474" s="35" t="n">
        <v>0</v>
      </c>
    </row>
    <row r="475">
      <c r="AG475" t="n">
        <v>469</v>
      </c>
      <c r="AH475" s="35" t="n">
        <v>0</v>
      </c>
    </row>
    <row r="476">
      <c r="AG476" t="n">
        <v>470</v>
      </c>
      <c r="AH476" s="35" t="n">
        <v>0</v>
      </c>
    </row>
    <row r="477">
      <c r="AG477" t="n">
        <v>471</v>
      </c>
      <c r="AH477" s="35" t="n">
        <v>0</v>
      </c>
    </row>
    <row r="478">
      <c r="AG478" t="n">
        <v>472</v>
      </c>
      <c r="AH478" s="35" t="n">
        <v>0</v>
      </c>
    </row>
    <row r="479">
      <c r="AG479" t="n">
        <v>473</v>
      </c>
      <c r="AH479" s="35" t="n">
        <v>0</v>
      </c>
    </row>
    <row r="480">
      <c r="AG480" t="n">
        <v>474</v>
      </c>
      <c r="AH480" s="35" t="n">
        <v>0</v>
      </c>
    </row>
    <row r="481">
      <c r="AG481" t="n">
        <v>475</v>
      </c>
      <c r="AH481" s="35" t="n">
        <v>0</v>
      </c>
    </row>
    <row r="482">
      <c r="AG482" t="n">
        <v>476</v>
      </c>
      <c r="AH482" s="35" t="n">
        <v>0</v>
      </c>
    </row>
    <row r="483">
      <c r="AG483" t="n">
        <v>477</v>
      </c>
      <c r="AH483" s="35" t="n">
        <v>0</v>
      </c>
    </row>
    <row r="484">
      <c r="AG484" t="n">
        <v>478</v>
      </c>
      <c r="AH484" s="35" t="n">
        <v>0</v>
      </c>
    </row>
    <row r="485">
      <c r="AG485" t="n">
        <v>479</v>
      </c>
      <c r="AH485" s="35" t="n">
        <v>0</v>
      </c>
    </row>
    <row r="486">
      <c r="AG486" t="n">
        <v>480</v>
      </c>
      <c r="AH486" s="35" t="n">
        <v>0</v>
      </c>
    </row>
    <row r="487">
      <c r="AG487" t="n">
        <v>481</v>
      </c>
      <c r="AH487" s="35" t="n">
        <v>0</v>
      </c>
    </row>
    <row r="488">
      <c r="AG488" t="n">
        <v>482</v>
      </c>
      <c r="AH488" s="35" t="n">
        <v>0</v>
      </c>
    </row>
    <row r="489">
      <c r="AG489" t="n">
        <v>483</v>
      </c>
      <c r="AH489" s="35" t="n">
        <v>0</v>
      </c>
    </row>
    <row r="490">
      <c r="AG490" t="n">
        <v>484</v>
      </c>
      <c r="AH490" s="35" t="n">
        <v>0</v>
      </c>
    </row>
    <row r="491">
      <c r="AG491" t="n">
        <v>485</v>
      </c>
      <c r="AH491" s="35" t="n">
        <v>0</v>
      </c>
    </row>
    <row r="492">
      <c r="AG492" t="n">
        <v>486</v>
      </c>
      <c r="AH492" s="35" t="n">
        <v>0</v>
      </c>
    </row>
    <row r="493">
      <c r="AG493" t="n">
        <v>487</v>
      </c>
      <c r="AH493" s="35" t="n">
        <v>0</v>
      </c>
    </row>
    <row r="494">
      <c r="AG494" t="n">
        <v>488</v>
      </c>
      <c r="AH494" s="35" t="n">
        <v>0</v>
      </c>
    </row>
    <row r="495">
      <c r="AG495" t="n">
        <v>489</v>
      </c>
      <c r="AH495" s="35" t="n">
        <v>0</v>
      </c>
    </row>
    <row r="496">
      <c r="AG496" t="n">
        <v>490</v>
      </c>
      <c r="AH496" s="35" t="n">
        <v>0</v>
      </c>
    </row>
    <row r="497">
      <c r="AG497" t="n">
        <v>491</v>
      </c>
      <c r="AH497" s="35" t="n">
        <v>0</v>
      </c>
    </row>
    <row r="498">
      <c r="AG498" t="n">
        <v>492</v>
      </c>
      <c r="AH498" s="35" t="n">
        <v>0</v>
      </c>
    </row>
    <row r="499">
      <c r="AG499" t="n">
        <v>493</v>
      </c>
      <c r="AH499" s="35" t="n">
        <v>0</v>
      </c>
    </row>
    <row r="500">
      <c r="AG500" t="n">
        <v>494</v>
      </c>
      <c r="AH500" s="35" t="n">
        <v>0</v>
      </c>
    </row>
    <row r="501">
      <c r="AG501" t="n">
        <v>495</v>
      </c>
      <c r="AH501" s="35" t="n">
        <v>0</v>
      </c>
    </row>
    <row r="502">
      <c r="AG502" t="n">
        <v>496</v>
      </c>
      <c r="AH502" s="35" t="n">
        <v>0</v>
      </c>
    </row>
    <row r="503">
      <c r="AG503" t="n">
        <v>497</v>
      </c>
      <c r="AH503" s="35" t="n">
        <v>0</v>
      </c>
    </row>
    <row r="504">
      <c r="AG504" t="n">
        <v>498</v>
      </c>
      <c r="AH504" s="35" t="n">
        <v>0</v>
      </c>
    </row>
    <row r="505">
      <c r="AG505" t="n">
        <v>499</v>
      </c>
      <c r="AH505" s="35" t="n">
        <v>0</v>
      </c>
    </row>
    <row r="506">
      <c r="AG506" t="n">
        <v>500</v>
      </c>
      <c r="AH506" s="35" t="n">
        <v>0</v>
      </c>
    </row>
    <row r="507">
      <c r="AG507" t="n">
        <v>501</v>
      </c>
      <c r="AH507" s="35" t="n">
        <v>0</v>
      </c>
    </row>
    <row r="508">
      <c r="AG508" t="n">
        <v>502</v>
      </c>
      <c r="AH508" s="35" t="n">
        <v>0</v>
      </c>
    </row>
    <row r="509">
      <c r="AG509" t="n">
        <v>503</v>
      </c>
      <c r="AH509" s="35" t="n">
        <v>0</v>
      </c>
    </row>
    <row r="510">
      <c r="AG510" t="n">
        <v>504</v>
      </c>
      <c r="AH510" s="35" t="n">
        <v>0</v>
      </c>
    </row>
    <row r="511">
      <c r="AG511" t="n">
        <v>505</v>
      </c>
      <c r="AH511" s="35" t="n">
        <v>0</v>
      </c>
    </row>
    <row r="512">
      <c r="AG512" t="n">
        <v>506</v>
      </c>
      <c r="AH512" s="35" t="n">
        <v>0</v>
      </c>
    </row>
    <row r="513">
      <c r="AG513" t="n">
        <v>507</v>
      </c>
      <c r="AH513" s="35" t="n">
        <v>0</v>
      </c>
    </row>
    <row r="514">
      <c r="AG514" t="n">
        <v>508</v>
      </c>
      <c r="AH514" s="35" t="n">
        <v>0</v>
      </c>
    </row>
    <row r="515">
      <c r="AG515" t="n">
        <v>509</v>
      </c>
      <c r="AH515" s="35" t="n">
        <v>0</v>
      </c>
    </row>
    <row r="516">
      <c r="AG516" t="n">
        <v>510</v>
      </c>
      <c r="AH516" s="35" t="n">
        <v>0</v>
      </c>
    </row>
    <row r="517">
      <c r="AG517" t="n">
        <v>511</v>
      </c>
      <c r="AH517" s="35" t="n">
        <v>0</v>
      </c>
    </row>
    <row r="518">
      <c r="AG518" t="n">
        <v>512</v>
      </c>
      <c r="AH518" s="35" t="n">
        <v>0</v>
      </c>
    </row>
    <row r="519">
      <c r="AG519" t="n">
        <v>513</v>
      </c>
      <c r="AH519" s="35" t="n">
        <v>0</v>
      </c>
    </row>
    <row r="520">
      <c r="AG520" t="n">
        <v>514</v>
      </c>
      <c r="AH520" s="35" t="n">
        <v>0</v>
      </c>
    </row>
    <row r="521">
      <c r="AG521" t="n">
        <v>515</v>
      </c>
      <c r="AH521" s="35" t="n">
        <v>0</v>
      </c>
    </row>
    <row r="522">
      <c r="AG522" t="n">
        <v>516</v>
      </c>
      <c r="AH522" s="35" t="n">
        <v>0</v>
      </c>
    </row>
    <row r="523">
      <c r="AG523" t="n">
        <v>517</v>
      </c>
      <c r="AH523" s="35" t="n">
        <v>0</v>
      </c>
    </row>
    <row r="524">
      <c r="AG524" t="n">
        <v>518</v>
      </c>
      <c r="AH524" s="35" t="n">
        <v>0</v>
      </c>
    </row>
    <row r="525">
      <c r="AG525" t="n">
        <v>519</v>
      </c>
      <c r="AH525" s="35" t="n">
        <v>0</v>
      </c>
    </row>
    <row r="526">
      <c r="AG526" t="n">
        <v>520</v>
      </c>
      <c r="AH526" s="35" t="n">
        <v>0</v>
      </c>
    </row>
    <row r="527">
      <c r="AG527" t="n">
        <v>521</v>
      </c>
      <c r="AH527" s="35" t="n">
        <v>0</v>
      </c>
    </row>
    <row r="528">
      <c r="AG528" t="n">
        <v>522</v>
      </c>
      <c r="AH528" s="35" t="n">
        <v>0</v>
      </c>
    </row>
    <row r="529">
      <c r="AG529" t="n">
        <v>523</v>
      </c>
      <c r="AH529" s="35" t="n">
        <v>0</v>
      </c>
    </row>
    <row r="530">
      <c r="AG530" t="n">
        <v>524</v>
      </c>
      <c r="AH530" s="35" t="n">
        <v>0</v>
      </c>
    </row>
    <row r="531">
      <c r="AG531" t="n">
        <v>525</v>
      </c>
      <c r="AH531" s="35" t="n">
        <v>0</v>
      </c>
    </row>
    <row r="532">
      <c r="AG532" t="n">
        <v>526</v>
      </c>
      <c r="AH532" s="35" t="n">
        <v>0</v>
      </c>
    </row>
    <row r="533">
      <c r="AG533" t="n">
        <v>527</v>
      </c>
      <c r="AH533" s="35" t="n">
        <v>0</v>
      </c>
    </row>
    <row r="534">
      <c r="AG534" t="n">
        <v>528</v>
      </c>
      <c r="AH534" s="35" t="n">
        <v>0</v>
      </c>
    </row>
    <row r="535">
      <c r="AG535" t="n">
        <v>529</v>
      </c>
      <c r="AH535" s="35" t="n">
        <v>0</v>
      </c>
    </row>
    <row r="536">
      <c r="AG536" t="n">
        <v>530</v>
      </c>
      <c r="AH536" s="35" t="n">
        <v>0</v>
      </c>
    </row>
    <row r="537">
      <c r="AG537" t="n">
        <v>531</v>
      </c>
      <c r="AH537" s="35" t="n">
        <v>0</v>
      </c>
    </row>
    <row r="538">
      <c r="AG538" t="n">
        <v>532</v>
      </c>
      <c r="AH538" s="35" t="n">
        <v>0</v>
      </c>
    </row>
    <row r="539">
      <c r="AG539" t="n">
        <v>533</v>
      </c>
      <c r="AH539" s="35" t="n">
        <v>0</v>
      </c>
    </row>
    <row r="540">
      <c r="AG540" t="n">
        <v>534</v>
      </c>
      <c r="AH540" s="35" t="n">
        <v>0</v>
      </c>
    </row>
    <row r="541">
      <c r="AG541" t="n">
        <v>535</v>
      </c>
      <c r="AH541" s="35" t="n">
        <v>0</v>
      </c>
    </row>
    <row r="542">
      <c r="AG542" t="n">
        <v>536</v>
      </c>
      <c r="AH542" s="35" t="n">
        <v>0</v>
      </c>
    </row>
    <row r="543">
      <c r="AG543" t="n">
        <v>537</v>
      </c>
      <c r="AH543" s="35" t="n">
        <v>0</v>
      </c>
    </row>
    <row r="544">
      <c r="AG544" t="n">
        <v>538</v>
      </c>
      <c r="AH544" s="35" t="n">
        <v>0</v>
      </c>
    </row>
    <row r="545">
      <c r="AG545" t="n">
        <v>539</v>
      </c>
      <c r="AH545" s="35" t="n">
        <v>0</v>
      </c>
    </row>
    <row r="546">
      <c r="AG546" t="n">
        <v>540</v>
      </c>
      <c r="AH546" s="35" t="n">
        <v>0</v>
      </c>
    </row>
    <row r="547">
      <c r="AG547" t="n">
        <v>541</v>
      </c>
      <c r="AH547" s="35" t="n">
        <v>0</v>
      </c>
    </row>
    <row r="548">
      <c r="AG548" t="n">
        <v>542</v>
      </c>
      <c r="AH548" s="35" t="n">
        <v>0</v>
      </c>
    </row>
    <row r="549">
      <c r="AG549" t="n">
        <v>543</v>
      </c>
      <c r="AH549" s="35" t="n">
        <v>0</v>
      </c>
    </row>
    <row r="550">
      <c r="AG550" t="n">
        <v>544</v>
      </c>
      <c r="AH550" s="35" t="n">
        <v>0</v>
      </c>
    </row>
    <row r="551">
      <c r="AG551" t="n">
        <v>545</v>
      </c>
      <c r="AH551" s="35" t="n">
        <v>0</v>
      </c>
    </row>
    <row r="552">
      <c r="AG552" t="n">
        <v>546</v>
      </c>
      <c r="AH552" s="35" t="n">
        <v>0</v>
      </c>
    </row>
    <row r="553">
      <c r="AG553" t="n">
        <v>547</v>
      </c>
      <c r="AH553" s="35" t="n">
        <v>0</v>
      </c>
    </row>
    <row r="554">
      <c r="AG554" t="n">
        <v>548</v>
      </c>
      <c r="AH554" s="35" t="n">
        <v>0</v>
      </c>
    </row>
    <row r="555">
      <c r="AG555" t="n">
        <v>549</v>
      </c>
      <c r="AH555" s="35" t="n">
        <v>0</v>
      </c>
    </row>
    <row r="556">
      <c r="AG556" t="n">
        <v>550</v>
      </c>
      <c r="AH556" s="35" t="n">
        <v>0</v>
      </c>
    </row>
    <row r="557">
      <c r="AG557" t="n">
        <v>551</v>
      </c>
      <c r="AH557" s="35" t="n">
        <v>0</v>
      </c>
    </row>
    <row r="558">
      <c r="AG558" t="n">
        <v>552</v>
      </c>
      <c r="AH558" s="35" t="n">
        <v>0</v>
      </c>
    </row>
    <row r="559">
      <c r="AG559" t="n">
        <v>553</v>
      </c>
      <c r="AH559" s="35" t="n">
        <v>0</v>
      </c>
    </row>
    <row r="560">
      <c r="AG560" t="n">
        <v>554</v>
      </c>
      <c r="AH560" s="35" t="n">
        <v>0</v>
      </c>
    </row>
    <row r="561">
      <c r="AG561" t="n">
        <v>555</v>
      </c>
      <c r="AH561" s="35" t="n">
        <v>0</v>
      </c>
    </row>
    <row r="562">
      <c r="AG562" t="n">
        <v>556</v>
      </c>
      <c r="AH562" s="35" t="n">
        <v>0</v>
      </c>
    </row>
    <row r="563">
      <c r="AG563" t="n">
        <v>557</v>
      </c>
      <c r="AH563" s="35" t="n">
        <v>0</v>
      </c>
    </row>
    <row r="564">
      <c r="AG564" t="n">
        <v>558</v>
      </c>
      <c r="AH564" s="35" t="n">
        <v>0</v>
      </c>
    </row>
    <row r="565">
      <c r="AG565" t="n">
        <v>559</v>
      </c>
      <c r="AH565" s="35" t="n">
        <v>0</v>
      </c>
    </row>
    <row r="566">
      <c r="AG566" t="n">
        <v>560</v>
      </c>
      <c r="AH566" s="35" t="n">
        <v>0</v>
      </c>
    </row>
    <row r="567">
      <c r="AG567" t="n">
        <v>561</v>
      </c>
      <c r="AH567" s="35" t="n">
        <v>0</v>
      </c>
    </row>
    <row r="568">
      <c r="AG568" t="n">
        <v>562</v>
      </c>
      <c r="AH568" s="35" t="n">
        <v>0</v>
      </c>
    </row>
    <row r="569">
      <c r="AG569" t="n">
        <v>563</v>
      </c>
      <c r="AH569" s="35" t="n">
        <v>0</v>
      </c>
    </row>
    <row r="570">
      <c r="AG570" t="n">
        <v>564</v>
      </c>
      <c r="AH570" s="35" t="n">
        <v>0</v>
      </c>
    </row>
    <row r="571">
      <c r="AG571" t="n">
        <v>565</v>
      </c>
      <c r="AH571" s="35" t="n">
        <v>0</v>
      </c>
    </row>
    <row r="572">
      <c r="AG572" t="n">
        <v>566</v>
      </c>
      <c r="AH572" s="35" t="n">
        <v>0</v>
      </c>
    </row>
    <row r="573">
      <c r="AG573" t="n">
        <v>567</v>
      </c>
      <c r="AH573" s="35" t="n">
        <v>0</v>
      </c>
    </row>
    <row r="574">
      <c r="AG574" t="n">
        <v>568</v>
      </c>
      <c r="AH574" s="35" t="n">
        <v>0</v>
      </c>
    </row>
    <row r="575">
      <c r="AG575" t="n">
        <v>569</v>
      </c>
      <c r="AH575" s="35" t="n">
        <v>0</v>
      </c>
    </row>
    <row r="576">
      <c r="AG576" t="n">
        <v>570</v>
      </c>
      <c r="AH576" s="35" t="n">
        <v>0</v>
      </c>
    </row>
    <row r="577">
      <c r="AG577" t="n">
        <v>571</v>
      </c>
      <c r="AH577" s="35" t="n">
        <v>0</v>
      </c>
    </row>
    <row r="578">
      <c r="AG578" t="n">
        <v>572</v>
      </c>
      <c r="AH578" s="35" t="n">
        <v>0</v>
      </c>
    </row>
    <row r="579">
      <c r="AG579" t="n">
        <v>573</v>
      </c>
      <c r="AH579" s="35" t="n">
        <v>0</v>
      </c>
    </row>
    <row r="580">
      <c r="AG580" t="n">
        <v>574</v>
      </c>
      <c r="AH580" s="35" t="n">
        <v>0</v>
      </c>
    </row>
    <row r="581">
      <c r="AG581" t="n">
        <v>575</v>
      </c>
      <c r="AH581" s="35" t="n">
        <v>0</v>
      </c>
    </row>
    <row r="582">
      <c r="AG582" t="n">
        <v>576</v>
      </c>
      <c r="AH582" s="35" t="n">
        <v>0</v>
      </c>
    </row>
    <row r="583">
      <c r="AG583" t="n">
        <v>577</v>
      </c>
      <c r="AH583" s="35" t="n">
        <v>0</v>
      </c>
    </row>
    <row r="584">
      <c r="AG584" t="n">
        <v>578</v>
      </c>
      <c r="AH584" s="35" t="n">
        <v>0</v>
      </c>
    </row>
    <row r="585">
      <c r="AG585" t="n">
        <v>579</v>
      </c>
      <c r="AH585" s="35" t="n">
        <v>0</v>
      </c>
    </row>
    <row r="586">
      <c r="AG586" t="n">
        <v>580</v>
      </c>
      <c r="AH586" s="35" t="n">
        <v>0</v>
      </c>
    </row>
    <row r="587">
      <c r="AG587" t="n">
        <v>581</v>
      </c>
      <c r="AH587" s="35" t="n">
        <v>0</v>
      </c>
    </row>
    <row r="588">
      <c r="AG588" t="n">
        <v>582</v>
      </c>
      <c r="AH588" s="35" t="n">
        <v>0</v>
      </c>
    </row>
    <row r="589">
      <c r="AG589" t="n">
        <v>583</v>
      </c>
      <c r="AH589" s="35" t="n">
        <v>0</v>
      </c>
    </row>
    <row r="590">
      <c r="AG590" t="n">
        <v>584</v>
      </c>
      <c r="AH590" s="35" t="n">
        <v>0</v>
      </c>
    </row>
    <row r="591">
      <c r="AG591" t="n">
        <v>585</v>
      </c>
      <c r="AH591" s="35" t="n">
        <v>0</v>
      </c>
    </row>
    <row r="592">
      <c r="AG592" t="n">
        <v>586</v>
      </c>
      <c r="AH592" s="35" t="n">
        <v>0</v>
      </c>
    </row>
    <row r="593">
      <c r="AG593" t="n">
        <v>587</v>
      </c>
      <c r="AH593" s="35" t="n">
        <v>0</v>
      </c>
    </row>
    <row r="594">
      <c r="AG594" t="n">
        <v>588</v>
      </c>
      <c r="AH594" s="35" t="n">
        <v>0</v>
      </c>
    </row>
    <row r="595">
      <c r="AG595" t="n">
        <v>589</v>
      </c>
      <c r="AH595" s="35" t="n">
        <v>0</v>
      </c>
    </row>
    <row r="596">
      <c r="AG596" t="n">
        <v>590</v>
      </c>
      <c r="AH596" s="35" t="n">
        <v>0</v>
      </c>
    </row>
    <row r="597">
      <c r="AG597" t="n">
        <v>591</v>
      </c>
      <c r="AH597" s="35" t="n">
        <v>0</v>
      </c>
    </row>
    <row r="598">
      <c r="AG598" t="n">
        <v>592</v>
      </c>
      <c r="AH598" s="35" t="n">
        <v>0</v>
      </c>
    </row>
    <row r="599">
      <c r="AG599" t="n">
        <v>593</v>
      </c>
      <c r="AH599" s="35" t="n">
        <v>0</v>
      </c>
    </row>
    <row r="600">
      <c r="AG600" t="n">
        <v>594</v>
      </c>
      <c r="AH600" s="35" t="n">
        <v>0</v>
      </c>
    </row>
    <row r="601">
      <c r="AG601" t="n">
        <v>595</v>
      </c>
      <c r="AH601" s="35" t="n">
        <v>0</v>
      </c>
    </row>
    <row r="602">
      <c r="AG602" t="n">
        <v>596</v>
      </c>
      <c r="AH602" s="35" t="n">
        <v>0</v>
      </c>
    </row>
    <row r="603">
      <c r="AG603" t="n">
        <v>597</v>
      </c>
      <c r="AH603" s="35" t="n">
        <v>0</v>
      </c>
    </row>
    <row r="604">
      <c r="AG604" t="n">
        <v>598</v>
      </c>
      <c r="AH604" s="35" t="n">
        <v>0</v>
      </c>
    </row>
    <row r="605">
      <c r="AG605" t="n">
        <v>599</v>
      </c>
      <c r="AH605" s="35" t="n">
        <v>0</v>
      </c>
    </row>
    <row r="606">
      <c r="AG606" t="n">
        <v>600</v>
      </c>
      <c r="AH606" s="35" t="n">
        <v>0</v>
      </c>
    </row>
    <row r="607">
      <c r="AG607" t="n">
        <v>601</v>
      </c>
      <c r="AH607" s="35" t="n">
        <v>0</v>
      </c>
    </row>
    <row r="608">
      <c r="AG608" t="n">
        <v>602</v>
      </c>
      <c r="AH608" s="35" t="n">
        <v>0</v>
      </c>
    </row>
    <row r="609">
      <c r="AG609" t="n">
        <v>603</v>
      </c>
      <c r="AH609" s="35" t="n">
        <v>0</v>
      </c>
    </row>
    <row r="610">
      <c r="AG610" t="n">
        <v>604</v>
      </c>
      <c r="AH610" s="35" t="n">
        <v>0</v>
      </c>
    </row>
    <row r="611">
      <c r="AG611" t="n">
        <v>605</v>
      </c>
      <c r="AH611" s="35" t="n">
        <v>0</v>
      </c>
    </row>
    <row r="612">
      <c r="AG612" t="n">
        <v>606</v>
      </c>
      <c r="AH612" s="35" t="n">
        <v>0</v>
      </c>
    </row>
    <row r="613">
      <c r="AG613" t="n">
        <v>607</v>
      </c>
      <c r="AH613" s="35" t="n">
        <v>0</v>
      </c>
    </row>
    <row r="614">
      <c r="AG614" t="n">
        <v>608</v>
      </c>
      <c r="AH614" s="35" t="n">
        <v>0</v>
      </c>
    </row>
    <row r="615">
      <c r="AG615" t="n">
        <v>609</v>
      </c>
      <c r="AH615" s="35" t="n">
        <v>0</v>
      </c>
    </row>
    <row r="616">
      <c r="AG616" t="n">
        <v>610</v>
      </c>
      <c r="AH616" s="35" t="n">
        <v>0</v>
      </c>
    </row>
    <row r="617">
      <c r="AG617" t="n">
        <v>611</v>
      </c>
      <c r="AH617" s="35" t="n">
        <v>0</v>
      </c>
    </row>
    <row r="618">
      <c r="AG618" t="n">
        <v>612</v>
      </c>
      <c r="AH618" s="35" t="n">
        <v>0</v>
      </c>
    </row>
    <row r="619">
      <c r="AG619" t="n">
        <v>613</v>
      </c>
      <c r="AH619" s="35" t="n">
        <v>0</v>
      </c>
    </row>
    <row r="620">
      <c r="AG620" t="n">
        <v>614</v>
      </c>
      <c r="AH620" s="35" t="n">
        <v>0</v>
      </c>
    </row>
    <row r="621">
      <c r="AG621" t="n">
        <v>615</v>
      </c>
      <c r="AH621" s="35" t="n">
        <v>0</v>
      </c>
    </row>
    <row r="622">
      <c r="AG622" t="n">
        <v>616</v>
      </c>
      <c r="AH622" s="35" t="n">
        <v>0</v>
      </c>
    </row>
    <row r="623">
      <c r="AG623" t="n">
        <v>617</v>
      </c>
      <c r="AH623" s="35" t="n">
        <v>0</v>
      </c>
    </row>
    <row r="624">
      <c r="AG624" t="n">
        <v>618</v>
      </c>
      <c r="AH624" s="35" t="n">
        <v>0</v>
      </c>
    </row>
    <row r="625">
      <c r="AG625" t="n">
        <v>619</v>
      </c>
      <c r="AH625" s="35" t="n">
        <v>0</v>
      </c>
    </row>
    <row r="626">
      <c r="AG626" t="n">
        <v>620</v>
      </c>
      <c r="AH626" s="35" t="n">
        <v>0</v>
      </c>
    </row>
    <row r="627">
      <c r="AG627" t="n">
        <v>621</v>
      </c>
      <c r="AH627" s="35" t="n">
        <v>0</v>
      </c>
    </row>
    <row r="628">
      <c r="AG628" t="n">
        <v>622</v>
      </c>
      <c r="AH628" s="35" t="n">
        <v>0</v>
      </c>
    </row>
    <row r="629">
      <c r="AG629" t="n">
        <v>623</v>
      </c>
      <c r="AH629" s="35" t="n">
        <v>0</v>
      </c>
    </row>
    <row r="630">
      <c r="AG630" t="n">
        <v>624</v>
      </c>
      <c r="AH630" s="35" t="n">
        <v>0</v>
      </c>
    </row>
    <row r="631">
      <c r="AG631" t="n">
        <v>625</v>
      </c>
      <c r="AH631" s="35" t="n">
        <v>0</v>
      </c>
    </row>
    <row r="632">
      <c r="AG632" t="n">
        <v>626</v>
      </c>
      <c r="AH632" s="35" t="n">
        <v>0</v>
      </c>
    </row>
    <row r="633">
      <c r="AG633" t="n">
        <v>627</v>
      </c>
      <c r="AH633" s="35" t="n">
        <v>0</v>
      </c>
    </row>
    <row r="634">
      <c r="AG634" t="n">
        <v>628</v>
      </c>
      <c r="AH634" s="35" t="n">
        <v>0</v>
      </c>
    </row>
    <row r="635">
      <c r="AG635" t="n">
        <v>629</v>
      </c>
      <c r="AH635" s="35" t="n">
        <v>0</v>
      </c>
    </row>
    <row r="636">
      <c r="AG636" t="n">
        <v>630</v>
      </c>
      <c r="AH636" s="35" t="n">
        <v>0</v>
      </c>
    </row>
    <row r="637">
      <c r="AG637" t="n">
        <v>631</v>
      </c>
      <c r="AH637" s="35" t="n">
        <v>0</v>
      </c>
    </row>
    <row r="638">
      <c r="AG638" t="n">
        <v>632</v>
      </c>
      <c r="AH638" s="35" t="n">
        <v>0</v>
      </c>
    </row>
    <row r="639">
      <c r="AG639" t="n">
        <v>633</v>
      </c>
      <c r="AH639" s="35" t="n">
        <v>0</v>
      </c>
    </row>
    <row r="640">
      <c r="AG640" t="n">
        <v>634</v>
      </c>
      <c r="AH640" s="35" t="n">
        <v>0</v>
      </c>
    </row>
    <row r="641">
      <c r="AG641" t="n">
        <v>635</v>
      </c>
      <c r="AH641" s="35" t="n">
        <v>0</v>
      </c>
    </row>
    <row r="642">
      <c r="AG642" t="n">
        <v>636</v>
      </c>
      <c r="AH642" s="35" t="n">
        <v>0</v>
      </c>
    </row>
    <row r="643">
      <c r="AG643" t="n">
        <v>637</v>
      </c>
      <c r="AH643" s="35" t="n">
        <v>0</v>
      </c>
    </row>
    <row r="644">
      <c r="AG644" t="n">
        <v>638</v>
      </c>
      <c r="AH644" s="35" t="n">
        <v>0</v>
      </c>
    </row>
    <row r="645">
      <c r="AG645" t="n">
        <v>639</v>
      </c>
      <c r="AH645" s="35" t="n">
        <v>0</v>
      </c>
    </row>
    <row r="646">
      <c r="AG646" t="n">
        <v>640</v>
      </c>
      <c r="AH646" s="35" t="n">
        <v>0</v>
      </c>
    </row>
    <row r="647">
      <c r="AG647" t="n">
        <v>641</v>
      </c>
      <c r="AH647" s="35" t="n">
        <v>0</v>
      </c>
    </row>
    <row r="648">
      <c r="AG648" t="n">
        <v>642</v>
      </c>
      <c r="AH648" s="35" t="n">
        <v>0</v>
      </c>
    </row>
    <row r="649">
      <c r="AG649" t="n">
        <v>643</v>
      </c>
      <c r="AH649" s="35" t="n">
        <v>0</v>
      </c>
    </row>
    <row r="650">
      <c r="AG650" t="n">
        <v>644</v>
      </c>
      <c r="AH650" s="35" t="n">
        <v>0</v>
      </c>
    </row>
    <row r="651">
      <c r="AG651" t="n">
        <v>645</v>
      </c>
      <c r="AH651" s="35" t="n">
        <v>0</v>
      </c>
    </row>
    <row r="652">
      <c r="AG652" t="n">
        <v>646</v>
      </c>
      <c r="AH652" s="35" t="n">
        <v>0</v>
      </c>
    </row>
    <row r="653">
      <c r="AG653" t="n">
        <v>647</v>
      </c>
      <c r="AH653" s="35" t="n">
        <v>0</v>
      </c>
    </row>
    <row r="654">
      <c r="AG654" t="n">
        <v>648</v>
      </c>
      <c r="AH654" s="35" t="n">
        <v>0</v>
      </c>
    </row>
    <row r="655">
      <c r="AG655" t="n">
        <v>649</v>
      </c>
      <c r="AH655" s="35" t="n">
        <v>0</v>
      </c>
    </row>
    <row r="656">
      <c r="AG656" t="n">
        <v>650</v>
      </c>
      <c r="AH656" s="35" t="n">
        <v>0</v>
      </c>
    </row>
    <row r="657">
      <c r="AG657" t="n">
        <v>651</v>
      </c>
      <c r="AH657" s="35" t="n">
        <v>0</v>
      </c>
    </row>
    <row r="658">
      <c r="AG658" t="n">
        <v>652</v>
      </c>
      <c r="AH658" s="35" t="n">
        <v>0</v>
      </c>
    </row>
    <row r="659">
      <c r="AG659" t="n">
        <v>653</v>
      </c>
      <c r="AH659" s="35" t="n">
        <v>0</v>
      </c>
    </row>
    <row r="660">
      <c r="AG660" t="n">
        <v>654</v>
      </c>
      <c r="AH660" s="35" t="n">
        <v>0</v>
      </c>
    </row>
    <row r="661">
      <c r="AG661" t="n">
        <v>655</v>
      </c>
      <c r="AH661" s="35" t="n">
        <v>0</v>
      </c>
    </row>
    <row r="662">
      <c r="AG662" t="n">
        <v>656</v>
      </c>
      <c r="AH662" s="35" t="n">
        <v>0</v>
      </c>
    </row>
    <row r="663">
      <c r="AG663" t="n">
        <v>657</v>
      </c>
      <c r="AH663" s="35" t="n">
        <v>0</v>
      </c>
    </row>
    <row r="664">
      <c r="AG664" t="n">
        <v>658</v>
      </c>
      <c r="AH664" s="35" t="n">
        <v>0</v>
      </c>
    </row>
    <row r="665">
      <c r="AG665" t="n">
        <v>659</v>
      </c>
      <c r="AH665" s="35" t="n">
        <v>0</v>
      </c>
    </row>
    <row r="666">
      <c r="AG666" t="n">
        <v>660</v>
      </c>
      <c r="AH666" s="35" t="n">
        <v>0</v>
      </c>
    </row>
    <row r="667">
      <c r="AG667" t="n">
        <v>661</v>
      </c>
      <c r="AH667" s="35" t="n">
        <v>0</v>
      </c>
    </row>
    <row r="668">
      <c r="AG668" t="n">
        <v>662</v>
      </c>
      <c r="AH668" s="35" t="n">
        <v>0</v>
      </c>
    </row>
    <row r="669">
      <c r="AG669" t="n">
        <v>663</v>
      </c>
      <c r="AH669" s="35" t="n">
        <v>0</v>
      </c>
    </row>
    <row r="670">
      <c r="AG670" t="n">
        <v>664</v>
      </c>
      <c r="AH670" s="35" t="n">
        <v>0</v>
      </c>
    </row>
    <row r="671">
      <c r="AG671" t="n">
        <v>665</v>
      </c>
      <c r="AH671" s="35" t="n">
        <v>0</v>
      </c>
    </row>
    <row r="672">
      <c r="AG672" t="n">
        <v>666</v>
      </c>
      <c r="AH672" s="35" t="n">
        <v>0</v>
      </c>
    </row>
    <row r="673">
      <c r="AG673" t="n">
        <v>667</v>
      </c>
      <c r="AH673" s="35" t="n">
        <v>0</v>
      </c>
    </row>
    <row r="674">
      <c r="AG674" t="n">
        <v>668</v>
      </c>
      <c r="AH674" s="35" t="n">
        <v>0</v>
      </c>
    </row>
    <row r="675">
      <c r="AG675" t="n">
        <v>669</v>
      </c>
      <c r="AH675" s="35" t="n">
        <v>0</v>
      </c>
    </row>
    <row r="676">
      <c r="AG676" t="n">
        <v>670</v>
      </c>
      <c r="AH676" s="35" t="n">
        <v>0</v>
      </c>
    </row>
    <row r="677">
      <c r="AG677" t="n">
        <v>671</v>
      </c>
      <c r="AH677" s="35" t="n">
        <v>0</v>
      </c>
    </row>
    <row r="678">
      <c r="AG678" t="n">
        <v>672</v>
      </c>
      <c r="AH678" s="35" t="n">
        <v>0</v>
      </c>
    </row>
    <row r="679">
      <c r="AG679" t="n">
        <v>673</v>
      </c>
      <c r="AH679" s="35" t="n">
        <v>0</v>
      </c>
    </row>
    <row r="680">
      <c r="AG680" t="n">
        <v>674</v>
      </c>
      <c r="AH680" s="35" t="n">
        <v>0</v>
      </c>
    </row>
    <row r="681">
      <c r="AG681" t="n">
        <v>675</v>
      </c>
      <c r="AH681" s="35" t="n">
        <v>0</v>
      </c>
    </row>
    <row r="682">
      <c r="AG682" t="n">
        <v>676</v>
      </c>
      <c r="AH682" s="35" t="n">
        <v>0</v>
      </c>
    </row>
    <row r="683">
      <c r="AG683" t="n">
        <v>677</v>
      </c>
      <c r="AH683" s="35" t="n">
        <v>0</v>
      </c>
    </row>
    <row r="684">
      <c r="AG684" t="n">
        <v>678</v>
      </c>
      <c r="AH684" s="35" t="n">
        <v>0</v>
      </c>
    </row>
    <row r="685">
      <c r="AG685" t="n">
        <v>679</v>
      </c>
      <c r="AH685" s="35" t="n">
        <v>0</v>
      </c>
    </row>
    <row r="686">
      <c r="AG686" t="n">
        <v>680</v>
      </c>
      <c r="AH686" s="35" t="n">
        <v>0</v>
      </c>
    </row>
    <row r="687">
      <c r="AG687" t="n">
        <v>681</v>
      </c>
      <c r="AH687" s="35" t="n">
        <v>0</v>
      </c>
    </row>
    <row r="688">
      <c r="AG688" t="n">
        <v>682</v>
      </c>
      <c r="AH688" s="35" t="n">
        <v>0</v>
      </c>
    </row>
    <row r="689">
      <c r="AG689" t="n">
        <v>683</v>
      </c>
      <c r="AH689" s="35" t="n">
        <v>0</v>
      </c>
    </row>
    <row r="690">
      <c r="AG690" t="n">
        <v>684</v>
      </c>
      <c r="AH690" s="35" t="n">
        <v>0</v>
      </c>
    </row>
    <row r="691">
      <c r="AG691" t="n">
        <v>685</v>
      </c>
      <c r="AH691" s="35" t="n">
        <v>0</v>
      </c>
    </row>
    <row r="692">
      <c r="AG692" t="n">
        <v>686</v>
      </c>
      <c r="AH692" s="35" t="n">
        <v>0</v>
      </c>
    </row>
    <row r="693">
      <c r="AG693" t="n">
        <v>687</v>
      </c>
      <c r="AH693" s="35" t="n">
        <v>0</v>
      </c>
    </row>
    <row r="694">
      <c r="AG694" t="n">
        <v>688</v>
      </c>
      <c r="AH694" s="35" t="n">
        <v>0</v>
      </c>
    </row>
    <row r="695">
      <c r="AG695" t="n">
        <v>689</v>
      </c>
      <c r="AH695" s="35" t="n">
        <v>0</v>
      </c>
    </row>
    <row r="696">
      <c r="AG696" t="n">
        <v>690</v>
      </c>
      <c r="AH696" s="35" t="n">
        <v>0</v>
      </c>
    </row>
    <row r="697">
      <c r="AG697" t="n">
        <v>691</v>
      </c>
      <c r="AH697" s="35" t="n">
        <v>0</v>
      </c>
    </row>
    <row r="698">
      <c r="AG698" t="n">
        <v>692</v>
      </c>
      <c r="AH698" s="35" t="n">
        <v>0</v>
      </c>
    </row>
    <row r="699">
      <c r="AG699" t="n">
        <v>693</v>
      </c>
      <c r="AH699" s="35" t="n">
        <v>0</v>
      </c>
    </row>
    <row r="700">
      <c r="AG700" t="n">
        <v>694</v>
      </c>
      <c r="AH700" s="35" t="n">
        <v>0</v>
      </c>
    </row>
    <row r="701">
      <c r="AG701" t="n">
        <v>695</v>
      </c>
      <c r="AH701" s="35" t="n">
        <v>0</v>
      </c>
    </row>
    <row r="702">
      <c r="AG702" t="n">
        <v>696</v>
      </c>
      <c r="AH702" s="35" t="n">
        <v>0</v>
      </c>
    </row>
    <row r="703">
      <c r="AG703" t="n">
        <v>697</v>
      </c>
      <c r="AH703" s="35" t="n">
        <v>0</v>
      </c>
    </row>
    <row r="704">
      <c r="AG704" t="n">
        <v>698</v>
      </c>
      <c r="AH704" s="35" t="n">
        <v>0</v>
      </c>
    </row>
    <row r="705">
      <c r="AG705" t="n">
        <v>699</v>
      </c>
      <c r="AH705" s="35" t="n">
        <v>0</v>
      </c>
    </row>
    <row r="706">
      <c r="AG706" t="n">
        <v>700</v>
      </c>
      <c r="AH706" s="35" t="n">
        <v>0</v>
      </c>
    </row>
    <row r="707">
      <c r="AG707" t="n">
        <v>701</v>
      </c>
      <c r="AH707" s="35" t="n">
        <v>0</v>
      </c>
    </row>
    <row r="708">
      <c r="AG708" t="n">
        <v>702</v>
      </c>
      <c r="AH708" s="35" t="n">
        <v>0</v>
      </c>
    </row>
    <row r="709">
      <c r="AG709" t="n">
        <v>703</v>
      </c>
      <c r="AH709" s="35" t="n">
        <v>0</v>
      </c>
    </row>
    <row r="710">
      <c r="AG710" t="n">
        <v>704</v>
      </c>
      <c r="AH710" s="35" t="n">
        <v>0</v>
      </c>
    </row>
    <row r="711">
      <c r="AG711" t="n">
        <v>705</v>
      </c>
      <c r="AH711" s="35" t="n">
        <v>0</v>
      </c>
    </row>
    <row r="712">
      <c r="AG712" t="n">
        <v>706</v>
      </c>
      <c r="AH712" s="35" t="n">
        <v>0</v>
      </c>
    </row>
    <row r="713">
      <c r="AG713" t="n">
        <v>707</v>
      </c>
      <c r="AH713" s="35" t="n">
        <v>0</v>
      </c>
    </row>
    <row r="714">
      <c r="AG714" t="n">
        <v>708</v>
      </c>
      <c r="AH714" s="35" t="n">
        <v>0</v>
      </c>
    </row>
    <row r="715">
      <c r="AG715" t="n">
        <v>709</v>
      </c>
      <c r="AH715" s="35" t="n">
        <v>0</v>
      </c>
    </row>
    <row r="716">
      <c r="AG716" t="n">
        <v>710</v>
      </c>
      <c r="AH716" s="35" t="n">
        <v>0</v>
      </c>
    </row>
    <row r="717">
      <c r="AG717" t="n">
        <v>711</v>
      </c>
      <c r="AH717" s="35" t="n">
        <v>0</v>
      </c>
    </row>
    <row r="718">
      <c r="AG718" t="n">
        <v>712</v>
      </c>
      <c r="AH718" s="35" t="n">
        <v>0</v>
      </c>
    </row>
    <row r="719">
      <c r="AG719" t="n">
        <v>713</v>
      </c>
      <c r="AH719" s="35" t="n">
        <v>0</v>
      </c>
    </row>
    <row r="720">
      <c r="AG720" t="n">
        <v>714</v>
      </c>
      <c r="AH720" s="35" t="n">
        <v>0</v>
      </c>
    </row>
    <row r="721">
      <c r="AG721" t="n">
        <v>715</v>
      </c>
      <c r="AH721" s="35" t="n">
        <v>0</v>
      </c>
    </row>
    <row r="722">
      <c r="AG722" t="n">
        <v>716</v>
      </c>
      <c r="AH722" s="35" t="n">
        <v>0</v>
      </c>
    </row>
    <row r="723">
      <c r="AG723" t="n">
        <v>717</v>
      </c>
      <c r="AH723" s="35" t="n">
        <v>0</v>
      </c>
    </row>
    <row r="724">
      <c r="AG724" t="n">
        <v>718</v>
      </c>
      <c r="AH724" s="35" t="n">
        <v>0</v>
      </c>
    </row>
    <row r="725">
      <c r="AG725" t="n">
        <v>719</v>
      </c>
      <c r="AH725" s="35" t="n">
        <v>0</v>
      </c>
    </row>
    <row r="726">
      <c r="AG726" t="n">
        <v>720</v>
      </c>
      <c r="AH726" s="35" t="n">
        <v>0</v>
      </c>
    </row>
    <row r="727">
      <c r="AG727" t="n">
        <v>721</v>
      </c>
      <c r="AH727" s="35" t="n">
        <v>0</v>
      </c>
    </row>
    <row r="728">
      <c r="AG728" t="n">
        <v>722</v>
      </c>
      <c r="AH728" s="35" t="n">
        <v>0</v>
      </c>
    </row>
    <row r="729">
      <c r="AG729" t="n">
        <v>723</v>
      </c>
      <c r="AH729" s="35" t="n">
        <v>0</v>
      </c>
    </row>
    <row r="730">
      <c r="AG730" t="n">
        <v>724</v>
      </c>
      <c r="AH730" s="35" t="n">
        <v>0</v>
      </c>
    </row>
    <row r="731">
      <c r="AG731" t="n">
        <v>725</v>
      </c>
      <c r="AH731" s="35" t="n">
        <v>0</v>
      </c>
    </row>
    <row r="732">
      <c r="AG732" t="n">
        <v>726</v>
      </c>
      <c r="AH732" s="35" t="n">
        <v>0</v>
      </c>
    </row>
    <row r="733">
      <c r="AG733" t="n">
        <v>727</v>
      </c>
      <c r="AH733" s="35" t="n">
        <v>0</v>
      </c>
    </row>
    <row r="734">
      <c r="AG734" t="n">
        <v>728</v>
      </c>
      <c r="AH734" s="35" t="n">
        <v>0</v>
      </c>
    </row>
    <row r="735">
      <c r="AG735" t="n">
        <v>729</v>
      </c>
      <c r="AH735" s="35" t="n">
        <v>0</v>
      </c>
    </row>
    <row r="736">
      <c r="AG736" t="n">
        <v>730</v>
      </c>
      <c r="AH736" s="35" t="n">
        <v>0</v>
      </c>
    </row>
    <row r="737">
      <c r="AG737" t="n">
        <v>731</v>
      </c>
      <c r="AH737" s="35" t="n">
        <v>0</v>
      </c>
    </row>
    <row r="738">
      <c r="AG738" t="n">
        <v>732</v>
      </c>
      <c r="AH738" s="35" t="n">
        <v>0</v>
      </c>
    </row>
    <row r="739">
      <c r="AG739" t="n">
        <v>733</v>
      </c>
      <c r="AH739" s="35" t="n">
        <v>0</v>
      </c>
    </row>
    <row r="740">
      <c r="AG740" t="n">
        <v>734</v>
      </c>
      <c r="AH740" s="35" t="n">
        <v>0</v>
      </c>
    </row>
    <row r="741">
      <c r="AG741" t="n">
        <v>735</v>
      </c>
      <c r="AH741" s="35" t="n">
        <v>0</v>
      </c>
    </row>
    <row r="742">
      <c r="AG742" t="n">
        <v>736</v>
      </c>
      <c r="AH742" s="35" t="n">
        <v>0</v>
      </c>
    </row>
    <row r="743">
      <c r="AG743" t="n">
        <v>737</v>
      </c>
      <c r="AH743" s="35" t="n">
        <v>0</v>
      </c>
    </row>
    <row r="744">
      <c r="AG744" t="n">
        <v>738</v>
      </c>
      <c r="AH744" s="35" t="n">
        <v>0</v>
      </c>
    </row>
    <row r="745">
      <c r="AG745" t="n">
        <v>739</v>
      </c>
      <c r="AH745" s="35" t="n">
        <v>0</v>
      </c>
    </row>
    <row r="746">
      <c r="AG746" t="n">
        <v>740</v>
      </c>
      <c r="AH746" s="35" t="n">
        <v>0</v>
      </c>
    </row>
    <row r="747">
      <c r="AG747" t="n">
        <v>741</v>
      </c>
      <c r="AH747" s="35" t="n">
        <v>0</v>
      </c>
    </row>
    <row r="748">
      <c r="AG748" t="n">
        <v>742</v>
      </c>
      <c r="AH748" s="35" t="n">
        <v>0</v>
      </c>
    </row>
    <row r="749">
      <c r="AG749" t="n">
        <v>743</v>
      </c>
      <c r="AH749" s="35" t="n">
        <v>0</v>
      </c>
    </row>
    <row r="750">
      <c r="AG750" t="n">
        <v>744</v>
      </c>
      <c r="AH750" s="35" t="n">
        <v>0</v>
      </c>
    </row>
    <row r="751">
      <c r="AG751" t="n">
        <v>745</v>
      </c>
      <c r="AH751" s="35" t="n">
        <v>0</v>
      </c>
    </row>
    <row r="752">
      <c r="AG752" t="n">
        <v>746</v>
      </c>
      <c r="AH752" s="35" t="n">
        <v>0</v>
      </c>
    </row>
    <row r="753">
      <c r="AG753" t="n">
        <v>747</v>
      </c>
      <c r="AH753" s="35" t="n">
        <v>0</v>
      </c>
    </row>
    <row r="754">
      <c r="AG754" t="n">
        <v>748</v>
      </c>
      <c r="AH754" s="35" t="n">
        <v>0</v>
      </c>
    </row>
    <row r="755">
      <c r="AG755" t="n">
        <v>749</v>
      </c>
      <c r="AH755" s="35" t="n">
        <v>0</v>
      </c>
    </row>
    <row r="756">
      <c r="AG756" t="n">
        <v>750</v>
      </c>
      <c r="AH756" s="35" t="n">
        <v>0</v>
      </c>
    </row>
    <row r="757">
      <c r="AG757" t="n">
        <v>751</v>
      </c>
      <c r="AH757" s="35" t="n">
        <v>0</v>
      </c>
    </row>
    <row r="758">
      <c r="AG758" t="n">
        <v>752</v>
      </c>
      <c r="AH758" s="35" t="n">
        <v>0</v>
      </c>
    </row>
    <row r="759">
      <c r="AG759" t="n">
        <v>753</v>
      </c>
      <c r="AH759" s="35" t="n">
        <v>0</v>
      </c>
    </row>
    <row r="760">
      <c r="AG760" t="n">
        <v>754</v>
      </c>
      <c r="AH760" s="35" t="n">
        <v>0</v>
      </c>
    </row>
    <row r="761">
      <c r="AG761" t="n">
        <v>755</v>
      </c>
      <c r="AH761" s="35" t="n">
        <v>0</v>
      </c>
    </row>
    <row r="762">
      <c r="AG762" t="n">
        <v>756</v>
      </c>
      <c r="AH762" s="35" t="n">
        <v>0</v>
      </c>
    </row>
    <row r="763">
      <c r="AG763" t="n">
        <v>757</v>
      </c>
      <c r="AH763" s="35" t="n">
        <v>0</v>
      </c>
    </row>
    <row r="764">
      <c r="AG764" t="n">
        <v>758</v>
      </c>
      <c r="AH764" s="35" t="n">
        <v>0</v>
      </c>
    </row>
    <row r="765">
      <c r="AG765" t="n">
        <v>759</v>
      </c>
      <c r="AH765" s="35" t="n">
        <v>0</v>
      </c>
    </row>
    <row r="766">
      <c r="AG766" t="n">
        <v>760</v>
      </c>
      <c r="AH766" s="35" t="n">
        <v>0</v>
      </c>
    </row>
    <row r="767">
      <c r="AG767" t="n">
        <v>761</v>
      </c>
      <c r="AH767" s="35" t="n">
        <v>0</v>
      </c>
    </row>
    <row r="768">
      <c r="AG768" t="n">
        <v>762</v>
      </c>
      <c r="AH768" s="35" t="n">
        <v>0</v>
      </c>
    </row>
    <row r="769">
      <c r="AG769" t="n">
        <v>763</v>
      </c>
      <c r="AH769" s="35" t="n">
        <v>0</v>
      </c>
    </row>
    <row r="770">
      <c r="AG770" t="n">
        <v>764</v>
      </c>
      <c r="AH770" s="35" t="n">
        <v>0</v>
      </c>
    </row>
    <row r="771">
      <c r="AG771" t="n">
        <v>765</v>
      </c>
      <c r="AH771" s="35" t="n">
        <v>0</v>
      </c>
    </row>
    <row r="772">
      <c r="AG772" t="n">
        <v>766</v>
      </c>
      <c r="AH772" s="35" t="n">
        <v>0</v>
      </c>
    </row>
    <row r="773">
      <c r="AG773" t="n">
        <v>767</v>
      </c>
      <c r="AH773" s="35" t="n">
        <v>0</v>
      </c>
    </row>
    <row r="774">
      <c r="AG774" t="n">
        <v>768</v>
      </c>
      <c r="AH774" s="35" t="n">
        <v>0</v>
      </c>
    </row>
    <row r="775">
      <c r="AG775" t="n">
        <v>769</v>
      </c>
      <c r="AH775" s="35" t="n">
        <v>0</v>
      </c>
    </row>
    <row r="776">
      <c r="AG776" t="n">
        <v>770</v>
      </c>
      <c r="AH776" s="35" t="n">
        <v>0</v>
      </c>
    </row>
    <row r="777">
      <c r="AG777" t="n">
        <v>771</v>
      </c>
      <c r="AH777" s="35" t="n">
        <v>0</v>
      </c>
    </row>
    <row r="778">
      <c r="AG778" t="n">
        <v>772</v>
      </c>
      <c r="AH778" s="35" t="n">
        <v>0</v>
      </c>
    </row>
    <row r="779">
      <c r="AG779" t="n">
        <v>773</v>
      </c>
      <c r="AH779" s="35" t="n">
        <v>0</v>
      </c>
    </row>
    <row r="780">
      <c r="AG780" t="n">
        <v>774</v>
      </c>
      <c r="AH780" s="35" t="n">
        <v>0</v>
      </c>
    </row>
    <row r="781">
      <c r="AG781" t="n">
        <v>775</v>
      </c>
      <c r="AH781" s="35" t="n">
        <v>0</v>
      </c>
    </row>
    <row r="782">
      <c r="AG782" t="n">
        <v>776</v>
      </c>
      <c r="AH782" s="35" t="n">
        <v>0</v>
      </c>
    </row>
    <row r="783">
      <c r="AG783" t="n">
        <v>777</v>
      </c>
      <c r="AH783" s="35" t="n">
        <v>0</v>
      </c>
    </row>
    <row r="784">
      <c r="AG784" t="n">
        <v>778</v>
      </c>
      <c r="AH784" s="35" t="n">
        <v>0</v>
      </c>
    </row>
    <row r="785">
      <c r="AG785" t="n">
        <v>779</v>
      </c>
      <c r="AH785" s="35" t="n">
        <v>0</v>
      </c>
    </row>
    <row r="786">
      <c r="AG786" t="n">
        <v>780</v>
      </c>
      <c r="AH786" s="35" t="n">
        <v>0</v>
      </c>
    </row>
    <row r="787">
      <c r="AG787" t="n">
        <v>781</v>
      </c>
      <c r="AH787" s="35" t="n">
        <v>0</v>
      </c>
    </row>
    <row r="788">
      <c r="AG788" t="n">
        <v>782</v>
      </c>
      <c r="AH788" s="35" t="n">
        <v>0</v>
      </c>
    </row>
    <row r="789">
      <c r="AG789" t="n">
        <v>783</v>
      </c>
      <c r="AH789" s="35" t="n">
        <v>0</v>
      </c>
    </row>
    <row r="790">
      <c r="AG790" t="n">
        <v>784</v>
      </c>
      <c r="AH790" s="35" t="n">
        <v>0</v>
      </c>
    </row>
    <row r="791">
      <c r="AG791" t="n">
        <v>785</v>
      </c>
      <c r="AH791" s="35" t="n">
        <v>0</v>
      </c>
    </row>
    <row r="792">
      <c r="AG792" t="n">
        <v>786</v>
      </c>
      <c r="AH792" s="35" t="n">
        <v>0</v>
      </c>
    </row>
    <row r="793">
      <c r="AG793" t="n">
        <v>787</v>
      </c>
      <c r="AH793" s="35" t="n">
        <v>0</v>
      </c>
    </row>
    <row r="794">
      <c r="AG794" t="n">
        <v>788</v>
      </c>
      <c r="AH794" s="35" t="n">
        <v>0</v>
      </c>
    </row>
    <row r="795">
      <c r="AG795" t="n">
        <v>789</v>
      </c>
      <c r="AH795" s="35" t="n">
        <v>0</v>
      </c>
    </row>
    <row r="796">
      <c r="AG796" t="n">
        <v>790</v>
      </c>
      <c r="AH796" s="35" t="n">
        <v>0</v>
      </c>
    </row>
    <row r="797">
      <c r="AG797" t="n">
        <v>791</v>
      </c>
      <c r="AH797" s="35" t="n">
        <v>0</v>
      </c>
    </row>
    <row r="798">
      <c r="AG798" t="n">
        <v>792</v>
      </c>
      <c r="AH798" s="35" t="n">
        <v>0</v>
      </c>
    </row>
    <row r="799">
      <c r="AG799" t="n">
        <v>793</v>
      </c>
      <c r="AH799" s="35" t="n">
        <v>0</v>
      </c>
    </row>
    <row r="800">
      <c r="AG800" t="n">
        <v>794</v>
      </c>
      <c r="AH800" s="35" t="n">
        <v>0</v>
      </c>
    </row>
    <row r="801">
      <c r="AG801" t="n">
        <v>795</v>
      </c>
      <c r="AH801" s="35" t="n">
        <v>0</v>
      </c>
    </row>
    <row r="802">
      <c r="AG802" t="n">
        <v>796</v>
      </c>
      <c r="AH802" s="35" t="n">
        <v>0</v>
      </c>
    </row>
    <row r="803">
      <c r="AG803" t="n">
        <v>797</v>
      </c>
      <c r="AH803" s="35" t="n">
        <v>0</v>
      </c>
    </row>
    <row r="804">
      <c r="AG804" t="n">
        <v>798</v>
      </c>
      <c r="AH804" s="35" t="n">
        <v>0</v>
      </c>
    </row>
    <row r="805">
      <c r="AG805" t="n">
        <v>799</v>
      </c>
      <c r="AH805" s="35" t="n">
        <v>0</v>
      </c>
    </row>
    <row r="806">
      <c r="AG806" t="n">
        <v>800</v>
      </c>
      <c r="AH806" s="35" t="n">
        <v>0</v>
      </c>
    </row>
    <row r="807">
      <c r="AG807" t="n">
        <v>801</v>
      </c>
      <c r="AH807" s="35" t="n">
        <v>0</v>
      </c>
    </row>
    <row r="808">
      <c r="AG808" t="n">
        <v>802</v>
      </c>
      <c r="AH808" s="35" t="n">
        <v>0</v>
      </c>
    </row>
    <row r="809">
      <c r="AG809" t="n">
        <v>803</v>
      </c>
      <c r="AH809" s="35" t="n">
        <v>0</v>
      </c>
    </row>
    <row r="810">
      <c r="AG810" t="n">
        <v>804</v>
      </c>
      <c r="AH810" s="35" t="n">
        <v>0</v>
      </c>
    </row>
    <row r="811">
      <c r="AG811" t="n">
        <v>805</v>
      </c>
      <c r="AH811" s="35" t="n">
        <v>0</v>
      </c>
    </row>
    <row r="812">
      <c r="AG812" t="n">
        <v>806</v>
      </c>
      <c r="AH812" s="35" t="n">
        <v>0</v>
      </c>
    </row>
    <row r="813">
      <c r="AG813" t="n">
        <v>807</v>
      </c>
      <c r="AH813" s="35" t="n">
        <v>0</v>
      </c>
    </row>
    <row r="814">
      <c r="AG814" t="n">
        <v>808</v>
      </c>
      <c r="AH814" s="35" t="n">
        <v>0</v>
      </c>
    </row>
    <row r="815">
      <c r="AG815" t="n">
        <v>809</v>
      </c>
      <c r="AH815" s="35" t="n">
        <v>0</v>
      </c>
    </row>
    <row r="816">
      <c r="AG816" t="n">
        <v>810</v>
      </c>
      <c r="AH816" s="35" t="n">
        <v>0</v>
      </c>
    </row>
    <row r="817">
      <c r="AG817" t="n">
        <v>811</v>
      </c>
      <c r="AH817" s="35" t="n">
        <v>0</v>
      </c>
    </row>
    <row r="818">
      <c r="AG818" t="n">
        <v>812</v>
      </c>
      <c r="AH818" s="35" t="n">
        <v>0</v>
      </c>
    </row>
    <row r="819">
      <c r="AG819" t="n">
        <v>813</v>
      </c>
      <c r="AH819" s="35" t="n">
        <v>0</v>
      </c>
    </row>
    <row r="820">
      <c r="AG820" t="n">
        <v>814</v>
      </c>
      <c r="AH820" s="35" t="n">
        <v>0</v>
      </c>
    </row>
    <row r="821">
      <c r="AG821" t="n">
        <v>815</v>
      </c>
      <c r="AH821" s="35" t="n">
        <v>0</v>
      </c>
    </row>
    <row r="822">
      <c r="AG822" t="n">
        <v>816</v>
      </c>
      <c r="AH822" s="35" t="n">
        <v>0</v>
      </c>
    </row>
    <row r="823">
      <c r="AG823" t="n">
        <v>817</v>
      </c>
      <c r="AH823" s="35" t="n">
        <v>0</v>
      </c>
    </row>
    <row r="824">
      <c r="AG824" t="n">
        <v>818</v>
      </c>
      <c r="AH824" s="35" t="n">
        <v>0</v>
      </c>
    </row>
    <row r="825">
      <c r="AG825" t="n">
        <v>819</v>
      </c>
      <c r="AH825" s="35" t="n">
        <v>0</v>
      </c>
    </row>
    <row r="826">
      <c r="AG826" t="n">
        <v>820</v>
      </c>
      <c r="AH826" s="35" t="n">
        <v>0</v>
      </c>
    </row>
    <row r="827">
      <c r="AG827" t="n">
        <v>821</v>
      </c>
      <c r="AH827" s="35" t="n">
        <v>0</v>
      </c>
    </row>
    <row r="828">
      <c r="AG828" t="n">
        <v>822</v>
      </c>
      <c r="AH828" s="35" t="n">
        <v>0</v>
      </c>
    </row>
    <row r="829">
      <c r="AG829" t="n">
        <v>823</v>
      </c>
      <c r="AH829" s="35" t="n">
        <v>0</v>
      </c>
    </row>
    <row r="830">
      <c r="AG830" t="n">
        <v>824</v>
      </c>
      <c r="AH830" s="35" t="n">
        <v>0</v>
      </c>
    </row>
    <row r="831">
      <c r="AG831" t="n">
        <v>825</v>
      </c>
      <c r="AH831" s="35" t="n">
        <v>0</v>
      </c>
    </row>
    <row r="832">
      <c r="AG832" t="n">
        <v>826</v>
      </c>
      <c r="AH832" s="35" t="n">
        <v>0</v>
      </c>
    </row>
    <row r="833">
      <c r="AG833" t="n">
        <v>827</v>
      </c>
      <c r="AH833" s="35" t="n">
        <v>0</v>
      </c>
    </row>
    <row r="834">
      <c r="AG834" t="n">
        <v>828</v>
      </c>
      <c r="AH834" s="35" t="n">
        <v>0</v>
      </c>
    </row>
    <row r="835">
      <c r="AG835" t="n">
        <v>829</v>
      </c>
      <c r="AH835" s="35" t="n">
        <v>0</v>
      </c>
    </row>
    <row r="836">
      <c r="AG836" t="n">
        <v>830</v>
      </c>
      <c r="AH836" s="35" t="n">
        <v>0</v>
      </c>
    </row>
    <row r="837">
      <c r="AG837" t="n">
        <v>831</v>
      </c>
      <c r="AH837" s="35" t="n">
        <v>0</v>
      </c>
    </row>
    <row r="838">
      <c r="AG838" t="n">
        <v>832</v>
      </c>
      <c r="AH838" s="35" t="n">
        <v>0</v>
      </c>
    </row>
    <row r="839">
      <c r="AG839" t="n">
        <v>833</v>
      </c>
      <c r="AH839" s="35" t="n">
        <v>0</v>
      </c>
    </row>
    <row r="840">
      <c r="AG840" t="n">
        <v>834</v>
      </c>
      <c r="AH840" s="35" t="n">
        <v>0</v>
      </c>
    </row>
    <row r="841">
      <c r="AG841" t="n">
        <v>835</v>
      </c>
      <c r="AH841" s="35" t="n">
        <v>0</v>
      </c>
    </row>
    <row r="842">
      <c r="AG842" t="n">
        <v>836</v>
      </c>
      <c r="AH842" s="35" t="n">
        <v>0</v>
      </c>
    </row>
    <row r="843">
      <c r="AG843" t="n">
        <v>837</v>
      </c>
      <c r="AH843" s="35" t="n">
        <v>0</v>
      </c>
    </row>
    <row r="844">
      <c r="AG844" t="n">
        <v>838</v>
      </c>
      <c r="AH844" s="35" t="n">
        <v>0</v>
      </c>
    </row>
    <row r="845">
      <c r="AG845" t="n">
        <v>839</v>
      </c>
      <c r="AH845" s="35" t="n">
        <v>0</v>
      </c>
    </row>
    <row r="846">
      <c r="AG846" t="n">
        <v>840</v>
      </c>
      <c r="AH846" s="35" t="n">
        <v>0</v>
      </c>
    </row>
    <row r="847">
      <c r="AG847" t="n">
        <v>841</v>
      </c>
      <c r="AH847" s="35" t="n">
        <v>0</v>
      </c>
    </row>
    <row r="848">
      <c r="AG848" t="n">
        <v>842</v>
      </c>
      <c r="AH848" s="35" t="n">
        <v>0</v>
      </c>
    </row>
    <row r="849">
      <c r="AG849" t="n">
        <v>843</v>
      </c>
      <c r="AH849" s="35" t="n">
        <v>0</v>
      </c>
    </row>
    <row r="850">
      <c r="AG850" t="n">
        <v>844</v>
      </c>
      <c r="AH850" s="35" t="n">
        <v>0</v>
      </c>
    </row>
    <row r="851">
      <c r="AG851" t="n">
        <v>845</v>
      </c>
      <c r="AH851" s="35" t="n">
        <v>0</v>
      </c>
    </row>
    <row r="852">
      <c r="AG852" t="n">
        <v>846</v>
      </c>
      <c r="AH852" s="35" t="n">
        <v>0</v>
      </c>
    </row>
    <row r="853">
      <c r="AG853" t="n">
        <v>847</v>
      </c>
      <c r="AH853" s="35" t="n">
        <v>0</v>
      </c>
    </row>
    <row r="854">
      <c r="AG854" t="n">
        <v>848</v>
      </c>
      <c r="AH854" s="35" t="n">
        <v>0</v>
      </c>
    </row>
    <row r="855">
      <c r="AG855" t="n">
        <v>849</v>
      </c>
      <c r="AH855" s="35" t="n">
        <v>0</v>
      </c>
    </row>
    <row r="856">
      <c r="AG856" t="n">
        <v>850</v>
      </c>
      <c r="AH856" s="35" t="n">
        <v>0</v>
      </c>
    </row>
    <row r="857">
      <c r="AG857" t="n">
        <v>851</v>
      </c>
      <c r="AH857" s="35" t="n">
        <v>0</v>
      </c>
    </row>
    <row r="858">
      <c r="AG858" t="n">
        <v>852</v>
      </c>
      <c r="AH858" s="35" t="n">
        <v>0</v>
      </c>
    </row>
    <row r="859">
      <c r="AG859" t="n">
        <v>853</v>
      </c>
      <c r="AH859" s="35" t="n">
        <v>0</v>
      </c>
    </row>
    <row r="860">
      <c r="AG860" t="n">
        <v>854</v>
      </c>
      <c r="AH860" s="35" t="n">
        <v>0</v>
      </c>
    </row>
    <row r="861">
      <c r="AG861" t="n">
        <v>855</v>
      </c>
      <c r="AH861" s="35" t="n">
        <v>0</v>
      </c>
    </row>
    <row r="862">
      <c r="AG862" t="n">
        <v>856</v>
      </c>
      <c r="AH862" s="35" t="n">
        <v>0</v>
      </c>
    </row>
    <row r="863">
      <c r="AG863" t="n">
        <v>857</v>
      </c>
      <c r="AH863" s="35" t="n">
        <v>0</v>
      </c>
    </row>
    <row r="864">
      <c r="AG864" t="n">
        <v>858</v>
      </c>
      <c r="AH864" s="35" t="n">
        <v>0</v>
      </c>
    </row>
    <row r="865">
      <c r="AG865" t="n">
        <v>859</v>
      </c>
      <c r="AH865" s="35" t="n">
        <v>0</v>
      </c>
    </row>
    <row r="866">
      <c r="AG866" t="n">
        <v>860</v>
      </c>
      <c r="AH866" s="35" t="n">
        <v>0</v>
      </c>
    </row>
    <row r="867">
      <c r="AG867" t="n">
        <v>861</v>
      </c>
      <c r="AH867" s="35" t="n">
        <v>0</v>
      </c>
    </row>
    <row r="868">
      <c r="AG868" t="n">
        <v>862</v>
      </c>
      <c r="AH868" s="35" t="n">
        <v>0</v>
      </c>
    </row>
    <row r="869">
      <c r="AG869" t="n">
        <v>863</v>
      </c>
      <c r="AH869" s="35" t="n">
        <v>0</v>
      </c>
    </row>
    <row r="870">
      <c r="AG870" t="n">
        <v>864</v>
      </c>
      <c r="AH870" s="35" t="n">
        <v>0</v>
      </c>
    </row>
    <row r="871">
      <c r="AG871" t="n">
        <v>865</v>
      </c>
      <c r="AH871" s="35" t="n">
        <v>0</v>
      </c>
    </row>
    <row r="872">
      <c r="AG872" t="n">
        <v>866</v>
      </c>
      <c r="AH872" s="35" t="n">
        <v>0</v>
      </c>
    </row>
    <row r="873">
      <c r="AG873" t="n">
        <v>867</v>
      </c>
      <c r="AH873" s="35" t="n">
        <v>0</v>
      </c>
    </row>
    <row r="874">
      <c r="AG874" t="n">
        <v>868</v>
      </c>
      <c r="AH874" s="35" t="n">
        <v>0</v>
      </c>
    </row>
    <row r="875">
      <c r="AG875" t="n">
        <v>869</v>
      </c>
      <c r="AH875" s="35" t="n">
        <v>0</v>
      </c>
    </row>
    <row r="876">
      <c r="AG876" t="n">
        <v>870</v>
      </c>
      <c r="AH876" s="35" t="n">
        <v>0</v>
      </c>
    </row>
    <row r="877">
      <c r="AG877" t="n">
        <v>871</v>
      </c>
      <c r="AH877" s="35" t="n">
        <v>0</v>
      </c>
    </row>
    <row r="878">
      <c r="AG878" t="n">
        <v>872</v>
      </c>
      <c r="AH878" s="35" t="n">
        <v>0</v>
      </c>
    </row>
    <row r="879">
      <c r="AG879" t="n">
        <v>873</v>
      </c>
      <c r="AH879" s="35" t="n">
        <v>0</v>
      </c>
    </row>
    <row r="880">
      <c r="AG880" t="n">
        <v>874</v>
      </c>
      <c r="AH880" s="35" t="n">
        <v>0</v>
      </c>
    </row>
    <row r="881">
      <c r="AG881" t="n">
        <v>875</v>
      </c>
      <c r="AH881" s="35" t="n">
        <v>0</v>
      </c>
    </row>
    <row r="882">
      <c r="AG882" t="n">
        <v>876</v>
      </c>
      <c r="AH882" s="35" t="n">
        <v>0</v>
      </c>
    </row>
    <row r="883">
      <c r="AG883" t="n">
        <v>877</v>
      </c>
      <c r="AH883" s="35" t="n">
        <v>0</v>
      </c>
    </row>
    <row r="884">
      <c r="AG884" t="n">
        <v>878</v>
      </c>
      <c r="AH884" s="35" t="n">
        <v>0</v>
      </c>
    </row>
    <row r="885">
      <c r="AG885" t="n">
        <v>879</v>
      </c>
      <c r="AH885" s="35" t="n">
        <v>0</v>
      </c>
    </row>
    <row r="886">
      <c r="AG886" t="n">
        <v>880</v>
      </c>
      <c r="AH886" s="35" t="n">
        <v>0</v>
      </c>
    </row>
    <row r="887">
      <c r="AG887" t="n">
        <v>881</v>
      </c>
      <c r="AH887" s="35" t="n">
        <v>0</v>
      </c>
    </row>
    <row r="888">
      <c r="AG888" t="n">
        <v>882</v>
      </c>
      <c r="AH888" s="35" t="n">
        <v>0</v>
      </c>
    </row>
    <row r="889">
      <c r="AG889" t="n">
        <v>883</v>
      </c>
      <c r="AH889" s="35" t="n">
        <v>0</v>
      </c>
    </row>
    <row r="890">
      <c r="AG890" t="n">
        <v>884</v>
      </c>
      <c r="AH890" s="35" t="n">
        <v>0</v>
      </c>
    </row>
    <row r="891">
      <c r="AG891" t="n">
        <v>885</v>
      </c>
      <c r="AH891" s="35" t="n">
        <v>0</v>
      </c>
    </row>
    <row r="892">
      <c r="AG892" t="n">
        <v>886</v>
      </c>
      <c r="AH892" s="35" t="n">
        <v>0</v>
      </c>
    </row>
    <row r="893">
      <c r="AG893" t="n">
        <v>887</v>
      </c>
      <c r="AH893" s="35" t="n">
        <v>0</v>
      </c>
    </row>
    <row r="894">
      <c r="AG894" t="n">
        <v>888</v>
      </c>
      <c r="AH894" s="35" t="n">
        <v>0</v>
      </c>
    </row>
    <row r="895">
      <c r="AG895" t="n">
        <v>889</v>
      </c>
      <c r="AH895" s="35" t="n">
        <v>0</v>
      </c>
    </row>
    <row r="896">
      <c r="AG896" t="n">
        <v>890</v>
      </c>
      <c r="AH896" s="35" t="n">
        <v>0</v>
      </c>
    </row>
    <row r="897">
      <c r="AG897" t="n">
        <v>891</v>
      </c>
      <c r="AH897" s="35" t="n">
        <v>0</v>
      </c>
    </row>
    <row r="898">
      <c r="AG898" t="n">
        <v>892</v>
      </c>
      <c r="AH898" s="35" t="n">
        <v>0</v>
      </c>
    </row>
    <row r="899">
      <c r="AG899" t="n">
        <v>893</v>
      </c>
      <c r="AH899" s="35" t="n">
        <v>0</v>
      </c>
    </row>
    <row r="900">
      <c r="AG900" t="n">
        <v>894</v>
      </c>
      <c r="AH900" s="35" t="n">
        <v>0</v>
      </c>
    </row>
    <row r="901">
      <c r="AG901" t="n">
        <v>895</v>
      </c>
      <c r="AH901" s="35" t="n">
        <v>0</v>
      </c>
    </row>
    <row r="902">
      <c r="AG902" t="n">
        <v>896</v>
      </c>
      <c r="AH902" s="35" t="n">
        <v>0</v>
      </c>
    </row>
    <row r="903">
      <c r="AG903" t="n">
        <v>897</v>
      </c>
      <c r="AH903" s="35" t="n">
        <v>0</v>
      </c>
    </row>
    <row r="904">
      <c r="AG904" t="n">
        <v>898</v>
      </c>
      <c r="AH904" s="35" t="n">
        <v>0</v>
      </c>
    </row>
    <row r="905">
      <c r="AG905" t="n">
        <v>899</v>
      </c>
      <c r="AH905" s="35" t="n">
        <v>0</v>
      </c>
    </row>
    <row r="906">
      <c r="AG906" t="n">
        <v>900</v>
      </c>
      <c r="AH906" s="35" t="n">
        <v>0</v>
      </c>
    </row>
    <row r="907">
      <c r="AG907" t="n">
        <v>901</v>
      </c>
      <c r="AH907" s="35" t="n">
        <v>0</v>
      </c>
    </row>
    <row r="908">
      <c r="AG908" t="n">
        <v>902</v>
      </c>
      <c r="AH908" s="35" t="n">
        <v>0</v>
      </c>
    </row>
    <row r="909">
      <c r="AG909" t="n">
        <v>903</v>
      </c>
      <c r="AH909" s="35" t="n">
        <v>0</v>
      </c>
    </row>
    <row r="910">
      <c r="AG910" t="n">
        <v>904</v>
      </c>
      <c r="AH910" s="35" t="n">
        <v>0</v>
      </c>
    </row>
    <row r="911">
      <c r="AG911" t="n">
        <v>905</v>
      </c>
      <c r="AH911" s="35" t="n">
        <v>0</v>
      </c>
    </row>
    <row r="912">
      <c r="AG912" t="n">
        <v>906</v>
      </c>
      <c r="AH912" s="35" t="n">
        <v>0</v>
      </c>
    </row>
    <row r="913">
      <c r="AG913" t="n">
        <v>907</v>
      </c>
      <c r="AH913" s="35" t="n">
        <v>0</v>
      </c>
    </row>
    <row r="914">
      <c r="AG914" t="n">
        <v>908</v>
      </c>
      <c r="AH914" s="35" t="n">
        <v>0</v>
      </c>
    </row>
    <row r="915">
      <c r="AG915" t="n">
        <v>909</v>
      </c>
      <c r="AH915" s="35" t="n">
        <v>0</v>
      </c>
    </row>
    <row r="916">
      <c r="AG916" t="n">
        <v>910</v>
      </c>
      <c r="AH916" s="35" t="n">
        <v>0</v>
      </c>
    </row>
    <row r="917">
      <c r="AG917" t="n">
        <v>911</v>
      </c>
      <c r="AH917" s="35" t="n">
        <v>0</v>
      </c>
    </row>
    <row r="918">
      <c r="AG918" t="n">
        <v>912</v>
      </c>
      <c r="AH918" s="35" t="n">
        <v>0</v>
      </c>
    </row>
    <row r="919">
      <c r="AG919" t="n">
        <v>913</v>
      </c>
      <c r="AH919" s="35" t="n">
        <v>0</v>
      </c>
    </row>
    <row r="920">
      <c r="AG920" t="n">
        <v>914</v>
      </c>
      <c r="AH920" s="35" t="n">
        <v>0</v>
      </c>
    </row>
    <row r="921">
      <c r="AG921" t="n">
        <v>915</v>
      </c>
      <c r="AH921" s="35" t="n">
        <v>0</v>
      </c>
    </row>
    <row r="922">
      <c r="AG922" t="n">
        <v>916</v>
      </c>
      <c r="AH922" s="35" t="n">
        <v>0</v>
      </c>
    </row>
    <row r="923">
      <c r="AG923" t="n">
        <v>917</v>
      </c>
      <c r="AH923" s="35" t="n">
        <v>0</v>
      </c>
    </row>
    <row r="924">
      <c r="AG924" t="n">
        <v>918</v>
      </c>
      <c r="AH924" s="35" t="n">
        <v>0</v>
      </c>
    </row>
    <row r="925">
      <c r="AG925" t="n">
        <v>919</v>
      </c>
      <c r="AH925" s="35" t="n">
        <v>0</v>
      </c>
    </row>
    <row r="926">
      <c r="AG926" t="n">
        <v>920</v>
      </c>
      <c r="AH926" s="35" t="n">
        <v>0</v>
      </c>
    </row>
    <row r="927">
      <c r="AG927" t="n">
        <v>921</v>
      </c>
      <c r="AH927" s="35" t="n">
        <v>0</v>
      </c>
    </row>
    <row r="928">
      <c r="AG928" t="n">
        <v>922</v>
      </c>
      <c r="AH928" s="35" t="n">
        <v>0</v>
      </c>
    </row>
    <row r="929">
      <c r="AG929" t="n">
        <v>923</v>
      </c>
      <c r="AH929" s="35" t="n">
        <v>0</v>
      </c>
    </row>
    <row r="930">
      <c r="AG930" t="n">
        <v>924</v>
      </c>
      <c r="AH930" s="35" t="n">
        <v>0</v>
      </c>
    </row>
    <row r="931">
      <c r="AG931" t="n">
        <v>925</v>
      </c>
      <c r="AH931" s="35" t="n">
        <v>0</v>
      </c>
    </row>
    <row r="932">
      <c r="AG932" t="n">
        <v>926</v>
      </c>
      <c r="AH932" s="35" t="n">
        <v>0</v>
      </c>
    </row>
    <row r="933">
      <c r="AG933" t="n">
        <v>927</v>
      </c>
      <c r="AH933" s="35" t="n">
        <v>0</v>
      </c>
    </row>
    <row r="934">
      <c r="AG934" t="n">
        <v>928</v>
      </c>
      <c r="AH934" s="35" t="n">
        <v>0</v>
      </c>
    </row>
    <row r="935">
      <c r="AG935" t="n">
        <v>929</v>
      </c>
      <c r="AH935" s="35" t="n">
        <v>0</v>
      </c>
    </row>
    <row r="936">
      <c r="AG936" t="n">
        <v>930</v>
      </c>
      <c r="AH936" s="35" t="n">
        <v>0</v>
      </c>
    </row>
    <row r="937">
      <c r="AG937" t="n">
        <v>931</v>
      </c>
      <c r="AH937" s="35" t="n">
        <v>0</v>
      </c>
    </row>
    <row r="938">
      <c r="AG938" t="n">
        <v>932</v>
      </c>
      <c r="AH938" s="35" t="n">
        <v>0</v>
      </c>
    </row>
    <row r="939">
      <c r="AG939" t="n">
        <v>933</v>
      </c>
      <c r="AH939" s="35" t="n">
        <v>0</v>
      </c>
    </row>
    <row r="940">
      <c r="AG940" t="n">
        <v>934</v>
      </c>
      <c r="AH940" s="35" t="n">
        <v>0</v>
      </c>
    </row>
    <row r="941">
      <c r="AG941" t="n">
        <v>935</v>
      </c>
      <c r="AH941" s="35" t="n">
        <v>0</v>
      </c>
    </row>
    <row r="942">
      <c r="AG942" t="n">
        <v>936</v>
      </c>
      <c r="AH942" s="35" t="n">
        <v>0</v>
      </c>
    </row>
    <row r="943">
      <c r="AG943" t="n">
        <v>937</v>
      </c>
      <c r="AH943" s="35" t="n">
        <v>0</v>
      </c>
    </row>
    <row r="944">
      <c r="AG944" t="n">
        <v>938</v>
      </c>
      <c r="AH944" s="35" t="n">
        <v>0</v>
      </c>
    </row>
    <row r="945">
      <c r="AG945" t="n">
        <v>939</v>
      </c>
      <c r="AH945" s="35" t="n">
        <v>0</v>
      </c>
    </row>
    <row r="946">
      <c r="AG946" t="n">
        <v>940</v>
      </c>
      <c r="AH946" s="35" t="n">
        <v>0</v>
      </c>
    </row>
    <row r="947">
      <c r="AG947" t="n">
        <v>941</v>
      </c>
      <c r="AH947" s="35" t="n">
        <v>0</v>
      </c>
    </row>
    <row r="948">
      <c r="AG948" t="n">
        <v>942</v>
      </c>
      <c r="AH948" s="35" t="n">
        <v>0</v>
      </c>
    </row>
    <row r="949">
      <c r="AG949" t="n">
        <v>943</v>
      </c>
      <c r="AH949" s="35" t="n">
        <v>0</v>
      </c>
    </row>
    <row r="950">
      <c r="AG950" t="n">
        <v>944</v>
      </c>
      <c r="AH950" s="35" t="n">
        <v>0</v>
      </c>
    </row>
    <row r="951">
      <c r="AG951" t="n">
        <v>945</v>
      </c>
      <c r="AH951" s="35" t="n">
        <v>0</v>
      </c>
    </row>
    <row r="952">
      <c r="AG952" t="n">
        <v>946</v>
      </c>
      <c r="AH952" s="35" t="n">
        <v>0</v>
      </c>
    </row>
    <row r="953">
      <c r="AG953" t="n">
        <v>947</v>
      </c>
      <c r="AH953" s="35" t="n">
        <v>0</v>
      </c>
    </row>
    <row r="954">
      <c r="AG954" t="n">
        <v>948</v>
      </c>
      <c r="AH954" s="35" t="n">
        <v>0</v>
      </c>
    </row>
    <row r="955">
      <c r="AG955" t="n">
        <v>949</v>
      </c>
      <c r="AH955" s="35" t="n">
        <v>0</v>
      </c>
    </row>
    <row r="956">
      <c r="AG956" t="n">
        <v>950</v>
      </c>
      <c r="AH956" s="35" t="n">
        <v>0</v>
      </c>
    </row>
    <row r="957">
      <c r="AG957" t="n">
        <v>951</v>
      </c>
      <c r="AH957" s="35" t="n">
        <v>0</v>
      </c>
    </row>
    <row r="958">
      <c r="AG958" t="n">
        <v>952</v>
      </c>
      <c r="AH958" s="35" t="n">
        <v>0</v>
      </c>
    </row>
    <row r="959">
      <c r="AG959" t="n">
        <v>953</v>
      </c>
      <c r="AH959" s="35" t="n">
        <v>0</v>
      </c>
    </row>
    <row r="960">
      <c r="AG960" t="n">
        <v>954</v>
      </c>
      <c r="AH960" s="35" t="n">
        <v>0</v>
      </c>
    </row>
    <row r="961">
      <c r="AG961" t="n">
        <v>955</v>
      </c>
      <c r="AH961" s="35" t="n">
        <v>0</v>
      </c>
    </row>
    <row r="962">
      <c r="AG962" t="n">
        <v>956</v>
      </c>
      <c r="AH962" s="35" t="n">
        <v>0</v>
      </c>
    </row>
    <row r="963">
      <c r="AG963" t="n">
        <v>957</v>
      </c>
      <c r="AH963" s="35" t="n">
        <v>0</v>
      </c>
    </row>
    <row r="964">
      <c r="AG964" t="n">
        <v>958</v>
      </c>
      <c r="AH964" s="35" t="n">
        <v>0</v>
      </c>
    </row>
    <row r="965">
      <c r="AG965" t="n">
        <v>959</v>
      </c>
      <c r="AH965" s="35" t="n">
        <v>0</v>
      </c>
    </row>
    <row r="966">
      <c r="AG966" t="n">
        <v>960</v>
      </c>
      <c r="AH966" s="35" t="n">
        <v>0</v>
      </c>
    </row>
    <row r="967">
      <c r="AG967" t="n">
        <v>961</v>
      </c>
      <c r="AH967" s="35" t="n">
        <v>0</v>
      </c>
    </row>
    <row r="968">
      <c r="AG968" t="n">
        <v>962</v>
      </c>
      <c r="AH968" s="35" t="n">
        <v>0</v>
      </c>
    </row>
    <row r="969">
      <c r="AG969" t="n">
        <v>963</v>
      </c>
      <c r="AH969" s="35" t="n">
        <v>0</v>
      </c>
    </row>
    <row r="970">
      <c r="AG970" t="n">
        <v>964</v>
      </c>
      <c r="AH970" s="35" t="n">
        <v>0</v>
      </c>
    </row>
    <row r="971">
      <c r="AG971" t="n">
        <v>965</v>
      </c>
      <c r="AH971" s="35" t="n">
        <v>0</v>
      </c>
    </row>
    <row r="972">
      <c r="AG972" t="n">
        <v>966</v>
      </c>
      <c r="AH972" s="35" t="n">
        <v>0</v>
      </c>
    </row>
    <row r="973">
      <c r="AG973" t="n">
        <v>967</v>
      </c>
      <c r="AH973" s="35" t="n">
        <v>0</v>
      </c>
    </row>
    <row r="974">
      <c r="AG974" t="n">
        <v>968</v>
      </c>
      <c r="AH974" s="35" t="n">
        <v>0</v>
      </c>
    </row>
    <row r="975">
      <c r="AG975" t="n">
        <v>969</v>
      </c>
      <c r="AH975" s="35" t="n">
        <v>0</v>
      </c>
    </row>
    <row r="976">
      <c r="AG976" t="n">
        <v>970</v>
      </c>
      <c r="AH976" s="35" t="n">
        <v>0</v>
      </c>
    </row>
    <row r="977">
      <c r="AG977" t="n">
        <v>971</v>
      </c>
      <c r="AH977" s="35" t="n">
        <v>0</v>
      </c>
    </row>
    <row r="978">
      <c r="AG978" t="n">
        <v>972</v>
      </c>
      <c r="AH978" s="35" t="n">
        <v>0</v>
      </c>
    </row>
    <row r="979">
      <c r="AG979" t="n">
        <v>973</v>
      </c>
      <c r="AH979" s="35" t="n">
        <v>0</v>
      </c>
    </row>
    <row r="980">
      <c r="AG980" t="n">
        <v>974</v>
      </c>
      <c r="AH980" s="35" t="n">
        <v>0</v>
      </c>
    </row>
    <row r="981">
      <c r="AG981" t="n">
        <v>975</v>
      </c>
      <c r="AH981" s="35" t="n">
        <v>0</v>
      </c>
    </row>
    <row r="982">
      <c r="AG982" t="n">
        <v>976</v>
      </c>
      <c r="AH982" s="35" t="n">
        <v>0</v>
      </c>
    </row>
    <row r="983">
      <c r="AG983" t="n">
        <v>977</v>
      </c>
      <c r="AH983" s="35" t="n">
        <v>0</v>
      </c>
    </row>
    <row r="984">
      <c r="AG984" t="n">
        <v>978</v>
      </c>
      <c r="AH984" s="35" t="n">
        <v>0</v>
      </c>
    </row>
    <row r="985">
      <c r="AG985" t="n">
        <v>979</v>
      </c>
      <c r="AH985" s="35" t="n">
        <v>0</v>
      </c>
    </row>
    <row r="986">
      <c r="AG986" t="n">
        <v>980</v>
      </c>
      <c r="AH986" s="35" t="n">
        <v>0</v>
      </c>
    </row>
    <row r="987">
      <c r="AG987" t="n">
        <v>981</v>
      </c>
      <c r="AH987" s="35" t="n">
        <v>0</v>
      </c>
    </row>
    <row r="988">
      <c r="AG988" t="n">
        <v>982</v>
      </c>
      <c r="AH988" s="35" t="n">
        <v>0</v>
      </c>
    </row>
    <row r="989">
      <c r="AG989" t="n">
        <v>983</v>
      </c>
      <c r="AH989" s="35" t="n">
        <v>0</v>
      </c>
    </row>
    <row r="990">
      <c r="AG990" t="n">
        <v>984</v>
      </c>
      <c r="AH990" s="35" t="n">
        <v>0</v>
      </c>
    </row>
    <row r="991">
      <c r="AG991" t="n">
        <v>985</v>
      </c>
      <c r="AH991" s="35" t="n">
        <v>0</v>
      </c>
    </row>
    <row r="992">
      <c r="AG992" t="n">
        <v>986</v>
      </c>
      <c r="AH992" s="35" t="n">
        <v>0</v>
      </c>
    </row>
    <row r="993">
      <c r="AG993" t="n">
        <v>987</v>
      </c>
      <c r="AH993" s="35" t="n">
        <v>0</v>
      </c>
    </row>
    <row r="994">
      <c r="AG994" t="n">
        <v>988</v>
      </c>
      <c r="AH994" s="35" t="n">
        <v>0</v>
      </c>
    </row>
    <row r="995">
      <c r="AG995" t="n">
        <v>989</v>
      </c>
      <c r="AH995" s="35" t="n">
        <v>0</v>
      </c>
    </row>
    <row r="996">
      <c r="AG996" t="n">
        <v>990</v>
      </c>
      <c r="AH996" s="35" t="n">
        <v>0</v>
      </c>
    </row>
    <row r="997">
      <c r="AG997" t="n">
        <v>991</v>
      </c>
      <c r="AH997" s="35" t="n">
        <v>0</v>
      </c>
    </row>
    <row r="998">
      <c r="AG998" t="n">
        <v>992</v>
      </c>
      <c r="AH998" s="35" t="n">
        <v>0</v>
      </c>
    </row>
    <row r="999">
      <c r="AG999" t="n">
        <v>993</v>
      </c>
      <c r="AH999" s="35" t="n">
        <v>0</v>
      </c>
    </row>
    <row r="1000">
      <c r="AG1000" t="n">
        <v>994</v>
      </c>
      <c r="AH1000" s="35" t="n">
        <v>0</v>
      </c>
    </row>
    <row r="1001">
      <c r="AG1001" t="n">
        <v>995</v>
      </c>
      <c r="AH1001" s="35" t="n">
        <v>0</v>
      </c>
    </row>
    <row r="1002">
      <c r="AG1002" t="n">
        <v>996</v>
      </c>
      <c r="AH1002" s="35" t="n">
        <v>0</v>
      </c>
    </row>
    <row r="1003">
      <c r="AG1003" t="n">
        <v>997</v>
      </c>
      <c r="AH1003" s="35" t="n">
        <v>0</v>
      </c>
    </row>
    <row r="1004">
      <c r="AG1004" t="n">
        <v>998</v>
      </c>
      <c r="AH1004" s="35" t="n">
        <v>0</v>
      </c>
    </row>
    <row r="1005">
      <c r="AG1005" t="n">
        <v>999</v>
      </c>
      <c r="AH1005" s="35" t="n">
        <v>0</v>
      </c>
    </row>
    <row r="1006">
      <c r="AG1006" t="n">
        <v>1000</v>
      </c>
      <c r="AH1006" s="35" t="n">
        <v>0</v>
      </c>
    </row>
  </sheetData>
  <dataValidations count="1">
    <dataValidation sqref="C38" showDropDown="0" showInputMessage="0" showErrorMessage="0" allowBlank="0" type="list">
      <formula1>"S0,S1,S2,S3,S4,U1"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18" customWidth="1" min="5" max="5"/>
    <col width="30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12_ECL — 충당금 매트릭스 3종(🔵) · 연령 = 13_EarlyWarning open_inv(미결)</t>
        </is>
      </c>
    </row>
    <row r="2">
      <c r="A2" s="10" t="inlineStr">
        <is>
          <t>구간 정의가 서로 다르다 — IFRS 9 예시(4구간)·인바디(4구간) 요율은 한빛 6구간에 '가장 가까운 구간'으로 붙였다(매핑 = 교육용 가정)</t>
        </is>
      </c>
    </row>
    <row r="3">
      <c r="A3" s="10" t="inlineStr">
        <is>
          <t>충당금(매트릭스)은 총액 기준(보험 미반영) · PD×LGD×EAD(02_Buyers EL)는 보험·신용사건 반영 — 같은 숫자가 나오지 않는 것이 정상</t>
        </is>
      </c>
    </row>
    <row r="5">
      <c r="A5" s="11" t="inlineStr">
        <is>
          <t>구간</t>
        </is>
      </c>
      <c r="B5" s="11" t="inlineStr">
        <is>
          <t>한빛(제32조)</t>
        </is>
      </c>
      <c r="C5" s="11" t="inlineStr">
        <is>
          <t>IFRS 9 예시</t>
        </is>
      </c>
      <c r="D5" s="11" t="inlineStr">
        <is>
          <t>인바디 해외</t>
        </is>
      </c>
      <c r="E5" s="11" t="inlineStr">
        <is>
          <t>IFRS 매핑</t>
        </is>
      </c>
      <c r="F5" s="11" t="inlineStr">
        <is>
          <t>인바디 매핑</t>
        </is>
      </c>
      <c r="G5" s="11" t="inlineStr">
        <is>
          <t>잔액(USD)</t>
        </is>
      </c>
      <c r="H5" s="11" t="inlineStr">
        <is>
          <t>충당금 한빛</t>
        </is>
      </c>
      <c r="I5" s="11" t="inlineStr">
        <is>
          <t>충당금 IFRS</t>
        </is>
      </c>
      <c r="J5" s="11" t="inlineStr">
        <is>
          <t>충당금 인바디</t>
        </is>
      </c>
    </row>
    <row r="6">
      <c r="A6" s="12" t="inlineStr">
        <is>
          <t>미연체</t>
        </is>
      </c>
      <c r="B6" s="77" t="n">
        <v>0.01</v>
      </c>
      <c r="C6" s="78" t="n">
        <v>0.01</v>
      </c>
      <c r="D6" s="47" t="n">
        <v>0.0248</v>
      </c>
      <c r="E6" s="6" t="inlineStr">
        <is>
          <t>미연체</t>
        </is>
      </c>
      <c r="F6" s="6" t="inlineStr">
        <is>
          <t>현재</t>
        </is>
      </c>
      <c r="G6" s="44">
        <f>SUMIFS(inv_usd,inv_bucket,A6,inv_paid,"N")</f>
        <v/>
      </c>
      <c r="H6" s="44">
        <f>$G6*B6</f>
        <v/>
      </c>
      <c r="I6" s="44">
        <f>$G6*C6</f>
        <v/>
      </c>
      <c r="J6" s="44">
        <f>$G6*D6</f>
        <v/>
      </c>
    </row>
    <row r="7">
      <c r="A7" s="12" t="inlineStr">
        <is>
          <t>1-30</t>
        </is>
      </c>
      <c r="B7" s="77" t="n">
        <v>0.025</v>
      </c>
      <c r="C7" s="78" t="n">
        <v>0.02</v>
      </c>
      <c r="D7" s="47" t="n">
        <v>0.0248</v>
      </c>
      <c r="E7" s="6" t="inlineStr">
        <is>
          <t>30일 미만</t>
        </is>
      </c>
      <c r="F7" s="6" t="inlineStr">
        <is>
          <t>현재(3개월 미만 연체 포함으로 해석)</t>
        </is>
      </c>
      <c r="G7" s="44">
        <f>SUMIFS(inv_usd,inv_bucket,A7,inv_paid,"N")</f>
        <v/>
      </c>
      <c r="H7" s="44">
        <f>$G7*B7</f>
        <v/>
      </c>
      <c r="I7" s="44">
        <f>$G7*C7</f>
        <v/>
      </c>
      <c r="J7" s="44">
        <f>$G7*D7</f>
        <v/>
      </c>
    </row>
    <row r="8">
      <c r="A8" s="12" t="inlineStr">
        <is>
          <t>31-90</t>
        </is>
      </c>
      <c r="B8" s="77" t="n">
        <v>0.08</v>
      </c>
      <c r="C8" s="78" t="n">
        <v>0.03</v>
      </c>
      <c r="D8" s="47" t="n">
        <v>0.0248</v>
      </c>
      <c r="E8" s="6" t="inlineStr">
        <is>
          <t>30~90일</t>
        </is>
      </c>
      <c r="F8" s="6" t="inlineStr">
        <is>
          <t>현재(같음)</t>
        </is>
      </c>
      <c r="G8" s="44">
        <f>SUMIFS(inv_usd,inv_bucket,A8,inv_paid,"N")</f>
        <v/>
      </c>
      <c r="H8" s="44">
        <f>$G8*B8</f>
        <v/>
      </c>
      <c r="I8" s="44">
        <f>$G8*C8</f>
        <v/>
      </c>
      <c r="J8" s="44">
        <f>$G8*D8</f>
        <v/>
      </c>
    </row>
    <row r="9">
      <c r="A9" s="12" t="inlineStr">
        <is>
          <t>91-180</t>
        </is>
      </c>
      <c r="B9" s="77" t="n">
        <v>0.22</v>
      </c>
      <c r="C9" s="78" t="n">
        <v>0.2</v>
      </c>
      <c r="D9" s="47" t="n">
        <v>0.074</v>
      </c>
      <c r="E9" s="6" t="inlineStr">
        <is>
          <t>90~180일</t>
        </is>
      </c>
      <c r="F9" s="6" t="inlineStr">
        <is>
          <t>3~6개월</t>
        </is>
      </c>
      <c r="G9" s="44">
        <f>SUMIFS(inv_usd,inv_bucket,A9,inv_paid,"N")</f>
        <v/>
      </c>
      <c r="H9" s="44">
        <f>$G9*B9</f>
        <v/>
      </c>
      <c r="I9" s="44">
        <f>$G9*C9</f>
        <v/>
      </c>
      <c r="J9" s="44">
        <f>$G9*D9</f>
        <v/>
      </c>
    </row>
    <row r="10">
      <c r="A10" s="12" t="inlineStr">
        <is>
          <t>181-365</t>
        </is>
      </c>
      <c r="B10" s="77" t="n">
        <v>0.5</v>
      </c>
      <c r="C10" s="78" t="n">
        <v>0.2</v>
      </c>
      <c r="D10" s="47" t="n">
        <v>0.2182</v>
      </c>
      <c r="E10" s="6" t="inlineStr">
        <is>
          <t>(없음 → 90~180일)</t>
        </is>
      </c>
      <c r="F10" s="6" t="inlineStr">
        <is>
          <t>6~12개월</t>
        </is>
      </c>
      <c r="G10" s="44">
        <f>SUMIFS(inv_usd,inv_bucket,A10,inv_paid,"N")</f>
        <v/>
      </c>
      <c r="H10" s="44">
        <f>$G10*B10</f>
        <v/>
      </c>
      <c r="I10" s="44">
        <f>$G10*C10</f>
        <v/>
      </c>
      <c r="J10" s="44">
        <f>$G10*D10</f>
        <v/>
      </c>
    </row>
    <row r="11">
      <c r="A11" s="12" t="inlineStr">
        <is>
          <t>365+</t>
        </is>
      </c>
      <c r="B11" s="77" t="n">
        <v>1</v>
      </c>
      <c r="C11" s="78" t="n">
        <v>0.2</v>
      </c>
      <c r="D11" s="47" t="n">
        <v>0.1898</v>
      </c>
      <c r="E11" s="6" t="inlineStr">
        <is>
          <t>(없음 → 90~180일)</t>
        </is>
      </c>
      <c r="F11" s="6" t="inlineStr">
        <is>
          <t>1년 초과</t>
        </is>
      </c>
      <c r="G11" s="44">
        <f>SUMIFS(inv_usd,inv_bucket,A11,inv_paid,"N")</f>
        <v/>
      </c>
      <c r="H11" s="44">
        <f>$G11*B11</f>
        <v/>
      </c>
      <c r="I11" s="44">
        <f>$G11*C11</f>
        <v/>
      </c>
      <c r="J11" s="44">
        <f>$G11*D11</f>
        <v/>
      </c>
    </row>
    <row r="12">
      <c r="A12" s="2" t="inlineStr">
        <is>
          <t>합계</t>
        </is>
      </c>
      <c r="G12" s="76">
        <f>SUM(G6:G11)</f>
        <v/>
      </c>
      <c r="H12" s="76">
        <f>SUM(H6:H11)</f>
        <v/>
      </c>
      <c r="I12" s="76">
        <f>SUM(I6:I11)</f>
        <v/>
      </c>
      <c r="J12" s="76">
        <f>SUM(J6:J11)</f>
        <v/>
      </c>
    </row>
    <row r="14">
      <c r="A14" s="4" t="inlineStr">
        <is>
          <t>비교</t>
        </is>
      </c>
    </row>
    <row r="15">
      <c r="A15" s="12" t="inlineStr">
        <is>
          <t>PD×LGD×EAD(02_Buyers EL, 보험·신용사건 반영)</t>
        </is>
      </c>
      <c r="B15" s="44">
        <f>SUM('02_Buyers'!$BG$2:$BG$151)</f>
        <v/>
      </c>
    </row>
    <row r="16">
      <c r="A16" s="12" t="inlineStr">
        <is>
          <t>한빛 매트릭스 − PD×LGD×EAD</t>
        </is>
      </c>
      <c r="B16" s="44">
        <f>H12-B15</f>
        <v/>
      </c>
    </row>
    <row r="17">
      <c r="A17" s="12" t="inlineStr">
        <is>
          <t>02_Buyers 잔액 합계</t>
        </is>
      </c>
      <c r="B17" s="44">
        <f>SUM('02_Buyers'!$Z$2:$Z$151)</f>
        <v/>
      </c>
    </row>
    <row r="18">
      <c r="A18" s="12" t="inlineStr">
        <is>
          <t>open_inv 잔액 합계(300행 상한 — 차이는 제외된 미연체 건)</t>
        </is>
      </c>
      <c r="B18" s="44">
        <f>G12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AW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13" customWidth="1" min="4" max="4"/>
    <col width="6" customWidth="1" min="5" max="5"/>
    <col width="6" customWidth="1" min="6" max="6"/>
    <col width="11" customWidth="1" min="7" max="7"/>
    <col width="11" customWidth="1" min="8" max="8"/>
    <col width="11" customWidth="1" min="9" max="9"/>
    <col width="11" customWidth="1" min="10" max="10"/>
    <col width="5" customWidth="1" min="11" max="11"/>
    <col width="7" customWidth="1" min="12" max="12"/>
    <col width="11" customWidth="1" min="13" max="13"/>
    <col width="7" customWidth="1" min="14" max="14"/>
    <col width="22" customWidth="1" min="16" max="16"/>
    <col width="11" customWidth="1" min="17" max="17"/>
    <col width="26" customWidth="1" min="19" max="19"/>
    <col width="11" customWidth="1" min="20" max="20"/>
    <col width="11" customWidth="1" min="21" max="21"/>
    <col width="30" customWidth="1" min="22" max="22"/>
    <col width="10" customWidth="1" min="34" max="34"/>
    <col width="40" customWidth="1" min="35" max="35"/>
    <col width="32" customWidth="1" min="39" max="39"/>
    <col width="24" customWidth="1" min="42" max="42"/>
    <col width="26" customWidth="1" min="45" max="45"/>
    <col width="12" customWidth="1" min="46" max="46"/>
    <col width="12" customWidth="1" min="47" max="47"/>
    <col width="12" customWidth="1" min="48" max="48"/>
    <col width="8" customWidth="1" min="49" max="49"/>
  </cols>
  <sheetData>
    <row r="1">
      <c r="A1" s="1" t="inlineStr">
        <is>
          <t>13_EarlyWarning — 조기경보·독촉 사다리(정본) · open_inv(기준일 미결 인보이스 ≤300행)</t>
        </is>
      </c>
    </row>
    <row r="2">
      <c r="A2" s="10" t="inlineStr">
        <is>
          <t>D-3 사전 안내 → D+7 친절한 리마인더 → D+15 단호한 통지 → D+30 최종 통지·선적 보류(약관 제7조①2) · 결제기일 + 1개월 이내 K-SURE 사고발생통지(제21조②, 사람 결정) · 파산신청 인지 즉시 선적 중단(제7조①6)</t>
        </is>
      </c>
    </row>
    <row r="3">
      <c r="A3" s="12" t="inlineStr">
        <is>
          <t>AsOf</t>
        </is>
      </c>
      <c r="B3" s="79">
        <f>AsOf</f>
        <v/>
      </c>
      <c r="AB3" s="4" t="inlineStr">
        <is>
          <t>바이어 단위 요약(02_Buyers 행 순서) — ship_hold → 02_Buyers UB</t>
        </is>
      </c>
    </row>
    <row r="4">
      <c r="A4" s="80" t="inlineStr">
        <is>
          <t>invoice_id</t>
        </is>
      </c>
      <c r="B4" s="80" t="inlineStr">
        <is>
          <t>buyer_id</t>
        </is>
      </c>
      <c r="C4" s="80" t="inlineStr">
        <is>
          <t>country_code</t>
        </is>
      </c>
      <c r="D4" s="80" t="inlineStr">
        <is>
          <t>payment_method</t>
        </is>
      </c>
      <c r="E4" s="80" t="inlineStr">
        <is>
          <t>currency</t>
        </is>
      </c>
      <c r="F4" s="80" t="inlineStr">
        <is>
          <t>ksure_insured</t>
        </is>
      </c>
      <c r="G4" s="80" t="inlineStr">
        <is>
          <t>ship_date</t>
        </is>
      </c>
      <c r="H4" s="80" t="inlineStr">
        <is>
          <t>due_date</t>
        </is>
      </c>
      <c r="I4" s="80" t="inlineStr">
        <is>
          <t>amount_ccy</t>
        </is>
      </c>
      <c r="J4" s="80" t="inlineStr">
        <is>
          <t>amount_usd</t>
        </is>
      </c>
      <c r="K4" s="80" t="inlineStr">
        <is>
          <t>paid</t>
        </is>
      </c>
      <c r="L4" s="80" t="inlineStr">
        <is>
          <t>insurance_type</t>
        </is>
      </c>
      <c r="M4" s="80" t="inlineStr">
        <is>
          <t>terms_change_date</t>
        </is>
      </c>
      <c r="N4" s="80" t="inlineStr">
        <is>
          <t>bank_change_request</t>
        </is>
      </c>
      <c r="O4" s="81" t="inlineStr">
        <is>
          <t>dpd</t>
        </is>
      </c>
      <c r="P4" s="81" t="inlineStr">
        <is>
          <t>stage</t>
        </is>
      </c>
      <c r="Q4" s="81" t="inlineStr">
        <is>
          <t>notice_deadline</t>
        </is>
      </c>
      <c r="R4" s="81" t="inlineStr">
        <is>
          <t>notice_days_left</t>
        </is>
      </c>
      <c r="S4" s="81" t="inlineStr">
        <is>
          <t>ksure_alert</t>
        </is>
      </c>
      <c r="T4" s="81" t="inlineStr">
        <is>
          <t>export_notice_by</t>
        </is>
      </c>
      <c r="U4" s="81" t="inlineStr">
        <is>
          <t>terms_notify_by</t>
        </is>
      </c>
      <c r="V4" s="81" t="inlineStr">
        <is>
          <t>fraud_alert</t>
        </is>
      </c>
      <c r="W4" s="81" t="inlineStr">
        <is>
          <t>nonlc_dpd</t>
        </is>
      </c>
      <c r="X4" s="81" t="inlineStr">
        <is>
          <t>hold30</t>
        </is>
      </c>
      <c r="Y4" s="81" t="inlineStr">
        <is>
          <t>aging_bucket</t>
        </is>
      </c>
      <c r="Z4" s="81" t="inlineStr">
        <is>
          <t>imminent_rank</t>
        </is>
      </c>
      <c r="AB4" s="81" t="inlineStr">
        <is>
          <t>buyer_id</t>
        </is>
      </c>
      <c r="AC4" s="81" t="inlineStr">
        <is>
          <t>bankruptcy_flag</t>
        </is>
      </c>
      <c r="AD4" s="81" t="inlineStr">
        <is>
          <t>open_cnt</t>
        </is>
      </c>
      <c r="AE4" s="81" t="inlineStr">
        <is>
          <t>open_usd</t>
        </is>
      </c>
      <c r="AF4" s="81" t="inlineStr">
        <is>
          <t>oldest_dpd_nonlc</t>
        </is>
      </c>
      <c r="AG4" s="81" t="inlineStr">
        <is>
          <t>over30_cnt</t>
        </is>
      </c>
      <c r="AH4" s="81" t="inlineStr">
        <is>
          <t>ship_hold</t>
        </is>
      </c>
      <c r="AI4" s="81" t="inlineStr">
        <is>
          <t>escalate</t>
        </is>
      </c>
      <c r="AJ4" s="81" t="inlineStr">
        <is>
          <t>ksure_imminent_cnt</t>
        </is>
      </c>
      <c r="AK4" s="81" t="inlineStr">
        <is>
          <t>L_new</t>
        </is>
      </c>
      <c r="AL4" s="81" t="inlineStr">
        <is>
          <t>util_new</t>
        </is>
      </c>
      <c r="AM4" s="81" t="inlineStr">
        <is>
          <t>util_alert</t>
        </is>
      </c>
      <c r="AN4" s="81" t="inlineStr">
        <is>
          <t>crc_now</t>
        </is>
      </c>
      <c r="AO4" s="81" t="inlineStr">
        <is>
          <t>crc_prev</t>
        </is>
      </c>
      <c r="AP4" s="81" t="inlineStr">
        <is>
          <t>crc_alert</t>
        </is>
      </c>
      <c r="AQ4" s="81" t="inlineStr">
        <is>
          <t>hold_rank</t>
        </is>
      </c>
      <c r="AS4" s="11" t="inlineStr">
        <is>
          <t>단계</t>
        </is>
      </c>
      <c r="AT4" s="11" t="inlineStr">
        <is>
          <t>건수</t>
        </is>
      </c>
      <c r="AU4" s="11" t="inlineStr">
        <is>
          <t>금액(USD)</t>
        </is>
      </c>
    </row>
    <row r="5">
      <c r="A5" t="inlineStr">
        <is>
          <t>INV-2608-0001</t>
        </is>
      </c>
      <c r="B5" t="inlineStr">
        <is>
          <t>B001</t>
        </is>
      </c>
      <c r="C5" t="inlineStr">
        <is>
          <t>NLD</t>
        </is>
      </c>
      <c r="D5" t="inlineStr">
        <is>
          <t>OA</t>
        </is>
      </c>
      <c r="E5" t="inlineStr">
        <is>
          <t>EUR</t>
        </is>
      </c>
      <c r="F5" t="inlineStr">
        <is>
          <t>N</t>
        </is>
      </c>
      <c r="G5" s="32" t="n">
        <v>46235</v>
      </c>
      <c r="H5" s="32" t="n">
        <v>46325</v>
      </c>
      <c r="I5" s="82" t="n">
        <v>3610</v>
      </c>
      <c r="J5" s="82" t="n">
        <v>4115.4</v>
      </c>
      <c r="K5" t="inlineStr">
        <is>
          <t>N</t>
        </is>
      </c>
      <c r="N5" t="inlineStr">
        <is>
          <t>N</t>
        </is>
      </c>
      <c r="O5" s="37">
        <f>IF($A5="","",AsOf-$H5)</f>
        <v/>
      </c>
      <c r="P5" s="37">
        <f>IF($A5="","",IF($K5="Y","-",IF($O5&gt;=30,"D+30 최종통지·선적보류",IF($O5&gt;=15,"D+15 단호한 통지",IF($O5&gt;=7,"D+7 친절한 리마인더",IF(AND($O5&gt;=-3,$O5&lt;=-1),"D-3 사전 안내","모니터링"))))))</f>
        <v/>
      </c>
      <c r="Q5" s="83">
        <f>IF($A5="","",EDATE($H5,1))</f>
        <v/>
      </c>
      <c r="R5" s="37">
        <f>IF($A5="","",$Q5-AsOf)</f>
        <v/>
      </c>
      <c r="S5" s="37">
        <f>IF($A5="","",IF(OR($K5="Y",$F5&lt;&gt;"Y",$O5&lt;=0),"",IF($R5&lt;0,"통지 기한 경과 — 즉시 확인",IF($R5&lt;=NoticeWarnDays,"통지 기한 임박 — 사람 결정",""))))</f>
        <v/>
      </c>
      <c r="T5" s="83">
        <f>IF(OR($A5="",$F5&lt;&gt;"Y"),"",IF(IF($L5="",InsuranceType,$L5)="포괄",DATE(YEAR($G5),MONTH($G5)+1,20),WORKDAY($G5,10)))</f>
        <v/>
      </c>
      <c r="U5" s="83">
        <f>IF(OR($A5="",$M5=""),"",WORKDAY($M5,10))</f>
        <v/>
      </c>
      <c r="V5" s="37">
        <f>IF($A5="","",IF($N5="Y","사기 의심: 콜백 검증 전 대금 안내 중단",""))</f>
        <v/>
      </c>
      <c r="W5" s="37">
        <f>IF($A5="","",IF(AND($K5="N",$D5&lt;&gt;"LC_SIGHT",$D5&lt;&gt;"LC_USANCE",$D5&lt;&gt;"TT_ADV"),$O5,""))</f>
        <v/>
      </c>
      <c r="X5" s="37">
        <f>IF($A5="",0,IF(AND($K5="N",$D5&lt;&gt;"LC_SIGHT",$D5&lt;&gt;"LC_USANCE",$D5&lt;&gt;"TT_ADV",$O5&gt;=30),1,0))</f>
        <v/>
      </c>
      <c r="Y5" s="37">
        <f>IF($A5="","",IF($O5&lt;=0,"미연체",IF($O5&lt;=30,"1-30",IF($O5&lt;=90,"31-90",IF($O5&lt;=180,"91-180",IF($O5&lt;=365,"181-365","365+"))))))</f>
        <v/>
      </c>
      <c r="Z5" s="37">
        <f>IF($S5="통지 기한 임박 — 사람 결정",COUNTIF($S$5:$S5,"통지 기한 임박 — 사람 결정"),"")</f>
        <v/>
      </c>
      <c r="AB5" s="37">
        <f>IF('02_Buyers'!$A2="","",'02_Buyers'!$A2)</f>
        <v/>
      </c>
      <c r="AC5" s="37">
        <f>IF($AB5="","",'02_Buyers'!$AH2)</f>
        <v/>
      </c>
      <c r="AD5" s="37">
        <f>IF($AB5="","",COUNTIFS(inv_buyer,$AB5,inv_paid,"N"))</f>
        <v/>
      </c>
      <c r="AE5" s="40">
        <f>IF($AB5="","",SUMIFS(inv_usd,inv_buyer,$AB5,inv_paid,"N"))</f>
        <v/>
      </c>
      <c r="AF5" s="37">
        <f>IF($AB5="","",_xlfn.MAXIFS(inv_nonlc_dpd,inv_buyer,$AB5))</f>
        <v/>
      </c>
      <c r="AG5" s="37">
        <f>IF($AB5="","",COUNTIFS(inv_buyer,$AB5,inv_hold30,1))</f>
        <v/>
      </c>
      <c r="AH5" s="37">
        <f>IF($AB5="","",IF(OR($AC5=1,$AG5&gt;0),"선적 보류",""))</f>
        <v/>
      </c>
      <c r="AI5" s="37">
        <f>IF($AH5&lt;&gt;"선적 보류","","내부 에스컬레이션: 여신 한도 동결 제안(사람 승인)")</f>
        <v/>
      </c>
      <c r="AJ5" s="37">
        <f>IF($AB5="","",COUNTIFS(inv_buyer,$AB5,inv_alert,"통지 기한 임박*"))</f>
        <v/>
      </c>
      <c r="AK5" s="40">
        <f>IF($AB5="","",'10_LimitLP'!$F5)</f>
        <v/>
      </c>
      <c r="AL5" s="84">
        <f>IF(OR($AB5="",$AK5&lt;=0),"",$AE5/$AK5)</f>
        <v/>
      </c>
      <c r="AM5" s="37">
        <f>IF($AL5="","",IF($AL5&gt;=0.8,"사용률 80%↑ — 출고 전 사전승인(제18조)",""))</f>
        <v/>
      </c>
      <c r="AN5" s="37">
        <f>IF($AB5="","",IFERROR(IF(INDEX($AU$21:$AU$40,MATCH('02_Buyers'!$S2,$AS$21:$AS$40,0))="","",INDEX($AU$21:$AU$40,MATCH('02_Buyers'!$S2,$AS$21:$AS$40,0))),""))</f>
        <v/>
      </c>
      <c r="AO5" s="37">
        <f>IF($AB5="","",IFERROR(IF(INDEX($AV$21:$AV$40,MATCH('02_Buyers'!$S2,$AS$21:$AS$40,0))="","",INDEX($AV$21:$AV$40,MATCH('02_Buyers'!$S2,$AS$21:$AS$40,0))),""))</f>
        <v/>
      </c>
      <c r="AP5" s="37">
        <f>IF(OR($AB5="",$AN5="",$AO5=""),"",IF($AN5&gt;$AO5,"국가등급 하향 — 한도 재산정",""))</f>
        <v/>
      </c>
      <c r="AQ5" s="37">
        <f>IF($AH5="선적 보류",COUNTIF($AH$5:$AH5,"선적 보류"),"")</f>
        <v/>
      </c>
      <c r="AS5" s="12" t="inlineStr">
        <is>
          <t>D-3 사전 안내</t>
        </is>
      </c>
      <c r="AT5" s="45">
        <f>COUNTIF(inv_stage,AS5)</f>
        <v/>
      </c>
      <c r="AU5" s="44">
        <f>SUMIFS(inv_usd,inv_stage,AS5)</f>
        <v/>
      </c>
    </row>
    <row r="6">
      <c r="A6" t="inlineStr">
        <is>
          <t>INV-2608-0014</t>
        </is>
      </c>
      <c r="B6" t="inlineStr">
        <is>
          <t>B001</t>
        </is>
      </c>
      <c r="C6" t="inlineStr">
        <is>
          <t>NLD</t>
        </is>
      </c>
      <c r="D6" t="inlineStr">
        <is>
          <t>OA</t>
        </is>
      </c>
      <c r="E6" t="inlineStr">
        <is>
          <t>EUR</t>
        </is>
      </c>
      <c r="F6" t="inlineStr">
        <is>
          <t>N</t>
        </is>
      </c>
      <c r="G6" s="32" t="n">
        <v>46237</v>
      </c>
      <c r="H6" s="32" t="n">
        <v>46327</v>
      </c>
      <c r="I6" s="82" t="n">
        <v>5620</v>
      </c>
      <c r="J6" s="82" t="n">
        <v>6406.79</v>
      </c>
      <c r="K6" t="inlineStr">
        <is>
          <t>N</t>
        </is>
      </c>
      <c r="N6" t="inlineStr">
        <is>
          <t>N</t>
        </is>
      </c>
      <c r="O6" s="37">
        <f>IF($A6="","",AsOf-$H6)</f>
        <v/>
      </c>
      <c r="P6" s="37">
        <f>IF($A6="","",IF($K6="Y","-",IF($O6&gt;=30,"D+30 최종통지·선적보류",IF($O6&gt;=15,"D+15 단호한 통지",IF($O6&gt;=7,"D+7 친절한 리마인더",IF(AND($O6&gt;=-3,$O6&lt;=-1),"D-3 사전 안내","모니터링"))))))</f>
        <v/>
      </c>
      <c r="Q6" s="83">
        <f>IF($A6="","",EDATE($H6,1))</f>
        <v/>
      </c>
      <c r="R6" s="37">
        <f>IF($A6="","",$Q6-AsOf)</f>
        <v/>
      </c>
      <c r="S6" s="37">
        <f>IF($A6="","",IF(OR($K6="Y",$F6&lt;&gt;"Y",$O6&lt;=0),"",IF($R6&lt;0,"통지 기한 경과 — 즉시 확인",IF($R6&lt;=NoticeWarnDays,"통지 기한 임박 — 사람 결정",""))))</f>
        <v/>
      </c>
      <c r="T6" s="83">
        <f>IF(OR($A6="",$F6&lt;&gt;"Y"),"",IF(IF($L6="",InsuranceType,$L6)="포괄",DATE(YEAR($G6),MONTH($G6)+1,20),WORKDAY($G6,10)))</f>
        <v/>
      </c>
      <c r="U6" s="83">
        <f>IF(OR($A6="",$M6=""),"",WORKDAY($M6,10))</f>
        <v/>
      </c>
      <c r="V6" s="37">
        <f>IF($A6="","",IF($N6="Y","사기 의심: 콜백 검증 전 대금 안내 중단",""))</f>
        <v/>
      </c>
      <c r="W6" s="37">
        <f>IF($A6="","",IF(AND($K6="N",$D6&lt;&gt;"LC_SIGHT",$D6&lt;&gt;"LC_USANCE",$D6&lt;&gt;"TT_ADV"),$O6,""))</f>
        <v/>
      </c>
      <c r="X6" s="37">
        <f>IF($A6="",0,IF(AND($K6="N",$D6&lt;&gt;"LC_SIGHT",$D6&lt;&gt;"LC_USANCE",$D6&lt;&gt;"TT_ADV",$O6&gt;=30),1,0))</f>
        <v/>
      </c>
      <c r="Y6" s="37">
        <f>IF($A6="","",IF($O6&lt;=0,"미연체",IF($O6&lt;=30,"1-30",IF($O6&lt;=90,"31-90",IF($O6&lt;=180,"91-180",IF($O6&lt;=365,"181-365","365+"))))))</f>
        <v/>
      </c>
      <c r="Z6" s="37">
        <f>IF($S6="통지 기한 임박 — 사람 결정",COUNTIF($S$5:$S6,"통지 기한 임박 — 사람 결정"),"")</f>
        <v/>
      </c>
      <c r="AB6" s="37">
        <f>IF('02_Buyers'!$A3="","",'02_Buyers'!$A3)</f>
        <v/>
      </c>
      <c r="AC6" s="37">
        <f>IF($AB6="","",'02_Buyers'!$AH3)</f>
        <v/>
      </c>
      <c r="AD6" s="37">
        <f>IF($AB6="","",COUNTIFS(inv_buyer,$AB6,inv_paid,"N"))</f>
        <v/>
      </c>
      <c r="AE6" s="40">
        <f>IF($AB6="","",SUMIFS(inv_usd,inv_buyer,$AB6,inv_paid,"N"))</f>
        <v/>
      </c>
      <c r="AF6" s="37">
        <f>IF($AB6="","",_xlfn.MAXIFS(inv_nonlc_dpd,inv_buyer,$AB6))</f>
        <v/>
      </c>
      <c r="AG6" s="37">
        <f>IF($AB6="","",COUNTIFS(inv_buyer,$AB6,inv_hold30,1))</f>
        <v/>
      </c>
      <c r="AH6" s="37">
        <f>IF($AB6="","",IF(OR($AC6=1,$AG6&gt;0),"선적 보류",""))</f>
        <v/>
      </c>
      <c r="AI6" s="37">
        <f>IF($AH6&lt;&gt;"선적 보류","","내부 에스컬레이션: 여신 한도 동결 제안(사람 승인)")</f>
        <v/>
      </c>
      <c r="AJ6" s="37">
        <f>IF($AB6="","",COUNTIFS(inv_buyer,$AB6,inv_alert,"통지 기한 임박*"))</f>
        <v/>
      </c>
      <c r="AK6" s="40">
        <f>IF($AB6="","",'10_LimitLP'!$F6)</f>
        <v/>
      </c>
      <c r="AL6" s="84">
        <f>IF(OR($AB6="",$AK6&lt;=0),"",$AE6/$AK6)</f>
        <v/>
      </c>
      <c r="AM6" s="37">
        <f>IF($AL6="","",IF($AL6&gt;=0.8,"사용률 80%↑ — 출고 전 사전승인(제18조)",""))</f>
        <v/>
      </c>
      <c r="AN6" s="37">
        <f>IF($AB6="","",IFERROR(IF(INDEX($AU$21:$AU$40,MATCH('02_Buyers'!$S3,$AS$21:$AS$40,0))="","",INDEX($AU$21:$AU$40,MATCH('02_Buyers'!$S3,$AS$21:$AS$40,0))),""))</f>
        <v/>
      </c>
      <c r="AO6" s="37">
        <f>IF($AB6="","",IFERROR(IF(INDEX($AV$21:$AV$40,MATCH('02_Buyers'!$S3,$AS$21:$AS$40,0))="","",INDEX($AV$21:$AV$40,MATCH('02_Buyers'!$S3,$AS$21:$AS$40,0))),""))</f>
        <v/>
      </c>
      <c r="AP6" s="37">
        <f>IF(OR($AB6="",$AN6="",$AO6=""),"",IF($AN6&gt;$AO6,"국가등급 하향 — 한도 재산정",""))</f>
        <v/>
      </c>
      <c r="AQ6" s="37">
        <f>IF($AH6="선적 보류",COUNTIF($AH$5:$AH6,"선적 보류"),"")</f>
        <v/>
      </c>
      <c r="AS6" s="12" t="inlineStr">
        <is>
          <t>D+7 친절한 리마인더</t>
        </is>
      </c>
      <c r="AT6" s="45">
        <f>COUNTIF(inv_stage,AS6)</f>
        <v/>
      </c>
      <c r="AU6" s="44">
        <f>SUMIFS(inv_usd,inv_stage,AS6)</f>
        <v/>
      </c>
    </row>
    <row r="7">
      <c r="A7" t="inlineStr">
        <is>
          <t>INV-2608-0032</t>
        </is>
      </c>
      <c r="B7" t="inlineStr">
        <is>
          <t>B001</t>
        </is>
      </c>
      <c r="C7" t="inlineStr">
        <is>
          <t>NLD</t>
        </is>
      </c>
      <c r="D7" t="inlineStr">
        <is>
          <t>OA</t>
        </is>
      </c>
      <c r="E7" t="inlineStr">
        <is>
          <t>EUR</t>
        </is>
      </c>
      <c r="F7" t="inlineStr">
        <is>
          <t>N</t>
        </is>
      </c>
      <c r="G7" s="32" t="n">
        <v>46242</v>
      </c>
      <c r="H7" s="32" t="n">
        <v>46332</v>
      </c>
      <c r="I7" s="82" t="n">
        <v>8870</v>
      </c>
      <c r="J7" s="82" t="n">
        <v>10111.79</v>
      </c>
      <c r="K7" t="inlineStr">
        <is>
          <t>N</t>
        </is>
      </c>
      <c r="N7" t="inlineStr">
        <is>
          <t>N</t>
        </is>
      </c>
      <c r="O7" s="37">
        <f>IF($A7="","",AsOf-$H7)</f>
        <v/>
      </c>
      <c r="P7" s="37">
        <f>IF($A7="","",IF($K7="Y","-",IF($O7&gt;=30,"D+30 최종통지·선적보류",IF($O7&gt;=15,"D+15 단호한 통지",IF($O7&gt;=7,"D+7 친절한 리마인더",IF(AND($O7&gt;=-3,$O7&lt;=-1),"D-3 사전 안내","모니터링"))))))</f>
        <v/>
      </c>
      <c r="Q7" s="83">
        <f>IF($A7="","",EDATE($H7,1))</f>
        <v/>
      </c>
      <c r="R7" s="37">
        <f>IF($A7="","",$Q7-AsOf)</f>
        <v/>
      </c>
      <c r="S7" s="37">
        <f>IF($A7="","",IF(OR($K7="Y",$F7&lt;&gt;"Y",$O7&lt;=0),"",IF($R7&lt;0,"통지 기한 경과 — 즉시 확인",IF($R7&lt;=NoticeWarnDays,"통지 기한 임박 — 사람 결정",""))))</f>
        <v/>
      </c>
      <c r="T7" s="83">
        <f>IF(OR($A7="",$F7&lt;&gt;"Y"),"",IF(IF($L7="",InsuranceType,$L7)="포괄",DATE(YEAR($G7),MONTH($G7)+1,20),WORKDAY($G7,10)))</f>
        <v/>
      </c>
      <c r="U7" s="83">
        <f>IF(OR($A7="",$M7=""),"",WORKDAY($M7,10))</f>
        <v/>
      </c>
      <c r="V7" s="37">
        <f>IF($A7="","",IF($N7="Y","사기 의심: 콜백 검증 전 대금 안내 중단",""))</f>
        <v/>
      </c>
      <c r="W7" s="37">
        <f>IF($A7="","",IF(AND($K7="N",$D7&lt;&gt;"LC_SIGHT",$D7&lt;&gt;"LC_USANCE",$D7&lt;&gt;"TT_ADV"),$O7,""))</f>
        <v/>
      </c>
      <c r="X7" s="37">
        <f>IF($A7="",0,IF(AND($K7="N",$D7&lt;&gt;"LC_SIGHT",$D7&lt;&gt;"LC_USANCE",$D7&lt;&gt;"TT_ADV",$O7&gt;=30),1,0))</f>
        <v/>
      </c>
      <c r="Y7" s="37">
        <f>IF($A7="","",IF($O7&lt;=0,"미연체",IF($O7&lt;=30,"1-30",IF($O7&lt;=90,"31-90",IF($O7&lt;=180,"91-180",IF($O7&lt;=365,"181-365","365+"))))))</f>
        <v/>
      </c>
      <c r="Z7" s="37">
        <f>IF($S7="통지 기한 임박 — 사람 결정",COUNTIF($S$5:$S7,"통지 기한 임박 — 사람 결정"),"")</f>
        <v/>
      </c>
      <c r="AB7" s="37">
        <f>IF('02_Buyers'!$A4="","",'02_Buyers'!$A4)</f>
        <v/>
      </c>
      <c r="AC7" s="37">
        <f>IF($AB7="","",'02_Buyers'!$AH4)</f>
        <v/>
      </c>
      <c r="AD7" s="37">
        <f>IF($AB7="","",COUNTIFS(inv_buyer,$AB7,inv_paid,"N"))</f>
        <v/>
      </c>
      <c r="AE7" s="40">
        <f>IF($AB7="","",SUMIFS(inv_usd,inv_buyer,$AB7,inv_paid,"N"))</f>
        <v/>
      </c>
      <c r="AF7" s="37">
        <f>IF($AB7="","",_xlfn.MAXIFS(inv_nonlc_dpd,inv_buyer,$AB7))</f>
        <v/>
      </c>
      <c r="AG7" s="37">
        <f>IF($AB7="","",COUNTIFS(inv_buyer,$AB7,inv_hold30,1))</f>
        <v/>
      </c>
      <c r="AH7" s="37">
        <f>IF($AB7="","",IF(OR($AC7=1,$AG7&gt;0),"선적 보류",""))</f>
        <v/>
      </c>
      <c r="AI7" s="37">
        <f>IF($AH7&lt;&gt;"선적 보류","","내부 에스컬레이션: 여신 한도 동결 제안(사람 승인)")</f>
        <v/>
      </c>
      <c r="AJ7" s="37">
        <f>IF($AB7="","",COUNTIFS(inv_buyer,$AB7,inv_alert,"통지 기한 임박*"))</f>
        <v/>
      </c>
      <c r="AK7" s="40">
        <f>IF($AB7="","",'10_LimitLP'!$F7)</f>
        <v/>
      </c>
      <c r="AL7" s="84">
        <f>IF(OR($AB7="",$AK7&lt;=0),"",$AE7/$AK7)</f>
        <v/>
      </c>
      <c r="AM7" s="37">
        <f>IF($AL7="","",IF($AL7&gt;=0.8,"사용률 80%↑ — 출고 전 사전승인(제18조)",""))</f>
        <v/>
      </c>
      <c r="AN7" s="37">
        <f>IF($AB7="","",IFERROR(IF(INDEX($AU$21:$AU$40,MATCH('02_Buyers'!$S4,$AS$21:$AS$40,0))="","",INDEX($AU$21:$AU$40,MATCH('02_Buyers'!$S4,$AS$21:$AS$40,0))),""))</f>
        <v/>
      </c>
      <c r="AO7" s="37">
        <f>IF($AB7="","",IFERROR(IF(INDEX($AV$21:$AV$40,MATCH('02_Buyers'!$S4,$AS$21:$AS$40,0))="","",INDEX($AV$21:$AV$40,MATCH('02_Buyers'!$S4,$AS$21:$AS$40,0))),""))</f>
        <v/>
      </c>
      <c r="AP7" s="37">
        <f>IF(OR($AB7="",$AN7="",$AO7=""),"",IF($AN7&gt;$AO7,"국가등급 하향 — 한도 재산정",""))</f>
        <v/>
      </c>
      <c r="AQ7" s="37">
        <f>IF($AH7="선적 보류",COUNTIF($AH$5:$AH7,"선적 보류"),"")</f>
        <v/>
      </c>
      <c r="AS7" s="12" t="inlineStr">
        <is>
          <t>D+15 단호한 통지</t>
        </is>
      </c>
      <c r="AT7" s="45">
        <f>COUNTIF(inv_stage,AS7)</f>
        <v/>
      </c>
      <c r="AU7" s="44">
        <f>SUMIFS(inv_usd,inv_stage,AS7)</f>
        <v/>
      </c>
    </row>
    <row r="8">
      <c r="A8" t="inlineStr">
        <is>
          <t>INV-2609-0135</t>
        </is>
      </c>
      <c r="B8" t="inlineStr">
        <is>
          <t>B001</t>
        </is>
      </c>
      <c r="C8" t="inlineStr">
        <is>
          <t>NLD</t>
        </is>
      </c>
      <c r="D8" t="inlineStr">
        <is>
          <t>OA</t>
        </is>
      </c>
      <c r="E8" t="inlineStr">
        <is>
          <t>EUR</t>
        </is>
      </c>
      <c r="F8" t="inlineStr">
        <is>
          <t>N</t>
        </is>
      </c>
      <c r="G8" s="32" t="n">
        <v>46291</v>
      </c>
      <c r="H8" s="32" t="n">
        <v>46381</v>
      </c>
      <c r="I8" s="82" t="n">
        <v>5630</v>
      </c>
      <c r="J8" s="82" t="n">
        <v>6418.19</v>
      </c>
      <c r="K8" t="inlineStr">
        <is>
          <t>N</t>
        </is>
      </c>
      <c r="N8" t="inlineStr">
        <is>
          <t>N</t>
        </is>
      </c>
      <c r="O8" s="37">
        <f>IF($A8="","",AsOf-$H8)</f>
        <v/>
      </c>
      <c r="P8" s="37">
        <f>IF($A8="","",IF($K8="Y","-",IF($O8&gt;=30,"D+30 최종통지·선적보류",IF($O8&gt;=15,"D+15 단호한 통지",IF($O8&gt;=7,"D+7 친절한 리마인더",IF(AND($O8&gt;=-3,$O8&lt;=-1),"D-3 사전 안내","모니터링"))))))</f>
        <v/>
      </c>
      <c r="Q8" s="83">
        <f>IF($A8="","",EDATE($H8,1))</f>
        <v/>
      </c>
      <c r="R8" s="37">
        <f>IF($A8="","",$Q8-AsOf)</f>
        <v/>
      </c>
      <c r="S8" s="37">
        <f>IF($A8="","",IF(OR($K8="Y",$F8&lt;&gt;"Y",$O8&lt;=0),"",IF($R8&lt;0,"통지 기한 경과 — 즉시 확인",IF($R8&lt;=NoticeWarnDays,"통지 기한 임박 — 사람 결정",""))))</f>
        <v/>
      </c>
      <c r="T8" s="83">
        <f>IF(OR($A8="",$F8&lt;&gt;"Y"),"",IF(IF($L8="",InsuranceType,$L8)="포괄",DATE(YEAR($G8),MONTH($G8)+1,20),WORKDAY($G8,10)))</f>
        <v/>
      </c>
      <c r="U8" s="83">
        <f>IF(OR($A8="",$M8=""),"",WORKDAY($M8,10))</f>
        <v/>
      </c>
      <c r="V8" s="37">
        <f>IF($A8="","",IF($N8="Y","사기 의심: 콜백 검증 전 대금 안내 중단",""))</f>
        <v/>
      </c>
      <c r="W8" s="37">
        <f>IF($A8="","",IF(AND($K8="N",$D8&lt;&gt;"LC_SIGHT",$D8&lt;&gt;"LC_USANCE",$D8&lt;&gt;"TT_ADV"),$O8,""))</f>
        <v/>
      </c>
      <c r="X8" s="37">
        <f>IF($A8="",0,IF(AND($K8="N",$D8&lt;&gt;"LC_SIGHT",$D8&lt;&gt;"LC_USANCE",$D8&lt;&gt;"TT_ADV",$O8&gt;=30),1,0))</f>
        <v/>
      </c>
      <c r="Y8" s="37">
        <f>IF($A8="","",IF($O8&lt;=0,"미연체",IF($O8&lt;=30,"1-30",IF($O8&lt;=90,"31-90",IF($O8&lt;=180,"91-180",IF($O8&lt;=365,"181-365","365+"))))))</f>
        <v/>
      </c>
      <c r="Z8" s="37">
        <f>IF($S8="통지 기한 임박 — 사람 결정",COUNTIF($S$5:$S8,"통지 기한 임박 — 사람 결정"),"")</f>
        <v/>
      </c>
      <c r="AB8" s="37">
        <f>IF('02_Buyers'!$A5="","",'02_Buyers'!$A5)</f>
        <v/>
      </c>
      <c r="AC8" s="37">
        <f>IF($AB8="","",'02_Buyers'!$AH5)</f>
        <v/>
      </c>
      <c r="AD8" s="37">
        <f>IF($AB8="","",COUNTIFS(inv_buyer,$AB8,inv_paid,"N"))</f>
        <v/>
      </c>
      <c r="AE8" s="40">
        <f>IF($AB8="","",SUMIFS(inv_usd,inv_buyer,$AB8,inv_paid,"N"))</f>
        <v/>
      </c>
      <c r="AF8" s="37">
        <f>IF($AB8="","",_xlfn.MAXIFS(inv_nonlc_dpd,inv_buyer,$AB8))</f>
        <v/>
      </c>
      <c r="AG8" s="37">
        <f>IF($AB8="","",COUNTIFS(inv_buyer,$AB8,inv_hold30,1))</f>
        <v/>
      </c>
      <c r="AH8" s="37">
        <f>IF($AB8="","",IF(OR($AC8=1,$AG8&gt;0),"선적 보류",""))</f>
        <v/>
      </c>
      <c r="AI8" s="37">
        <f>IF($AH8&lt;&gt;"선적 보류","","내부 에스컬레이션: 여신 한도 동결 제안(사람 승인)")</f>
        <v/>
      </c>
      <c r="AJ8" s="37">
        <f>IF($AB8="","",COUNTIFS(inv_buyer,$AB8,inv_alert,"통지 기한 임박*"))</f>
        <v/>
      </c>
      <c r="AK8" s="40">
        <f>IF($AB8="","",'10_LimitLP'!$F8)</f>
        <v/>
      </c>
      <c r="AL8" s="84">
        <f>IF(OR($AB8="",$AK8&lt;=0),"",$AE8/$AK8)</f>
        <v/>
      </c>
      <c r="AM8" s="37">
        <f>IF($AL8="","",IF($AL8&gt;=0.8,"사용률 80%↑ — 출고 전 사전승인(제18조)",""))</f>
        <v/>
      </c>
      <c r="AN8" s="37">
        <f>IF($AB8="","",IFERROR(IF(INDEX($AU$21:$AU$40,MATCH('02_Buyers'!$S5,$AS$21:$AS$40,0))="","",INDEX($AU$21:$AU$40,MATCH('02_Buyers'!$S5,$AS$21:$AS$40,0))),""))</f>
        <v/>
      </c>
      <c r="AO8" s="37">
        <f>IF($AB8="","",IFERROR(IF(INDEX($AV$21:$AV$40,MATCH('02_Buyers'!$S5,$AS$21:$AS$40,0))="","",INDEX($AV$21:$AV$40,MATCH('02_Buyers'!$S5,$AS$21:$AS$40,0))),""))</f>
        <v/>
      </c>
      <c r="AP8" s="37">
        <f>IF(OR($AB8="",$AN8="",$AO8=""),"",IF($AN8&gt;$AO8,"국가등급 하향 — 한도 재산정",""))</f>
        <v/>
      </c>
      <c r="AQ8" s="37">
        <f>IF($AH8="선적 보류",COUNTIF($AH$5:$AH8,"선적 보류"),"")</f>
        <v/>
      </c>
      <c r="AS8" s="12" t="inlineStr">
        <is>
          <t>D+30 최종통지·선적보류</t>
        </is>
      </c>
      <c r="AT8" s="45">
        <f>COUNTIF(inv_stage,AS8)</f>
        <v/>
      </c>
      <c r="AU8" s="44">
        <f>SUMIFS(inv_usd,inv_stage,AS8)</f>
        <v/>
      </c>
    </row>
    <row r="9">
      <c r="A9" t="inlineStr">
        <is>
          <t>INV-2607-0171</t>
        </is>
      </c>
      <c r="B9" t="inlineStr">
        <is>
          <t>B002</t>
        </is>
      </c>
      <c r="C9" t="inlineStr">
        <is>
          <t>CHN</t>
        </is>
      </c>
      <c r="D9" t="inlineStr">
        <is>
          <t>OA</t>
        </is>
      </c>
      <c r="E9" t="inlineStr">
        <is>
          <t>USD</t>
        </is>
      </c>
      <c r="F9" t="inlineStr">
        <is>
          <t>N</t>
        </is>
      </c>
      <c r="G9" s="32" t="n">
        <v>46232</v>
      </c>
      <c r="H9" s="32" t="n">
        <v>46322</v>
      </c>
      <c r="I9" s="82" t="n">
        <v>9170</v>
      </c>
      <c r="J9" s="82" t="n">
        <v>9170</v>
      </c>
      <c r="K9" t="inlineStr">
        <is>
          <t>N</t>
        </is>
      </c>
      <c r="N9" t="inlineStr">
        <is>
          <t>N</t>
        </is>
      </c>
      <c r="O9" s="37">
        <f>IF($A9="","",AsOf-$H9)</f>
        <v/>
      </c>
      <c r="P9" s="37">
        <f>IF($A9="","",IF($K9="Y","-",IF($O9&gt;=30,"D+30 최종통지·선적보류",IF($O9&gt;=15,"D+15 단호한 통지",IF($O9&gt;=7,"D+7 친절한 리마인더",IF(AND($O9&gt;=-3,$O9&lt;=-1),"D-3 사전 안내","모니터링"))))))</f>
        <v/>
      </c>
      <c r="Q9" s="83">
        <f>IF($A9="","",EDATE($H9,1))</f>
        <v/>
      </c>
      <c r="R9" s="37">
        <f>IF($A9="","",$Q9-AsOf)</f>
        <v/>
      </c>
      <c r="S9" s="37">
        <f>IF($A9="","",IF(OR($K9="Y",$F9&lt;&gt;"Y",$O9&lt;=0),"",IF($R9&lt;0,"통지 기한 경과 — 즉시 확인",IF($R9&lt;=NoticeWarnDays,"통지 기한 임박 — 사람 결정",""))))</f>
        <v/>
      </c>
      <c r="T9" s="83">
        <f>IF(OR($A9="",$F9&lt;&gt;"Y"),"",IF(IF($L9="",InsuranceType,$L9)="포괄",DATE(YEAR($G9),MONTH($G9)+1,20),WORKDAY($G9,10)))</f>
        <v/>
      </c>
      <c r="U9" s="83">
        <f>IF(OR($A9="",$M9=""),"",WORKDAY($M9,10))</f>
        <v/>
      </c>
      <c r="V9" s="37">
        <f>IF($A9="","",IF($N9="Y","사기 의심: 콜백 검증 전 대금 안내 중단",""))</f>
        <v/>
      </c>
      <c r="W9" s="37">
        <f>IF($A9="","",IF(AND($K9="N",$D9&lt;&gt;"LC_SIGHT",$D9&lt;&gt;"LC_USANCE",$D9&lt;&gt;"TT_ADV"),$O9,""))</f>
        <v/>
      </c>
      <c r="X9" s="37">
        <f>IF($A9="",0,IF(AND($K9="N",$D9&lt;&gt;"LC_SIGHT",$D9&lt;&gt;"LC_USANCE",$D9&lt;&gt;"TT_ADV",$O9&gt;=30),1,0))</f>
        <v/>
      </c>
      <c r="Y9" s="37">
        <f>IF($A9="","",IF($O9&lt;=0,"미연체",IF($O9&lt;=30,"1-30",IF($O9&lt;=90,"31-90",IF($O9&lt;=180,"91-180",IF($O9&lt;=365,"181-365","365+"))))))</f>
        <v/>
      </c>
      <c r="Z9" s="37">
        <f>IF($S9="통지 기한 임박 — 사람 결정",COUNTIF($S$5:$S9,"통지 기한 임박 — 사람 결정"),"")</f>
        <v/>
      </c>
      <c r="AB9" s="37">
        <f>IF('02_Buyers'!$A6="","",'02_Buyers'!$A6)</f>
        <v/>
      </c>
      <c r="AC9" s="37">
        <f>IF($AB9="","",'02_Buyers'!$AH6)</f>
        <v/>
      </c>
      <c r="AD9" s="37">
        <f>IF($AB9="","",COUNTIFS(inv_buyer,$AB9,inv_paid,"N"))</f>
        <v/>
      </c>
      <c r="AE9" s="40">
        <f>IF($AB9="","",SUMIFS(inv_usd,inv_buyer,$AB9,inv_paid,"N"))</f>
        <v/>
      </c>
      <c r="AF9" s="37">
        <f>IF($AB9="","",_xlfn.MAXIFS(inv_nonlc_dpd,inv_buyer,$AB9))</f>
        <v/>
      </c>
      <c r="AG9" s="37">
        <f>IF($AB9="","",COUNTIFS(inv_buyer,$AB9,inv_hold30,1))</f>
        <v/>
      </c>
      <c r="AH9" s="37">
        <f>IF($AB9="","",IF(OR($AC9=1,$AG9&gt;0),"선적 보류",""))</f>
        <v/>
      </c>
      <c r="AI9" s="37">
        <f>IF($AH9&lt;&gt;"선적 보류","","내부 에스컬레이션: 여신 한도 동결 제안(사람 승인)")</f>
        <v/>
      </c>
      <c r="AJ9" s="37">
        <f>IF($AB9="","",COUNTIFS(inv_buyer,$AB9,inv_alert,"통지 기한 임박*"))</f>
        <v/>
      </c>
      <c r="AK9" s="40">
        <f>IF($AB9="","",'10_LimitLP'!$F9)</f>
        <v/>
      </c>
      <c r="AL9" s="84">
        <f>IF(OR($AB9="",$AK9&lt;=0),"",$AE9/$AK9)</f>
        <v/>
      </c>
      <c r="AM9" s="37">
        <f>IF($AL9="","",IF($AL9&gt;=0.8,"사용률 80%↑ — 출고 전 사전승인(제18조)",""))</f>
        <v/>
      </c>
      <c r="AN9" s="37">
        <f>IF($AB9="","",IFERROR(IF(INDEX($AU$21:$AU$40,MATCH('02_Buyers'!$S6,$AS$21:$AS$40,0))="","",INDEX($AU$21:$AU$40,MATCH('02_Buyers'!$S6,$AS$21:$AS$40,0))),""))</f>
        <v/>
      </c>
      <c r="AO9" s="37">
        <f>IF($AB9="","",IFERROR(IF(INDEX($AV$21:$AV$40,MATCH('02_Buyers'!$S6,$AS$21:$AS$40,0))="","",INDEX($AV$21:$AV$40,MATCH('02_Buyers'!$S6,$AS$21:$AS$40,0))),""))</f>
        <v/>
      </c>
      <c r="AP9" s="37">
        <f>IF(OR($AB9="",$AN9="",$AO9=""),"",IF($AN9&gt;$AO9,"국가등급 하향 — 한도 재산정",""))</f>
        <v/>
      </c>
      <c r="AQ9" s="37">
        <f>IF($AH9="선적 보류",COUNTIF($AH$5:$AH9,"선적 보류"),"")</f>
        <v/>
      </c>
      <c r="AS9" s="12" t="inlineStr">
        <is>
          <t>모니터링</t>
        </is>
      </c>
      <c r="AT9" s="45">
        <f>COUNTIF(inv_stage,AS9)</f>
        <v/>
      </c>
      <c r="AU9" s="44">
        <f>SUMIFS(inv_usd,inv_stage,AS9)</f>
        <v/>
      </c>
    </row>
    <row r="10">
      <c r="A10" t="inlineStr">
        <is>
          <t>INV-2609-0033</t>
        </is>
      </c>
      <c r="B10" t="inlineStr">
        <is>
          <t>B002</t>
        </is>
      </c>
      <c r="C10" t="inlineStr">
        <is>
          <t>CHN</t>
        </is>
      </c>
      <c r="D10" t="inlineStr">
        <is>
          <t>OA</t>
        </is>
      </c>
      <c r="E10" t="inlineStr">
        <is>
          <t>USD</t>
        </is>
      </c>
      <c r="F10" t="inlineStr">
        <is>
          <t>N</t>
        </is>
      </c>
      <c r="G10" s="32" t="n">
        <v>46271</v>
      </c>
      <c r="H10" s="32" t="n">
        <v>46361</v>
      </c>
      <c r="I10" s="82" t="n">
        <v>900</v>
      </c>
      <c r="J10" s="82" t="n">
        <v>900</v>
      </c>
      <c r="K10" t="inlineStr">
        <is>
          <t>N</t>
        </is>
      </c>
      <c r="N10" t="inlineStr">
        <is>
          <t>N</t>
        </is>
      </c>
      <c r="O10" s="37">
        <f>IF($A10="","",AsOf-$H10)</f>
        <v/>
      </c>
      <c r="P10" s="37">
        <f>IF($A10="","",IF($K10="Y","-",IF($O10&gt;=30,"D+30 최종통지·선적보류",IF($O10&gt;=15,"D+15 단호한 통지",IF($O10&gt;=7,"D+7 친절한 리마인더",IF(AND($O10&gt;=-3,$O10&lt;=-1),"D-3 사전 안내","모니터링"))))))</f>
        <v/>
      </c>
      <c r="Q10" s="83">
        <f>IF($A10="","",EDATE($H10,1))</f>
        <v/>
      </c>
      <c r="R10" s="37">
        <f>IF($A10="","",$Q10-AsOf)</f>
        <v/>
      </c>
      <c r="S10" s="37">
        <f>IF($A10="","",IF(OR($K10="Y",$F10&lt;&gt;"Y",$O10&lt;=0),"",IF($R10&lt;0,"통지 기한 경과 — 즉시 확인",IF($R10&lt;=NoticeWarnDays,"통지 기한 임박 — 사람 결정",""))))</f>
        <v/>
      </c>
      <c r="T10" s="83">
        <f>IF(OR($A10="",$F10&lt;&gt;"Y"),"",IF(IF($L10="",InsuranceType,$L10)="포괄",DATE(YEAR($G10),MONTH($G10)+1,20),WORKDAY($G10,10)))</f>
        <v/>
      </c>
      <c r="U10" s="83">
        <f>IF(OR($A10="",$M10=""),"",WORKDAY($M10,10))</f>
        <v/>
      </c>
      <c r="V10" s="37">
        <f>IF($A10="","",IF($N10="Y","사기 의심: 콜백 검증 전 대금 안내 중단",""))</f>
        <v/>
      </c>
      <c r="W10" s="37">
        <f>IF($A10="","",IF(AND($K10="N",$D10&lt;&gt;"LC_SIGHT",$D10&lt;&gt;"LC_USANCE",$D10&lt;&gt;"TT_ADV"),$O10,""))</f>
        <v/>
      </c>
      <c r="X10" s="37">
        <f>IF($A10="",0,IF(AND($K10="N",$D10&lt;&gt;"LC_SIGHT",$D10&lt;&gt;"LC_USANCE",$D10&lt;&gt;"TT_ADV",$O10&gt;=30),1,0))</f>
        <v/>
      </c>
      <c r="Y10" s="37">
        <f>IF($A10="","",IF($O10&lt;=0,"미연체",IF($O10&lt;=30,"1-30",IF($O10&lt;=90,"31-90",IF($O10&lt;=180,"91-180",IF($O10&lt;=365,"181-365","365+"))))))</f>
        <v/>
      </c>
      <c r="Z10" s="37">
        <f>IF($S10="통지 기한 임박 — 사람 결정",COUNTIF($S$5:$S10,"통지 기한 임박 — 사람 결정"),"")</f>
        <v/>
      </c>
      <c r="AB10" s="37">
        <f>IF('02_Buyers'!$A7="","",'02_Buyers'!$A7)</f>
        <v/>
      </c>
      <c r="AC10" s="37">
        <f>IF($AB10="","",'02_Buyers'!$AH7)</f>
        <v/>
      </c>
      <c r="AD10" s="37">
        <f>IF($AB10="","",COUNTIFS(inv_buyer,$AB10,inv_paid,"N"))</f>
        <v/>
      </c>
      <c r="AE10" s="40">
        <f>IF($AB10="","",SUMIFS(inv_usd,inv_buyer,$AB10,inv_paid,"N"))</f>
        <v/>
      </c>
      <c r="AF10" s="37">
        <f>IF($AB10="","",_xlfn.MAXIFS(inv_nonlc_dpd,inv_buyer,$AB10))</f>
        <v/>
      </c>
      <c r="AG10" s="37">
        <f>IF($AB10="","",COUNTIFS(inv_buyer,$AB10,inv_hold30,1))</f>
        <v/>
      </c>
      <c r="AH10" s="37">
        <f>IF($AB10="","",IF(OR($AC10=1,$AG10&gt;0),"선적 보류",""))</f>
        <v/>
      </c>
      <c r="AI10" s="37">
        <f>IF($AH10&lt;&gt;"선적 보류","","내부 에스컬레이션: 여신 한도 동결 제안(사람 승인)")</f>
        <v/>
      </c>
      <c r="AJ10" s="37">
        <f>IF($AB10="","",COUNTIFS(inv_buyer,$AB10,inv_alert,"통지 기한 임박*"))</f>
        <v/>
      </c>
      <c r="AK10" s="40">
        <f>IF($AB10="","",'10_LimitLP'!$F10)</f>
        <v/>
      </c>
      <c r="AL10" s="84">
        <f>IF(OR($AB10="",$AK10&lt;=0),"",$AE10/$AK10)</f>
        <v/>
      </c>
      <c r="AM10" s="37">
        <f>IF($AL10="","",IF($AL10&gt;=0.8,"사용률 80%↑ — 출고 전 사전승인(제18조)",""))</f>
        <v/>
      </c>
      <c r="AN10" s="37">
        <f>IF($AB10="","",IFERROR(IF(INDEX($AU$21:$AU$40,MATCH('02_Buyers'!$S7,$AS$21:$AS$40,0))="","",INDEX($AU$21:$AU$40,MATCH('02_Buyers'!$S7,$AS$21:$AS$40,0))),""))</f>
        <v/>
      </c>
      <c r="AO10" s="37">
        <f>IF($AB10="","",IFERROR(IF(INDEX($AV$21:$AV$40,MATCH('02_Buyers'!$S7,$AS$21:$AS$40,0))="","",INDEX($AV$21:$AV$40,MATCH('02_Buyers'!$S7,$AS$21:$AS$40,0))),""))</f>
        <v/>
      </c>
      <c r="AP10" s="37">
        <f>IF(OR($AB10="",$AN10="",$AO10=""),"",IF($AN10&gt;$AO10,"국가등급 하향 — 한도 재산정",""))</f>
        <v/>
      </c>
      <c r="AQ10" s="37">
        <f>IF($AH10="선적 보류",COUNTIF($AH$5:$AH10,"선적 보류"),"")</f>
        <v/>
      </c>
      <c r="AS10" s="2" t="inlineStr">
        <is>
          <t>합계(미결)</t>
        </is>
      </c>
      <c r="AT10" s="45">
        <f>SUM(AT5:AT9)</f>
        <v/>
      </c>
      <c r="AU10" s="44">
        <f>SUM(AU5:AU9)</f>
        <v/>
      </c>
    </row>
    <row r="11">
      <c r="A11" t="inlineStr">
        <is>
          <t>INV-2606-0085</t>
        </is>
      </c>
      <c r="B11" t="inlineStr">
        <is>
          <t>B005</t>
        </is>
      </c>
      <c r="C11" t="inlineStr">
        <is>
          <t>VNM</t>
        </is>
      </c>
      <c r="D11" t="inlineStr">
        <is>
          <t>OA</t>
        </is>
      </c>
      <c r="E11" t="inlineStr">
        <is>
          <t>USD</t>
        </is>
      </c>
      <c r="F11" t="inlineStr">
        <is>
          <t>Y</t>
        </is>
      </c>
      <c r="G11" s="32" t="n">
        <v>46192</v>
      </c>
      <c r="H11" s="32" t="n">
        <v>46282</v>
      </c>
      <c r="I11" s="82" t="n">
        <v>19920</v>
      </c>
      <c r="J11" s="82" t="n">
        <v>19920</v>
      </c>
      <c r="K11" t="inlineStr">
        <is>
          <t>N</t>
        </is>
      </c>
      <c r="L11" t="inlineStr">
        <is>
          <t>개별</t>
        </is>
      </c>
      <c r="N11" t="inlineStr">
        <is>
          <t>N</t>
        </is>
      </c>
      <c r="O11" s="37">
        <f>IF($A11="","",AsOf-$H11)</f>
        <v/>
      </c>
      <c r="P11" s="37">
        <f>IF($A11="","",IF($K11="Y","-",IF($O11&gt;=30,"D+30 최종통지·선적보류",IF($O11&gt;=15,"D+15 단호한 통지",IF($O11&gt;=7,"D+7 친절한 리마인더",IF(AND($O11&gt;=-3,$O11&lt;=-1),"D-3 사전 안내","모니터링"))))))</f>
        <v/>
      </c>
      <c r="Q11" s="83">
        <f>IF($A11="","",EDATE($H11,1))</f>
        <v/>
      </c>
      <c r="R11" s="37">
        <f>IF($A11="","",$Q11-AsOf)</f>
        <v/>
      </c>
      <c r="S11" s="37">
        <f>IF($A11="","",IF(OR($K11="Y",$F11&lt;&gt;"Y",$O11&lt;=0),"",IF($R11&lt;0,"통지 기한 경과 — 즉시 확인",IF($R11&lt;=NoticeWarnDays,"통지 기한 임박 — 사람 결정",""))))</f>
        <v/>
      </c>
      <c r="T11" s="83">
        <f>IF(OR($A11="",$F11&lt;&gt;"Y"),"",IF(IF($L11="",InsuranceType,$L11)="포괄",DATE(YEAR($G11),MONTH($G11)+1,20),WORKDAY($G11,10)))</f>
        <v/>
      </c>
      <c r="U11" s="83">
        <f>IF(OR($A11="",$M11=""),"",WORKDAY($M11,10))</f>
        <v/>
      </c>
      <c r="V11" s="37">
        <f>IF($A11="","",IF($N11="Y","사기 의심: 콜백 검증 전 대금 안내 중단",""))</f>
        <v/>
      </c>
      <c r="W11" s="37">
        <f>IF($A11="","",IF(AND($K11="N",$D11&lt;&gt;"LC_SIGHT",$D11&lt;&gt;"LC_USANCE",$D11&lt;&gt;"TT_ADV"),$O11,""))</f>
        <v/>
      </c>
      <c r="X11" s="37">
        <f>IF($A11="",0,IF(AND($K11="N",$D11&lt;&gt;"LC_SIGHT",$D11&lt;&gt;"LC_USANCE",$D11&lt;&gt;"TT_ADV",$O11&gt;=30),1,0))</f>
        <v/>
      </c>
      <c r="Y11" s="37">
        <f>IF($A11="","",IF($O11&lt;=0,"미연체",IF($O11&lt;=30,"1-30",IF($O11&lt;=90,"31-90",IF($O11&lt;=180,"91-180",IF($O11&lt;=365,"181-365","365+"))))))</f>
        <v/>
      </c>
      <c r="Z11" s="37">
        <f>IF($S11="통지 기한 임박 — 사람 결정",COUNTIF($S$5:$S11,"통지 기한 임박 — 사람 결정"),"")</f>
        <v/>
      </c>
      <c r="AB11" s="37">
        <f>IF('02_Buyers'!$A8="","",'02_Buyers'!$A8)</f>
        <v/>
      </c>
      <c r="AC11" s="37">
        <f>IF($AB11="","",'02_Buyers'!$AH8)</f>
        <v/>
      </c>
      <c r="AD11" s="37">
        <f>IF($AB11="","",COUNTIFS(inv_buyer,$AB11,inv_paid,"N"))</f>
        <v/>
      </c>
      <c r="AE11" s="40">
        <f>IF($AB11="","",SUMIFS(inv_usd,inv_buyer,$AB11,inv_paid,"N"))</f>
        <v/>
      </c>
      <c r="AF11" s="37">
        <f>IF($AB11="","",_xlfn.MAXIFS(inv_nonlc_dpd,inv_buyer,$AB11))</f>
        <v/>
      </c>
      <c r="AG11" s="37">
        <f>IF($AB11="","",COUNTIFS(inv_buyer,$AB11,inv_hold30,1))</f>
        <v/>
      </c>
      <c r="AH11" s="37">
        <f>IF($AB11="","",IF(OR($AC11=1,$AG11&gt;0),"선적 보류",""))</f>
        <v/>
      </c>
      <c r="AI11" s="37">
        <f>IF($AH11&lt;&gt;"선적 보류","","내부 에스컬레이션: 여신 한도 동결 제안(사람 승인)")</f>
        <v/>
      </c>
      <c r="AJ11" s="37">
        <f>IF($AB11="","",COUNTIFS(inv_buyer,$AB11,inv_alert,"통지 기한 임박*"))</f>
        <v/>
      </c>
      <c r="AK11" s="40">
        <f>IF($AB11="","",'10_LimitLP'!$F11)</f>
        <v/>
      </c>
      <c r="AL11" s="84">
        <f>IF(OR($AB11="",$AK11&lt;=0),"",$AE11/$AK11)</f>
        <v/>
      </c>
      <c r="AM11" s="37">
        <f>IF($AL11="","",IF($AL11&gt;=0.8,"사용률 80%↑ — 출고 전 사전승인(제18조)",""))</f>
        <v/>
      </c>
      <c r="AN11" s="37">
        <f>IF($AB11="","",IFERROR(IF(INDEX($AU$21:$AU$40,MATCH('02_Buyers'!$S8,$AS$21:$AS$40,0))="","",INDEX($AU$21:$AU$40,MATCH('02_Buyers'!$S8,$AS$21:$AS$40,0))),""))</f>
        <v/>
      </c>
      <c r="AO11" s="37">
        <f>IF($AB11="","",IFERROR(IF(INDEX($AV$21:$AV$40,MATCH('02_Buyers'!$S8,$AS$21:$AS$40,0))="","",INDEX($AV$21:$AV$40,MATCH('02_Buyers'!$S8,$AS$21:$AS$40,0))),""))</f>
        <v/>
      </c>
      <c r="AP11" s="37">
        <f>IF(OR($AB11="",$AN11="",$AO11=""),"",IF($AN11&gt;$AO11,"국가등급 하향 — 한도 재산정",""))</f>
        <v/>
      </c>
      <c r="AQ11" s="37">
        <f>IF($AH11="선적 보류",COUNTIF($AH$5:$AH11,"선적 보류"),"")</f>
        <v/>
      </c>
    </row>
    <row r="12">
      <c r="A12" t="inlineStr">
        <is>
          <t>INV-2607-0014</t>
        </is>
      </c>
      <c r="B12" t="inlineStr">
        <is>
          <t>B005</t>
        </is>
      </c>
      <c r="C12" t="inlineStr">
        <is>
          <t>VNM</t>
        </is>
      </c>
      <c r="D12" t="inlineStr">
        <is>
          <t>OA</t>
        </is>
      </c>
      <c r="E12" t="inlineStr">
        <is>
          <t>USD</t>
        </is>
      </c>
      <c r="F12" t="inlineStr">
        <is>
          <t>Y</t>
        </is>
      </c>
      <c r="G12" s="32" t="n">
        <v>46207</v>
      </c>
      <c r="H12" s="32" t="n">
        <v>46297</v>
      </c>
      <c r="I12" s="82" t="n">
        <v>23100</v>
      </c>
      <c r="J12" s="82" t="n">
        <v>23100</v>
      </c>
      <c r="K12" t="inlineStr">
        <is>
          <t>N</t>
        </is>
      </c>
      <c r="L12" t="inlineStr">
        <is>
          <t>개별</t>
        </is>
      </c>
      <c r="N12" t="inlineStr">
        <is>
          <t>N</t>
        </is>
      </c>
      <c r="O12" s="37">
        <f>IF($A12="","",AsOf-$H12)</f>
        <v/>
      </c>
      <c r="P12" s="37">
        <f>IF($A12="","",IF($K12="Y","-",IF($O12&gt;=30,"D+30 최종통지·선적보류",IF($O12&gt;=15,"D+15 단호한 통지",IF($O12&gt;=7,"D+7 친절한 리마인더",IF(AND($O12&gt;=-3,$O12&lt;=-1),"D-3 사전 안내","모니터링"))))))</f>
        <v/>
      </c>
      <c r="Q12" s="83">
        <f>IF($A12="","",EDATE($H12,1))</f>
        <v/>
      </c>
      <c r="R12" s="37">
        <f>IF($A12="","",$Q12-AsOf)</f>
        <v/>
      </c>
      <c r="S12" s="37">
        <f>IF($A12="","",IF(OR($K12="Y",$F12&lt;&gt;"Y",$O12&lt;=0),"",IF($R12&lt;0,"통지 기한 경과 — 즉시 확인",IF($R12&lt;=NoticeWarnDays,"통지 기한 임박 — 사람 결정",""))))</f>
        <v/>
      </c>
      <c r="T12" s="83">
        <f>IF(OR($A12="",$F12&lt;&gt;"Y"),"",IF(IF($L12="",InsuranceType,$L12)="포괄",DATE(YEAR($G12),MONTH($G12)+1,20),WORKDAY($G12,10)))</f>
        <v/>
      </c>
      <c r="U12" s="83">
        <f>IF(OR($A12="",$M12=""),"",WORKDAY($M12,10))</f>
        <v/>
      </c>
      <c r="V12" s="37">
        <f>IF($A12="","",IF($N12="Y","사기 의심: 콜백 검증 전 대금 안내 중단",""))</f>
        <v/>
      </c>
      <c r="W12" s="37">
        <f>IF($A12="","",IF(AND($K12="N",$D12&lt;&gt;"LC_SIGHT",$D12&lt;&gt;"LC_USANCE",$D12&lt;&gt;"TT_ADV"),$O12,""))</f>
        <v/>
      </c>
      <c r="X12" s="37">
        <f>IF($A12="",0,IF(AND($K12="N",$D12&lt;&gt;"LC_SIGHT",$D12&lt;&gt;"LC_USANCE",$D12&lt;&gt;"TT_ADV",$O12&gt;=30),1,0))</f>
        <v/>
      </c>
      <c r="Y12" s="37">
        <f>IF($A12="","",IF($O12&lt;=0,"미연체",IF($O12&lt;=30,"1-30",IF($O12&lt;=90,"31-90",IF($O12&lt;=180,"91-180",IF($O12&lt;=365,"181-365","365+"))))))</f>
        <v/>
      </c>
      <c r="Z12" s="37">
        <f>IF($S12="통지 기한 임박 — 사람 결정",COUNTIF($S$5:$S12,"통지 기한 임박 — 사람 결정"),"")</f>
        <v/>
      </c>
      <c r="AB12" s="37">
        <f>IF('02_Buyers'!$A9="","",'02_Buyers'!$A9)</f>
        <v/>
      </c>
      <c r="AC12" s="37">
        <f>IF($AB12="","",'02_Buyers'!$AH9)</f>
        <v/>
      </c>
      <c r="AD12" s="37">
        <f>IF($AB12="","",COUNTIFS(inv_buyer,$AB12,inv_paid,"N"))</f>
        <v/>
      </c>
      <c r="AE12" s="40">
        <f>IF($AB12="","",SUMIFS(inv_usd,inv_buyer,$AB12,inv_paid,"N"))</f>
        <v/>
      </c>
      <c r="AF12" s="37">
        <f>IF($AB12="","",_xlfn.MAXIFS(inv_nonlc_dpd,inv_buyer,$AB12))</f>
        <v/>
      </c>
      <c r="AG12" s="37">
        <f>IF($AB12="","",COUNTIFS(inv_buyer,$AB12,inv_hold30,1))</f>
        <v/>
      </c>
      <c r="AH12" s="37">
        <f>IF($AB12="","",IF(OR($AC12=1,$AG12&gt;0),"선적 보류",""))</f>
        <v/>
      </c>
      <c r="AI12" s="37">
        <f>IF($AH12&lt;&gt;"선적 보류","","내부 에스컬레이션: 여신 한도 동결 제안(사람 승인)")</f>
        <v/>
      </c>
      <c r="AJ12" s="37">
        <f>IF($AB12="","",COUNTIFS(inv_buyer,$AB12,inv_alert,"통지 기한 임박*"))</f>
        <v/>
      </c>
      <c r="AK12" s="40">
        <f>IF($AB12="","",'10_LimitLP'!$F12)</f>
        <v/>
      </c>
      <c r="AL12" s="84">
        <f>IF(OR($AB12="",$AK12&lt;=0),"",$AE12/$AK12)</f>
        <v/>
      </c>
      <c r="AM12" s="37">
        <f>IF($AL12="","",IF($AL12&gt;=0.8,"사용률 80%↑ — 출고 전 사전승인(제18조)",""))</f>
        <v/>
      </c>
      <c r="AN12" s="37">
        <f>IF($AB12="","",IFERROR(IF(INDEX($AU$21:$AU$40,MATCH('02_Buyers'!$S9,$AS$21:$AS$40,0))="","",INDEX($AU$21:$AU$40,MATCH('02_Buyers'!$S9,$AS$21:$AS$40,0))),""))</f>
        <v/>
      </c>
      <c r="AO12" s="37">
        <f>IF($AB12="","",IFERROR(IF(INDEX($AV$21:$AV$40,MATCH('02_Buyers'!$S9,$AS$21:$AS$40,0))="","",INDEX($AV$21:$AV$40,MATCH('02_Buyers'!$S9,$AS$21:$AS$40,0))),""))</f>
        <v/>
      </c>
      <c r="AP12" s="37">
        <f>IF(OR($AB12="",$AN12="",$AO12=""),"",IF($AN12&gt;$AO12,"국가등급 하향 — 한도 재산정",""))</f>
        <v/>
      </c>
      <c r="AQ12" s="37">
        <f>IF($AH12="선적 보류",COUNTIF($AH$5:$AH12,"선적 보류"),"")</f>
        <v/>
      </c>
      <c r="AS12" s="12" t="inlineStr">
        <is>
          <t>K-SURE 통지 기한 임박(건)</t>
        </is>
      </c>
      <c r="AT12" s="45">
        <f>COUNTIF(inv_alert,"통지 기한 임박*")</f>
        <v/>
      </c>
    </row>
    <row r="13">
      <c r="A13" t="inlineStr">
        <is>
          <t>INV-2607-0043</t>
        </is>
      </c>
      <c r="B13" t="inlineStr">
        <is>
          <t>B005</t>
        </is>
      </c>
      <c r="C13" t="inlineStr">
        <is>
          <t>VNM</t>
        </is>
      </c>
      <c r="D13" t="inlineStr">
        <is>
          <t>OA</t>
        </is>
      </c>
      <c r="E13" t="inlineStr">
        <is>
          <t>USD</t>
        </is>
      </c>
      <c r="F13" t="inlineStr">
        <is>
          <t>Y</t>
        </is>
      </c>
      <c r="G13" s="32" t="n">
        <v>46212</v>
      </c>
      <c r="H13" s="32" t="n">
        <v>46302</v>
      </c>
      <c r="I13" s="82" t="n">
        <v>9130</v>
      </c>
      <c r="J13" s="82" t="n">
        <v>9130</v>
      </c>
      <c r="K13" t="inlineStr">
        <is>
          <t>N</t>
        </is>
      </c>
      <c r="L13" t="inlineStr">
        <is>
          <t>개별</t>
        </is>
      </c>
      <c r="N13" t="inlineStr">
        <is>
          <t>N</t>
        </is>
      </c>
      <c r="O13" s="37">
        <f>IF($A13="","",AsOf-$H13)</f>
        <v/>
      </c>
      <c r="P13" s="37">
        <f>IF($A13="","",IF($K13="Y","-",IF($O13&gt;=30,"D+30 최종통지·선적보류",IF($O13&gt;=15,"D+15 단호한 통지",IF($O13&gt;=7,"D+7 친절한 리마인더",IF(AND($O13&gt;=-3,$O13&lt;=-1),"D-3 사전 안내","모니터링"))))))</f>
        <v/>
      </c>
      <c r="Q13" s="83">
        <f>IF($A13="","",EDATE($H13,1))</f>
        <v/>
      </c>
      <c r="R13" s="37">
        <f>IF($A13="","",$Q13-AsOf)</f>
        <v/>
      </c>
      <c r="S13" s="37">
        <f>IF($A13="","",IF(OR($K13="Y",$F13&lt;&gt;"Y",$O13&lt;=0),"",IF($R13&lt;0,"통지 기한 경과 — 즉시 확인",IF($R13&lt;=NoticeWarnDays,"통지 기한 임박 — 사람 결정",""))))</f>
        <v/>
      </c>
      <c r="T13" s="83">
        <f>IF(OR($A13="",$F13&lt;&gt;"Y"),"",IF(IF($L13="",InsuranceType,$L13)="포괄",DATE(YEAR($G13),MONTH($G13)+1,20),WORKDAY($G13,10)))</f>
        <v/>
      </c>
      <c r="U13" s="83">
        <f>IF(OR($A13="",$M13=""),"",WORKDAY($M13,10))</f>
        <v/>
      </c>
      <c r="V13" s="37">
        <f>IF($A13="","",IF($N13="Y","사기 의심: 콜백 검증 전 대금 안내 중단",""))</f>
        <v/>
      </c>
      <c r="W13" s="37">
        <f>IF($A13="","",IF(AND($K13="N",$D13&lt;&gt;"LC_SIGHT",$D13&lt;&gt;"LC_USANCE",$D13&lt;&gt;"TT_ADV"),$O13,""))</f>
        <v/>
      </c>
      <c r="X13" s="37">
        <f>IF($A13="",0,IF(AND($K13="N",$D13&lt;&gt;"LC_SIGHT",$D13&lt;&gt;"LC_USANCE",$D13&lt;&gt;"TT_ADV",$O13&gt;=30),1,0))</f>
        <v/>
      </c>
      <c r="Y13" s="37">
        <f>IF($A13="","",IF($O13&lt;=0,"미연체",IF($O13&lt;=30,"1-30",IF($O13&lt;=90,"31-90",IF($O13&lt;=180,"91-180",IF($O13&lt;=365,"181-365","365+"))))))</f>
        <v/>
      </c>
      <c r="Z13" s="37">
        <f>IF($S13="통지 기한 임박 — 사람 결정",COUNTIF($S$5:$S13,"통지 기한 임박 — 사람 결정"),"")</f>
        <v/>
      </c>
      <c r="AB13" s="37">
        <f>IF('02_Buyers'!$A10="","",'02_Buyers'!$A10)</f>
        <v/>
      </c>
      <c r="AC13" s="37">
        <f>IF($AB13="","",'02_Buyers'!$AH10)</f>
        <v/>
      </c>
      <c r="AD13" s="37">
        <f>IF($AB13="","",COUNTIFS(inv_buyer,$AB13,inv_paid,"N"))</f>
        <v/>
      </c>
      <c r="AE13" s="40">
        <f>IF($AB13="","",SUMIFS(inv_usd,inv_buyer,$AB13,inv_paid,"N"))</f>
        <v/>
      </c>
      <c r="AF13" s="37">
        <f>IF($AB13="","",_xlfn.MAXIFS(inv_nonlc_dpd,inv_buyer,$AB13))</f>
        <v/>
      </c>
      <c r="AG13" s="37">
        <f>IF($AB13="","",COUNTIFS(inv_buyer,$AB13,inv_hold30,1))</f>
        <v/>
      </c>
      <c r="AH13" s="37">
        <f>IF($AB13="","",IF(OR($AC13=1,$AG13&gt;0),"선적 보류",""))</f>
        <v/>
      </c>
      <c r="AI13" s="37">
        <f>IF($AH13&lt;&gt;"선적 보류","","내부 에스컬레이션: 여신 한도 동결 제안(사람 승인)")</f>
        <v/>
      </c>
      <c r="AJ13" s="37">
        <f>IF($AB13="","",COUNTIFS(inv_buyer,$AB13,inv_alert,"통지 기한 임박*"))</f>
        <v/>
      </c>
      <c r="AK13" s="40">
        <f>IF($AB13="","",'10_LimitLP'!$F13)</f>
        <v/>
      </c>
      <c r="AL13" s="84">
        <f>IF(OR($AB13="",$AK13&lt;=0),"",$AE13/$AK13)</f>
        <v/>
      </c>
      <c r="AM13" s="37">
        <f>IF($AL13="","",IF($AL13&gt;=0.8,"사용률 80%↑ — 출고 전 사전승인(제18조)",""))</f>
        <v/>
      </c>
      <c r="AN13" s="37">
        <f>IF($AB13="","",IFERROR(IF(INDEX($AU$21:$AU$40,MATCH('02_Buyers'!$S10,$AS$21:$AS$40,0))="","",INDEX($AU$21:$AU$40,MATCH('02_Buyers'!$S10,$AS$21:$AS$40,0))),""))</f>
        <v/>
      </c>
      <c r="AO13" s="37">
        <f>IF($AB13="","",IFERROR(IF(INDEX($AV$21:$AV$40,MATCH('02_Buyers'!$S10,$AS$21:$AS$40,0))="","",INDEX($AV$21:$AV$40,MATCH('02_Buyers'!$S10,$AS$21:$AS$40,0))),""))</f>
        <v/>
      </c>
      <c r="AP13" s="37">
        <f>IF(OR($AB13="",$AN13="",$AO13=""),"",IF($AN13&gt;$AO13,"국가등급 하향 — 한도 재산정",""))</f>
        <v/>
      </c>
      <c r="AQ13" s="37">
        <f>IF($AH13="선적 보류",COUNTIF($AH$5:$AH13,"선적 보류"),"")</f>
        <v/>
      </c>
      <c r="AS13" s="12" t="inlineStr">
        <is>
          <t>K-SURE 통지 기한 경과(건)</t>
        </is>
      </c>
      <c r="AT13" s="45">
        <f>COUNTIF(inv_alert,"통지 기한 경과*")</f>
        <v/>
      </c>
    </row>
    <row r="14">
      <c r="A14" t="inlineStr">
        <is>
          <t>INV-2607-0085</t>
        </is>
      </c>
      <c r="B14" t="inlineStr">
        <is>
          <t>B005</t>
        </is>
      </c>
      <c r="C14" t="inlineStr">
        <is>
          <t>VNM</t>
        </is>
      </c>
      <c r="D14" t="inlineStr">
        <is>
          <t>OA</t>
        </is>
      </c>
      <c r="E14" t="inlineStr">
        <is>
          <t>USD</t>
        </is>
      </c>
      <c r="F14" t="inlineStr">
        <is>
          <t>Y</t>
        </is>
      </c>
      <c r="G14" s="32" t="n">
        <v>46219</v>
      </c>
      <c r="H14" s="32" t="n">
        <v>46309</v>
      </c>
      <c r="I14" s="82" t="n">
        <v>38050</v>
      </c>
      <c r="J14" s="82" t="n">
        <v>38050</v>
      </c>
      <c r="K14" t="inlineStr">
        <is>
          <t>N</t>
        </is>
      </c>
      <c r="L14" t="inlineStr">
        <is>
          <t>개별</t>
        </is>
      </c>
      <c r="N14" t="inlineStr">
        <is>
          <t>N</t>
        </is>
      </c>
      <c r="O14" s="37">
        <f>IF($A14="","",AsOf-$H14)</f>
        <v/>
      </c>
      <c r="P14" s="37">
        <f>IF($A14="","",IF($K14="Y","-",IF($O14&gt;=30,"D+30 최종통지·선적보류",IF($O14&gt;=15,"D+15 단호한 통지",IF($O14&gt;=7,"D+7 친절한 리마인더",IF(AND($O14&gt;=-3,$O14&lt;=-1),"D-3 사전 안내","모니터링"))))))</f>
        <v/>
      </c>
      <c r="Q14" s="83">
        <f>IF($A14="","",EDATE($H14,1))</f>
        <v/>
      </c>
      <c r="R14" s="37">
        <f>IF($A14="","",$Q14-AsOf)</f>
        <v/>
      </c>
      <c r="S14" s="37">
        <f>IF($A14="","",IF(OR($K14="Y",$F14&lt;&gt;"Y",$O14&lt;=0),"",IF($R14&lt;0,"통지 기한 경과 — 즉시 확인",IF($R14&lt;=NoticeWarnDays,"통지 기한 임박 — 사람 결정",""))))</f>
        <v/>
      </c>
      <c r="T14" s="83">
        <f>IF(OR($A14="",$F14&lt;&gt;"Y"),"",IF(IF($L14="",InsuranceType,$L14)="포괄",DATE(YEAR($G14),MONTH($G14)+1,20),WORKDAY($G14,10)))</f>
        <v/>
      </c>
      <c r="U14" s="83">
        <f>IF(OR($A14="",$M14=""),"",WORKDAY($M14,10))</f>
        <v/>
      </c>
      <c r="V14" s="37">
        <f>IF($A14="","",IF($N14="Y","사기 의심: 콜백 검증 전 대금 안내 중단",""))</f>
        <v/>
      </c>
      <c r="W14" s="37">
        <f>IF($A14="","",IF(AND($K14="N",$D14&lt;&gt;"LC_SIGHT",$D14&lt;&gt;"LC_USANCE",$D14&lt;&gt;"TT_ADV"),$O14,""))</f>
        <v/>
      </c>
      <c r="X14" s="37">
        <f>IF($A14="",0,IF(AND($K14="N",$D14&lt;&gt;"LC_SIGHT",$D14&lt;&gt;"LC_USANCE",$D14&lt;&gt;"TT_ADV",$O14&gt;=30),1,0))</f>
        <v/>
      </c>
      <c r="Y14" s="37">
        <f>IF($A14="","",IF($O14&lt;=0,"미연체",IF($O14&lt;=30,"1-30",IF($O14&lt;=90,"31-90",IF($O14&lt;=180,"91-180",IF($O14&lt;=365,"181-365","365+"))))))</f>
        <v/>
      </c>
      <c r="Z14" s="37">
        <f>IF($S14="통지 기한 임박 — 사람 결정",COUNTIF($S$5:$S14,"통지 기한 임박 — 사람 결정"),"")</f>
        <v/>
      </c>
      <c r="AB14" s="37">
        <f>IF('02_Buyers'!$A11="","",'02_Buyers'!$A11)</f>
        <v/>
      </c>
      <c r="AC14" s="37">
        <f>IF($AB14="","",'02_Buyers'!$AH11)</f>
        <v/>
      </c>
      <c r="AD14" s="37">
        <f>IF($AB14="","",COUNTIFS(inv_buyer,$AB14,inv_paid,"N"))</f>
        <v/>
      </c>
      <c r="AE14" s="40">
        <f>IF($AB14="","",SUMIFS(inv_usd,inv_buyer,$AB14,inv_paid,"N"))</f>
        <v/>
      </c>
      <c r="AF14" s="37">
        <f>IF($AB14="","",_xlfn.MAXIFS(inv_nonlc_dpd,inv_buyer,$AB14))</f>
        <v/>
      </c>
      <c r="AG14" s="37">
        <f>IF($AB14="","",COUNTIFS(inv_buyer,$AB14,inv_hold30,1))</f>
        <v/>
      </c>
      <c r="AH14" s="37">
        <f>IF($AB14="","",IF(OR($AC14=1,$AG14&gt;0),"선적 보류",""))</f>
        <v/>
      </c>
      <c r="AI14" s="37">
        <f>IF($AH14&lt;&gt;"선적 보류","","내부 에스컬레이션: 여신 한도 동결 제안(사람 승인)")</f>
        <v/>
      </c>
      <c r="AJ14" s="37">
        <f>IF($AB14="","",COUNTIFS(inv_buyer,$AB14,inv_alert,"통지 기한 임박*"))</f>
        <v/>
      </c>
      <c r="AK14" s="40">
        <f>IF($AB14="","",'10_LimitLP'!$F14)</f>
        <v/>
      </c>
      <c r="AL14" s="84">
        <f>IF(OR($AB14="",$AK14&lt;=0),"",$AE14/$AK14)</f>
        <v/>
      </c>
      <c r="AM14" s="37">
        <f>IF($AL14="","",IF($AL14&gt;=0.8,"사용률 80%↑ — 출고 전 사전승인(제18조)",""))</f>
        <v/>
      </c>
      <c r="AN14" s="37">
        <f>IF($AB14="","",IFERROR(IF(INDEX($AU$21:$AU$40,MATCH('02_Buyers'!$S11,$AS$21:$AS$40,0))="","",INDEX($AU$21:$AU$40,MATCH('02_Buyers'!$S11,$AS$21:$AS$40,0))),""))</f>
        <v/>
      </c>
      <c r="AO14" s="37">
        <f>IF($AB14="","",IFERROR(IF(INDEX($AV$21:$AV$40,MATCH('02_Buyers'!$S11,$AS$21:$AS$40,0))="","",INDEX($AV$21:$AV$40,MATCH('02_Buyers'!$S11,$AS$21:$AS$40,0))),""))</f>
        <v/>
      </c>
      <c r="AP14" s="37">
        <f>IF(OR($AB14="",$AN14="",$AO14=""),"",IF($AN14&gt;$AO14,"국가등급 하향 — 한도 재산정",""))</f>
        <v/>
      </c>
      <c r="AQ14" s="37">
        <f>IF($AH14="선적 보류",COUNTIF($AH$5:$AH14,"선적 보류"),"")</f>
        <v/>
      </c>
      <c r="AS14" s="12" t="inlineStr">
        <is>
          <t>사기 경보(건)</t>
        </is>
      </c>
      <c r="AT14" s="45">
        <f>COUNTIF(inv_fraud,"사기*")</f>
        <v/>
      </c>
    </row>
    <row r="15">
      <c r="A15" t="inlineStr">
        <is>
          <t>INV-2607-0133</t>
        </is>
      </c>
      <c r="B15" t="inlineStr">
        <is>
          <t>B005</t>
        </is>
      </c>
      <c r="C15" t="inlineStr">
        <is>
          <t>VNM</t>
        </is>
      </c>
      <c r="D15" t="inlineStr">
        <is>
          <t>OA</t>
        </is>
      </c>
      <c r="E15" t="inlineStr">
        <is>
          <t>USD</t>
        </is>
      </c>
      <c r="F15" t="inlineStr">
        <is>
          <t>Y</t>
        </is>
      </c>
      <c r="G15" s="32" t="n">
        <v>46225</v>
      </c>
      <c r="H15" s="32" t="n">
        <v>46315</v>
      </c>
      <c r="I15" s="82" t="n">
        <v>13160</v>
      </c>
      <c r="J15" s="82" t="n">
        <v>13160</v>
      </c>
      <c r="K15" t="inlineStr">
        <is>
          <t>N</t>
        </is>
      </c>
      <c r="L15" t="inlineStr">
        <is>
          <t>개별</t>
        </is>
      </c>
      <c r="N15" t="inlineStr">
        <is>
          <t>N</t>
        </is>
      </c>
      <c r="O15" s="37">
        <f>IF($A15="","",AsOf-$H15)</f>
        <v/>
      </c>
      <c r="P15" s="37">
        <f>IF($A15="","",IF($K15="Y","-",IF($O15&gt;=30,"D+30 최종통지·선적보류",IF($O15&gt;=15,"D+15 단호한 통지",IF($O15&gt;=7,"D+7 친절한 리마인더",IF(AND($O15&gt;=-3,$O15&lt;=-1),"D-3 사전 안내","모니터링"))))))</f>
        <v/>
      </c>
      <c r="Q15" s="83">
        <f>IF($A15="","",EDATE($H15,1))</f>
        <v/>
      </c>
      <c r="R15" s="37">
        <f>IF($A15="","",$Q15-AsOf)</f>
        <v/>
      </c>
      <c r="S15" s="37">
        <f>IF($A15="","",IF(OR($K15="Y",$F15&lt;&gt;"Y",$O15&lt;=0),"",IF($R15&lt;0,"통지 기한 경과 — 즉시 확인",IF($R15&lt;=NoticeWarnDays,"통지 기한 임박 — 사람 결정",""))))</f>
        <v/>
      </c>
      <c r="T15" s="83">
        <f>IF(OR($A15="",$F15&lt;&gt;"Y"),"",IF(IF($L15="",InsuranceType,$L15)="포괄",DATE(YEAR($G15),MONTH($G15)+1,20),WORKDAY($G15,10)))</f>
        <v/>
      </c>
      <c r="U15" s="83">
        <f>IF(OR($A15="",$M15=""),"",WORKDAY($M15,10))</f>
        <v/>
      </c>
      <c r="V15" s="37">
        <f>IF($A15="","",IF($N15="Y","사기 의심: 콜백 검증 전 대금 안내 중단",""))</f>
        <v/>
      </c>
      <c r="W15" s="37">
        <f>IF($A15="","",IF(AND($K15="N",$D15&lt;&gt;"LC_SIGHT",$D15&lt;&gt;"LC_USANCE",$D15&lt;&gt;"TT_ADV"),$O15,""))</f>
        <v/>
      </c>
      <c r="X15" s="37">
        <f>IF($A15="",0,IF(AND($K15="N",$D15&lt;&gt;"LC_SIGHT",$D15&lt;&gt;"LC_USANCE",$D15&lt;&gt;"TT_ADV",$O15&gt;=30),1,0))</f>
        <v/>
      </c>
      <c r="Y15" s="37">
        <f>IF($A15="","",IF($O15&lt;=0,"미연체",IF($O15&lt;=30,"1-30",IF($O15&lt;=90,"31-90",IF($O15&lt;=180,"91-180",IF($O15&lt;=365,"181-365","365+"))))))</f>
        <v/>
      </c>
      <c r="Z15" s="37">
        <f>IF($S15="통지 기한 임박 — 사람 결정",COUNTIF($S$5:$S15,"통지 기한 임박 — 사람 결정"),"")</f>
        <v/>
      </c>
      <c r="AB15" s="37">
        <f>IF('02_Buyers'!$A12="","",'02_Buyers'!$A12)</f>
        <v/>
      </c>
      <c r="AC15" s="37">
        <f>IF($AB15="","",'02_Buyers'!$AH12)</f>
        <v/>
      </c>
      <c r="AD15" s="37">
        <f>IF($AB15="","",COUNTIFS(inv_buyer,$AB15,inv_paid,"N"))</f>
        <v/>
      </c>
      <c r="AE15" s="40">
        <f>IF($AB15="","",SUMIFS(inv_usd,inv_buyer,$AB15,inv_paid,"N"))</f>
        <v/>
      </c>
      <c r="AF15" s="37">
        <f>IF($AB15="","",_xlfn.MAXIFS(inv_nonlc_dpd,inv_buyer,$AB15))</f>
        <v/>
      </c>
      <c r="AG15" s="37">
        <f>IF($AB15="","",COUNTIFS(inv_buyer,$AB15,inv_hold30,1))</f>
        <v/>
      </c>
      <c r="AH15" s="37">
        <f>IF($AB15="","",IF(OR($AC15=1,$AG15&gt;0),"선적 보류",""))</f>
        <v/>
      </c>
      <c r="AI15" s="37">
        <f>IF($AH15&lt;&gt;"선적 보류","","내부 에스컬레이션: 여신 한도 동결 제안(사람 승인)")</f>
        <v/>
      </c>
      <c r="AJ15" s="37">
        <f>IF($AB15="","",COUNTIFS(inv_buyer,$AB15,inv_alert,"통지 기한 임박*"))</f>
        <v/>
      </c>
      <c r="AK15" s="40">
        <f>IF($AB15="","",'10_LimitLP'!$F15)</f>
        <v/>
      </c>
      <c r="AL15" s="84">
        <f>IF(OR($AB15="",$AK15&lt;=0),"",$AE15/$AK15)</f>
        <v/>
      </c>
      <c r="AM15" s="37">
        <f>IF($AL15="","",IF($AL15&gt;=0.8,"사용률 80%↑ — 출고 전 사전승인(제18조)",""))</f>
        <v/>
      </c>
      <c r="AN15" s="37">
        <f>IF($AB15="","",IFERROR(IF(INDEX($AU$21:$AU$40,MATCH('02_Buyers'!$S12,$AS$21:$AS$40,0))="","",INDEX($AU$21:$AU$40,MATCH('02_Buyers'!$S12,$AS$21:$AS$40,0))),""))</f>
        <v/>
      </c>
      <c r="AO15" s="37">
        <f>IF($AB15="","",IFERROR(IF(INDEX($AV$21:$AV$40,MATCH('02_Buyers'!$S12,$AS$21:$AS$40,0))="","",INDEX($AV$21:$AV$40,MATCH('02_Buyers'!$S12,$AS$21:$AS$40,0))),""))</f>
        <v/>
      </c>
      <c r="AP15" s="37">
        <f>IF(OR($AB15="",$AN15="",$AO15=""),"",IF($AN15&gt;$AO15,"국가등급 하향 — 한도 재산정",""))</f>
        <v/>
      </c>
      <c r="AQ15" s="37">
        <f>IF($AH15="선적 보류",COUNTIF($AH$5:$AH15,"선적 보류"),"")</f>
        <v/>
      </c>
      <c r="AS15" s="12" t="inlineStr">
        <is>
          <t>선적 보류 바이어(곳)</t>
        </is>
      </c>
      <c r="AT15" s="45">
        <f>COUNTIF(ew_ship_hold,"선적 보류")</f>
        <v/>
      </c>
    </row>
    <row r="16">
      <c r="A16" t="inlineStr">
        <is>
          <t>INV-2608-0066</t>
        </is>
      </c>
      <c r="B16" t="inlineStr">
        <is>
          <t>B005</t>
        </is>
      </c>
      <c r="C16" t="inlineStr">
        <is>
          <t>VNM</t>
        </is>
      </c>
      <c r="D16" t="inlineStr">
        <is>
          <t>OA</t>
        </is>
      </c>
      <c r="E16" t="inlineStr">
        <is>
          <t>USD</t>
        </is>
      </c>
      <c r="F16" t="inlineStr">
        <is>
          <t>Y</t>
        </is>
      </c>
      <c r="G16" s="32" t="n">
        <v>46249</v>
      </c>
      <c r="H16" s="32" t="n">
        <v>46339</v>
      </c>
      <c r="I16" s="82" t="n">
        <v>7750</v>
      </c>
      <c r="J16" s="82" t="n">
        <v>7750</v>
      </c>
      <c r="K16" t="inlineStr">
        <is>
          <t>N</t>
        </is>
      </c>
      <c r="L16" t="inlineStr">
        <is>
          <t>개별</t>
        </is>
      </c>
      <c r="N16" t="inlineStr">
        <is>
          <t>N</t>
        </is>
      </c>
      <c r="O16" s="37">
        <f>IF($A16="","",AsOf-$H16)</f>
        <v/>
      </c>
      <c r="P16" s="37">
        <f>IF($A16="","",IF($K16="Y","-",IF($O16&gt;=30,"D+30 최종통지·선적보류",IF($O16&gt;=15,"D+15 단호한 통지",IF($O16&gt;=7,"D+7 친절한 리마인더",IF(AND($O16&gt;=-3,$O16&lt;=-1),"D-3 사전 안내","모니터링"))))))</f>
        <v/>
      </c>
      <c r="Q16" s="83">
        <f>IF($A16="","",EDATE($H16,1))</f>
        <v/>
      </c>
      <c r="R16" s="37">
        <f>IF($A16="","",$Q16-AsOf)</f>
        <v/>
      </c>
      <c r="S16" s="37">
        <f>IF($A16="","",IF(OR($K16="Y",$F16&lt;&gt;"Y",$O16&lt;=0),"",IF($R16&lt;0,"통지 기한 경과 — 즉시 확인",IF($R16&lt;=NoticeWarnDays,"통지 기한 임박 — 사람 결정",""))))</f>
        <v/>
      </c>
      <c r="T16" s="83">
        <f>IF(OR($A16="",$F16&lt;&gt;"Y"),"",IF(IF($L16="",InsuranceType,$L16)="포괄",DATE(YEAR($G16),MONTH($G16)+1,20),WORKDAY($G16,10)))</f>
        <v/>
      </c>
      <c r="U16" s="83">
        <f>IF(OR($A16="",$M16=""),"",WORKDAY($M16,10))</f>
        <v/>
      </c>
      <c r="V16" s="37">
        <f>IF($A16="","",IF($N16="Y","사기 의심: 콜백 검증 전 대금 안내 중단",""))</f>
        <v/>
      </c>
      <c r="W16" s="37">
        <f>IF($A16="","",IF(AND($K16="N",$D16&lt;&gt;"LC_SIGHT",$D16&lt;&gt;"LC_USANCE",$D16&lt;&gt;"TT_ADV"),$O16,""))</f>
        <v/>
      </c>
      <c r="X16" s="37">
        <f>IF($A16="",0,IF(AND($K16="N",$D16&lt;&gt;"LC_SIGHT",$D16&lt;&gt;"LC_USANCE",$D16&lt;&gt;"TT_ADV",$O16&gt;=30),1,0))</f>
        <v/>
      </c>
      <c r="Y16" s="37">
        <f>IF($A16="","",IF($O16&lt;=0,"미연체",IF($O16&lt;=30,"1-30",IF($O16&lt;=90,"31-90",IF($O16&lt;=180,"91-180",IF($O16&lt;=365,"181-365","365+"))))))</f>
        <v/>
      </c>
      <c r="Z16" s="37">
        <f>IF($S16="통지 기한 임박 — 사람 결정",COUNTIF($S$5:$S16,"통지 기한 임박 — 사람 결정"),"")</f>
        <v/>
      </c>
      <c r="AB16" s="37">
        <f>IF('02_Buyers'!$A13="","",'02_Buyers'!$A13)</f>
        <v/>
      </c>
      <c r="AC16" s="37">
        <f>IF($AB16="","",'02_Buyers'!$AH13)</f>
        <v/>
      </c>
      <c r="AD16" s="37">
        <f>IF($AB16="","",COUNTIFS(inv_buyer,$AB16,inv_paid,"N"))</f>
        <v/>
      </c>
      <c r="AE16" s="40">
        <f>IF($AB16="","",SUMIFS(inv_usd,inv_buyer,$AB16,inv_paid,"N"))</f>
        <v/>
      </c>
      <c r="AF16" s="37">
        <f>IF($AB16="","",_xlfn.MAXIFS(inv_nonlc_dpd,inv_buyer,$AB16))</f>
        <v/>
      </c>
      <c r="AG16" s="37">
        <f>IF($AB16="","",COUNTIFS(inv_buyer,$AB16,inv_hold30,1))</f>
        <v/>
      </c>
      <c r="AH16" s="37">
        <f>IF($AB16="","",IF(OR($AC16=1,$AG16&gt;0),"선적 보류",""))</f>
        <v/>
      </c>
      <c r="AI16" s="37">
        <f>IF($AH16&lt;&gt;"선적 보류","","내부 에스컬레이션: 여신 한도 동결 제안(사람 승인)")</f>
        <v/>
      </c>
      <c r="AJ16" s="37">
        <f>IF($AB16="","",COUNTIFS(inv_buyer,$AB16,inv_alert,"통지 기한 임박*"))</f>
        <v/>
      </c>
      <c r="AK16" s="40">
        <f>IF($AB16="","",'10_LimitLP'!$F16)</f>
        <v/>
      </c>
      <c r="AL16" s="84">
        <f>IF(OR($AB16="",$AK16&lt;=0),"",$AE16/$AK16)</f>
        <v/>
      </c>
      <c r="AM16" s="37">
        <f>IF($AL16="","",IF($AL16&gt;=0.8,"사용률 80%↑ — 출고 전 사전승인(제18조)",""))</f>
        <v/>
      </c>
      <c r="AN16" s="37">
        <f>IF($AB16="","",IFERROR(IF(INDEX($AU$21:$AU$40,MATCH('02_Buyers'!$S13,$AS$21:$AS$40,0))="","",INDEX($AU$21:$AU$40,MATCH('02_Buyers'!$S13,$AS$21:$AS$40,0))),""))</f>
        <v/>
      </c>
      <c r="AO16" s="37">
        <f>IF($AB16="","",IFERROR(IF(INDEX($AV$21:$AV$40,MATCH('02_Buyers'!$S13,$AS$21:$AS$40,0))="","",INDEX($AV$21:$AV$40,MATCH('02_Buyers'!$S13,$AS$21:$AS$40,0))),""))</f>
        <v/>
      </c>
      <c r="AP16" s="37">
        <f>IF(OR($AB16="",$AN16="",$AO16=""),"",IF($AN16&gt;$AO16,"국가등급 하향 — 한도 재산정",""))</f>
        <v/>
      </c>
      <c r="AQ16" s="37">
        <f>IF($AH16="선적 보류",COUNTIF($AH$5:$AH16,"선적 보류"),"")</f>
        <v/>
      </c>
      <c r="AS16" s="12" t="inlineStr">
        <is>
          <t>사용률 80% 경보(곳)</t>
        </is>
      </c>
      <c r="AT16" s="45">
        <f>COUNTIF($AM$5:$AM$154,"사용률*")</f>
        <v/>
      </c>
    </row>
    <row r="17">
      <c r="A17" t="inlineStr">
        <is>
          <t>INV-2609-0102</t>
        </is>
      </c>
      <c r="B17" t="inlineStr">
        <is>
          <t>B005</t>
        </is>
      </c>
      <c r="C17" t="inlineStr">
        <is>
          <t>VNM</t>
        </is>
      </c>
      <c r="D17" t="inlineStr">
        <is>
          <t>OA</t>
        </is>
      </c>
      <c r="E17" t="inlineStr">
        <is>
          <t>USD</t>
        </is>
      </c>
      <c r="F17" t="inlineStr">
        <is>
          <t>Y</t>
        </is>
      </c>
      <c r="G17" s="32" t="n">
        <v>46285</v>
      </c>
      <c r="H17" s="32" t="n">
        <v>46375</v>
      </c>
      <c r="I17" s="82" t="n">
        <v>228090</v>
      </c>
      <c r="J17" s="82" t="n">
        <v>228090</v>
      </c>
      <c r="K17" t="inlineStr">
        <is>
          <t>N</t>
        </is>
      </c>
      <c r="L17" t="inlineStr">
        <is>
          <t>개별</t>
        </is>
      </c>
      <c r="N17" t="inlineStr">
        <is>
          <t>N</t>
        </is>
      </c>
      <c r="O17" s="37">
        <f>IF($A17="","",AsOf-$H17)</f>
        <v/>
      </c>
      <c r="P17" s="37">
        <f>IF($A17="","",IF($K17="Y","-",IF($O17&gt;=30,"D+30 최종통지·선적보류",IF($O17&gt;=15,"D+15 단호한 통지",IF($O17&gt;=7,"D+7 친절한 리마인더",IF(AND($O17&gt;=-3,$O17&lt;=-1),"D-3 사전 안내","모니터링"))))))</f>
        <v/>
      </c>
      <c r="Q17" s="83">
        <f>IF($A17="","",EDATE($H17,1))</f>
        <v/>
      </c>
      <c r="R17" s="37">
        <f>IF($A17="","",$Q17-AsOf)</f>
        <v/>
      </c>
      <c r="S17" s="37">
        <f>IF($A17="","",IF(OR($K17="Y",$F17&lt;&gt;"Y",$O17&lt;=0),"",IF($R17&lt;0,"통지 기한 경과 — 즉시 확인",IF($R17&lt;=NoticeWarnDays,"통지 기한 임박 — 사람 결정",""))))</f>
        <v/>
      </c>
      <c r="T17" s="83">
        <f>IF(OR($A17="",$F17&lt;&gt;"Y"),"",IF(IF($L17="",InsuranceType,$L17)="포괄",DATE(YEAR($G17),MONTH($G17)+1,20),WORKDAY($G17,10)))</f>
        <v/>
      </c>
      <c r="U17" s="83">
        <f>IF(OR($A17="",$M17=""),"",WORKDAY($M17,10))</f>
        <v/>
      </c>
      <c r="V17" s="37">
        <f>IF($A17="","",IF($N17="Y","사기 의심: 콜백 검증 전 대금 안내 중단",""))</f>
        <v/>
      </c>
      <c r="W17" s="37">
        <f>IF($A17="","",IF(AND($K17="N",$D17&lt;&gt;"LC_SIGHT",$D17&lt;&gt;"LC_USANCE",$D17&lt;&gt;"TT_ADV"),$O17,""))</f>
        <v/>
      </c>
      <c r="X17" s="37">
        <f>IF($A17="",0,IF(AND($K17="N",$D17&lt;&gt;"LC_SIGHT",$D17&lt;&gt;"LC_USANCE",$D17&lt;&gt;"TT_ADV",$O17&gt;=30),1,0))</f>
        <v/>
      </c>
      <c r="Y17" s="37">
        <f>IF($A17="","",IF($O17&lt;=0,"미연체",IF($O17&lt;=30,"1-30",IF($O17&lt;=90,"31-90",IF($O17&lt;=180,"91-180",IF($O17&lt;=365,"181-365","365+"))))))</f>
        <v/>
      </c>
      <c r="Z17" s="37">
        <f>IF($S17="통지 기한 임박 — 사람 결정",COUNTIF($S$5:$S17,"통지 기한 임박 — 사람 결정"),"")</f>
        <v/>
      </c>
      <c r="AB17" s="37">
        <f>IF('02_Buyers'!$A14="","",'02_Buyers'!$A14)</f>
        <v/>
      </c>
      <c r="AC17" s="37">
        <f>IF($AB17="","",'02_Buyers'!$AH14)</f>
        <v/>
      </c>
      <c r="AD17" s="37">
        <f>IF($AB17="","",COUNTIFS(inv_buyer,$AB17,inv_paid,"N"))</f>
        <v/>
      </c>
      <c r="AE17" s="40">
        <f>IF($AB17="","",SUMIFS(inv_usd,inv_buyer,$AB17,inv_paid,"N"))</f>
        <v/>
      </c>
      <c r="AF17" s="37">
        <f>IF($AB17="","",_xlfn.MAXIFS(inv_nonlc_dpd,inv_buyer,$AB17))</f>
        <v/>
      </c>
      <c r="AG17" s="37">
        <f>IF($AB17="","",COUNTIFS(inv_buyer,$AB17,inv_hold30,1))</f>
        <v/>
      </c>
      <c r="AH17" s="37">
        <f>IF($AB17="","",IF(OR($AC17=1,$AG17&gt;0),"선적 보류",""))</f>
        <v/>
      </c>
      <c r="AI17" s="37">
        <f>IF($AH17&lt;&gt;"선적 보류","","내부 에스컬레이션: 여신 한도 동결 제안(사람 승인)")</f>
        <v/>
      </c>
      <c r="AJ17" s="37">
        <f>IF($AB17="","",COUNTIFS(inv_buyer,$AB17,inv_alert,"통지 기한 임박*"))</f>
        <v/>
      </c>
      <c r="AK17" s="40">
        <f>IF($AB17="","",'10_LimitLP'!$F17)</f>
        <v/>
      </c>
      <c r="AL17" s="84">
        <f>IF(OR($AB17="",$AK17&lt;=0),"",$AE17/$AK17)</f>
        <v/>
      </c>
      <c r="AM17" s="37">
        <f>IF($AL17="","",IF($AL17&gt;=0.8,"사용률 80%↑ — 출고 전 사전승인(제18조)",""))</f>
        <v/>
      </c>
      <c r="AN17" s="37">
        <f>IF($AB17="","",IFERROR(IF(INDEX($AU$21:$AU$40,MATCH('02_Buyers'!$S14,$AS$21:$AS$40,0))="","",INDEX($AU$21:$AU$40,MATCH('02_Buyers'!$S14,$AS$21:$AS$40,0))),""))</f>
        <v/>
      </c>
      <c r="AO17" s="37">
        <f>IF($AB17="","",IFERROR(IF(INDEX($AV$21:$AV$40,MATCH('02_Buyers'!$S14,$AS$21:$AS$40,0))="","",INDEX($AV$21:$AV$40,MATCH('02_Buyers'!$S14,$AS$21:$AS$40,0))),""))</f>
        <v/>
      </c>
      <c r="AP17" s="37">
        <f>IF(OR($AB17="",$AN17="",$AO17=""),"",IF($AN17&gt;$AO17,"국가등급 하향 — 한도 재산정",""))</f>
        <v/>
      </c>
      <c r="AQ17" s="37">
        <f>IF($AH17="선적 보류",COUNTIF($AH$5:$AH17,"선적 보류"),"")</f>
        <v/>
      </c>
      <c r="AS17" s="12" t="inlineStr">
        <is>
          <t>국가등급 하향(곳)</t>
        </is>
      </c>
      <c r="AT17" s="45">
        <f>COUNTIF($AP$5:$AP$154,"국가등급*")</f>
        <v/>
      </c>
    </row>
    <row r="18">
      <c r="A18" t="inlineStr">
        <is>
          <t>INV-2609-0150</t>
        </is>
      </c>
      <c r="B18" t="inlineStr">
        <is>
          <t>B005</t>
        </is>
      </c>
      <c r="C18" t="inlineStr">
        <is>
          <t>VNM</t>
        </is>
      </c>
      <c r="D18" t="inlineStr">
        <is>
          <t>OA</t>
        </is>
      </c>
      <c r="E18" t="inlineStr">
        <is>
          <t>USD</t>
        </is>
      </c>
      <c r="F18" t="inlineStr">
        <is>
          <t>Y</t>
        </is>
      </c>
      <c r="G18" s="32" t="n">
        <v>46293</v>
      </c>
      <c r="H18" s="32" t="n">
        <v>46383</v>
      </c>
      <c r="I18" s="82" t="n">
        <v>7160</v>
      </c>
      <c r="J18" s="82" t="n">
        <v>7160</v>
      </c>
      <c r="K18" t="inlineStr">
        <is>
          <t>N</t>
        </is>
      </c>
      <c r="L18" t="inlineStr">
        <is>
          <t>개별</t>
        </is>
      </c>
      <c r="N18" t="inlineStr">
        <is>
          <t>N</t>
        </is>
      </c>
      <c r="O18" s="37">
        <f>IF($A18="","",AsOf-$H18)</f>
        <v/>
      </c>
      <c r="P18" s="37">
        <f>IF($A18="","",IF($K18="Y","-",IF($O18&gt;=30,"D+30 최종통지·선적보류",IF($O18&gt;=15,"D+15 단호한 통지",IF($O18&gt;=7,"D+7 친절한 리마인더",IF(AND($O18&gt;=-3,$O18&lt;=-1),"D-3 사전 안내","모니터링"))))))</f>
        <v/>
      </c>
      <c r="Q18" s="83">
        <f>IF($A18="","",EDATE($H18,1))</f>
        <v/>
      </c>
      <c r="R18" s="37">
        <f>IF($A18="","",$Q18-AsOf)</f>
        <v/>
      </c>
      <c r="S18" s="37">
        <f>IF($A18="","",IF(OR($K18="Y",$F18&lt;&gt;"Y",$O18&lt;=0),"",IF($R18&lt;0,"통지 기한 경과 — 즉시 확인",IF($R18&lt;=NoticeWarnDays,"통지 기한 임박 — 사람 결정",""))))</f>
        <v/>
      </c>
      <c r="T18" s="83">
        <f>IF(OR($A18="",$F18&lt;&gt;"Y"),"",IF(IF($L18="",InsuranceType,$L18)="포괄",DATE(YEAR($G18),MONTH($G18)+1,20),WORKDAY($G18,10)))</f>
        <v/>
      </c>
      <c r="U18" s="83">
        <f>IF(OR($A18="",$M18=""),"",WORKDAY($M18,10))</f>
        <v/>
      </c>
      <c r="V18" s="37">
        <f>IF($A18="","",IF($N18="Y","사기 의심: 콜백 검증 전 대금 안내 중단",""))</f>
        <v/>
      </c>
      <c r="W18" s="37">
        <f>IF($A18="","",IF(AND($K18="N",$D18&lt;&gt;"LC_SIGHT",$D18&lt;&gt;"LC_USANCE",$D18&lt;&gt;"TT_ADV"),$O18,""))</f>
        <v/>
      </c>
      <c r="X18" s="37">
        <f>IF($A18="",0,IF(AND($K18="N",$D18&lt;&gt;"LC_SIGHT",$D18&lt;&gt;"LC_USANCE",$D18&lt;&gt;"TT_ADV",$O18&gt;=30),1,0))</f>
        <v/>
      </c>
      <c r="Y18" s="37">
        <f>IF($A18="","",IF($O18&lt;=0,"미연체",IF($O18&lt;=30,"1-30",IF($O18&lt;=90,"31-90",IF($O18&lt;=180,"91-180",IF($O18&lt;=365,"181-365","365+"))))))</f>
        <v/>
      </c>
      <c r="Z18" s="37">
        <f>IF($S18="통지 기한 임박 — 사람 결정",COUNTIF($S$5:$S18,"통지 기한 임박 — 사람 결정"),"")</f>
        <v/>
      </c>
      <c r="AB18" s="37">
        <f>IF('02_Buyers'!$A15="","",'02_Buyers'!$A15)</f>
        <v/>
      </c>
      <c r="AC18" s="37">
        <f>IF($AB18="","",'02_Buyers'!$AH15)</f>
        <v/>
      </c>
      <c r="AD18" s="37">
        <f>IF($AB18="","",COUNTIFS(inv_buyer,$AB18,inv_paid,"N"))</f>
        <v/>
      </c>
      <c r="AE18" s="40">
        <f>IF($AB18="","",SUMIFS(inv_usd,inv_buyer,$AB18,inv_paid,"N"))</f>
        <v/>
      </c>
      <c r="AF18" s="37">
        <f>IF($AB18="","",_xlfn.MAXIFS(inv_nonlc_dpd,inv_buyer,$AB18))</f>
        <v/>
      </c>
      <c r="AG18" s="37">
        <f>IF($AB18="","",COUNTIFS(inv_buyer,$AB18,inv_hold30,1))</f>
        <v/>
      </c>
      <c r="AH18" s="37">
        <f>IF($AB18="","",IF(OR($AC18=1,$AG18&gt;0),"선적 보류",""))</f>
        <v/>
      </c>
      <c r="AI18" s="37">
        <f>IF($AH18&lt;&gt;"선적 보류","","내부 에스컬레이션: 여신 한도 동결 제안(사람 승인)")</f>
        <v/>
      </c>
      <c r="AJ18" s="37">
        <f>IF($AB18="","",COUNTIFS(inv_buyer,$AB18,inv_alert,"통지 기한 임박*"))</f>
        <v/>
      </c>
      <c r="AK18" s="40">
        <f>IF($AB18="","",'10_LimitLP'!$F18)</f>
        <v/>
      </c>
      <c r="AL18" s="84">
        <f>IF(OR($AB18="",$AK18&lt;=0),"",$AE18/$AK18)</f>
        <v/>
      </c>
      <c r="AM18" s="37">
        <f>IF($AL18="","",IF($AL18&gt;=0.8,"사용률 80%↑ — 출고 전 사전승인(제18조)",""))</f>
        <v/>
      </c>
      <c r="AN18" s="37">
        <f>IF($AB18="","",IFERROR(IF(INDEX($AU$21:$AU$40,MATCH('02_Buyers'!$S15,$AS$21:$AS$40,0))="","",INDEX($AU$21:$AU$40,MATCH('02_Buyers'!$S15,$AS$21:$AS$40,0))),""))</f>
        <v/>
      </c>
      <c r="AO18" s="37">
        <f>IF($AB18="","",IFERROR(IF(INDEX($AV$21:$AV$40,MATCH('02_Buyers'!$S15,$AS$21:$AS$40,0))="","",INDEX($AV$21:$AV$40,MATCH('02_Buyers'!$S15,$AS$21:$AS$40,0))),""))</f>
        <v/>
      </c>
      <c r="AP18" s="37">
        <f>IF(OR($AB18="",$AN18="",$AO18=""),"",IF($AN18&gt;$AO18,"국가등급 하향 — 한도 재산정",""))</f>
        <v/>
      </c>
      <c r="AQ18" s="37">
        <f>IF($AH18="선적 보류",COUNTIF($AH$5:$AH18,"선적 보류"),"")</f>
        <v/>
      </c>
    </row>
    <row r="19">
      <c r="A19" t="inlineStr">
        <is>
          <t>INV-2608-0092</t>
        </is>
      </c>
      <c r="B19" t="inlineStr">
        <is>
          <t>B007</t>
        </is>
      </c>
      <c r="C19" t="inlineStr">
        <is>
          <t>NLD</t>
        </is>
      </c>
      <c r="D19" t="inlineStr">
        <is>
          <t>OA</t>
        </is>
      </c>
      <c r="E19" t="inlineStr">
        <is>
          <t>EUR</t>
        </is>
      </c>
      <c r="F19" t="inlineStr">
        <is>
          <t>Y</t>
        </is>
      </c>
      <c r="G19" s="32" t="n">
        <v>46254</v>
      </c>
      <c r="H19" s="32" t="n">
        <v>46344</v>
      </c>
      <c r="I19" s="82" t="n">
        <v>2650</v>
      </c>
      <c r="J19" s="82" t="n">
        <v>3021</v>
      </c>
      <c r="K19" t="inlineStr">
        <is>
          <t>N</t>
        </is>
      </c>
      <c r="L19" t="inlineStr">
        <is>
          <t>개별</t>
        </is>
      </c>
      <c r="N19" t="inlineStr">
        <is>
          <t>N</t>
        </is>
      </c>
      <c r="O19" s="37">
        <f>IF($A19="","",AsOf-$H19)</f>
        <v/>
      </c>
      <c r="P19" s="37">
        <f>IF($A19="","",IF($K19="Y","-",IF($O19&gt;=30,"D+30 최종통지·선적보류",IF($O19&gt;=15,"D+15 단호한 통지",IF($O19&gt;=7,"D+7 친절한 리마인더",IF(AND($O19&gt;=-3,$O19&lt;=-1),"D-3 사전 안내","모니터링"))))))</f>
        <v/>
      </c>
      <c r="Q19" s="83">
        <f>IF($A19="","",EDATE($H19,1))</f>
        <v/>
      </c>
      <c r="R19" s="37">
        <f>IF($A19="","",$Q19-AsOf)</f>
        <v/>
      </c>
      <c r="S19" s="37">
        <f>IF($A19="","",IF(OR($K19="Y",$F19&lt;&gt;"Y",$O19&lt;=0),"",IF($R19&lt;0,"통지 기한 경과 — 즉시 확인",IF($R19&lt;=NoticeWarnDays,"통지 기한 임박 — 사람 결정",""))))</f>
        <v/>
      </c>
      <c r="T19" s="83">
        <f>IF(OR($A19="",$F19&lt;&gt;"Y"),"",IF(IF($L19="",InsuranceType,$L19)="포괄",DATE(YEAR($G19),MONTH($G19)+1,20),WORKDAY($G19,10)))</f>
        <v/>
      </c>
      <c r="U19" s="83">
        <f>IF(OR($A19="",$M19=""),"",WORKDAY($M19,10))</f>
        <v/>
      </c>
      <c r="V19" s="37">
        <f>IF($A19="","",IF($N19="Y","사기 의심: 콜백 검증 전 대금 안내 중단",""))</f>
        <v/>
      </c>
      <c r="W19" s="37">
        <f>IF($A19="","",IF(AND($K19="N",$D19&lt;&gt;"LC_SIGHT",$D19&lt;&gt;"LC_USANCE",$D19&lt;&gt;"TT_ADV"),$O19,""))</f>
        <v/>
      </c>
      <c r="X19" s="37">
        <f>IF($A19="",0,IF(AND($K19="N",$D19&lt;&gt;"LC_SIGHT",$D19&lt;&gt;"LC_USANCE",$D19&lt;&gt;"TT_ADV",$O19&gt;=30),1,0))</f>
        <v/>
      </c>
      <c r="Y19" s="37">
        <f>IF($A19="","",IF($O19&lt;=0,"미연체",IF($O19&lt;=30,"1-30",IF($O19&lt;=90,"31-90",IF($O19&lt;=180,"91-180",IF($O19&lt;=365,"181-365","365+"))))))</f>
        <v/>
      </c>
      <c r="Z19" s="37">
        <f>IF($S19="통지 기한 임박 — 사람 결정",COUNTIF($S$5:$S19,"통지 기한 임박 — 사람 결정"),"")</f>
        <v/>
      </c>
      <c r="AB19" s="37">
        <f>IF('02_Buyers'!$A16="","",'02_Buyers'!$A16)</f>
        <v/>
      </c>
      <c r="AC19" s="37">
        <f>IF($AB19="","",'02_Buyers'!$AH16)</f>
        <v/>
      </c>
      <c r="AD19" s="37">
        <f>IF($AB19="","",COUNTIFS(inv_buyer,$AB19,inv_paid,"N"))</f>
        <v/>
      </c>
      <c r="AE19" s="40">
        <f>IF($AB19="","",SUMIFS(inv_usd,inv_buyer,$AB19,inv_paid,"N"))</f>
        <v/>
      </c>
      <c r="AF19" s="37">
        <f>IF($AB19="","",_xlfn.MAXIFS(inv_nonlc_dpd,inv_buyer,$AB19))</f>
        <v/>
      </c>
      <c r="AG19" s="37">
        <f>IF($AB19="","",COUNTIFS(inv_buyer,$AB19,inv_hold30,1))</f>
        <v/>
      </c>
      <c r="AH19" s="37">
        <f>IF($AB19="","",IF(OR($AC19=1,$AG19&gt;0),"선적 보류",""))</f>
        <v/>
      </c>
      <c r="AI19" s="37">
        <f>IF($AH19&lt;&gt;"선적 보류","","내부 에스컬레이션: 여신 한도 동결 제안(사람 승인)")</f>
        <v/>
      </c>
      <c r="AJ19" s="37">
        <f>IF($AB19="","",COUNTIFS(inv_buyer,$AB19,inv_alert,"통지 기한 임박*"))</f>
        <v/>
      </c>
      <c r="AK19" s="40">
        <f>IF($AB19="","",'10_LimitLP'!$F19)</f>
        <v/>
      </c>
      <c r="AL19" s="84">
        <f>IF(OR($AB19="",$AK19&lt;=0),"",$AE19/$AK19)</f>
        <v/>
      </c>
      <c r="AM19" s="37">
        <f>IF($AL19="","",IF($AL19&gt;=0.8,"사용률 80%↑ — 출고 전 사전승인(제18조)",""))</f>
        <v/>
      </c>
      <c r="AN19" s="37">
        <f>IF($AB19="","",IFERROR(IF(INDEX($AU$21:$AU$40,MATCH('02_Buyers'!$S16,$AS$21:$AS$40,0))="","",INDEX($AU$21:$AU$40,MATCH('02_Buyers'!$S16,$AS$21:$AS$40,0))),""))</f>
        <v/>
      </c>
      <c r="AO19" s="37">
        <f>IF($AB19="","",IFERROR(IF(INDEX($AV$21:$AV$40,MATCH('02_Buyers'!$S16,$AS$21:$AS$40,0))="","",INDEX($AV$21:$AV$40,MATCH('02_Buyers'!$S16,$AS$21:$AS$40,0))),""))</f>
        <v/>
      </c>
      <c r="AP19" s="37">
        <f>IF(OR($AB19="",$AN19="",$AO19=""),"",IF($AN19&gt;$AO19,"국가등급 하향 — 한도 재산정",""))</f>
        <v/>
      </c>
      <c r="AQ19" s="37">
        <f>IF($AH19="선적 보류",COUNTIF($AH$5:$AH19,"선적 보류"),"")</f>
        <v/>
      </c>
    </row>
    <row r="20">
      <c r="A20" t="inlineStr">
        <is>
          <t>INV-2607-0001</t>
        </is>
      </c>
      <c r="B20" t="inlineStr">
        <is>
          <t>B008</t>
        </is>
      </c>
      <c r="C20" t="inlineStr">
        <is>
          <t>DEU</t>
        </is>
      </c>
      <c r="D20" t="inlineStr">
        <is>
          <t>OA</t>
        </is>
      </c>
      <c r="E20" t="inlineStr">
        <is>
          <t>EUR</t>
        </is>
      </c>
      <c r="F20" t="inlineStr">
        <is>
          <t>Y</t>
        </is>
      </c>
      <c r="G20" s="32" t="n">
        <v>46204</v>
      </c>
      <c r="H20" s="32" t="n">
        <v>46264</v>
      </c>
      <c r="I20" s="82" t="n">
        <v>6850</v>
      </c>
      <c r="J20" s="82" t="n">
        <v>7808.99</v>
      </c>
      <c r="K20" t="inlineStr">
        <is>
          <t>N</t>
        </is>
      </c>
      <c r="L20" t="inlineStr">
        <is>
          <t>개별</t>
        </is>
      </c>
      <c r="N20" t="inlineStr">
        <is>
          <t>N</t>
        </is>
      </c>
      <c r="O20" s="37">
        <f>IF($A20="","",AsOf-$H20)</f>
        <v/>
      </c>
      <c r="P20" s="37">
        <f>IF($A20="","",IF($K20="Y","-",IF($O20&gt;=30,"D+30 최종통지·선적보류",IF($O20&gt;=15,"D+15 단호한 통지",IF($O20&gt;=7,"D+7 친절한 리마인더",IF(AND($O20&gt;=-3,$O20&lt;=-1),"D-3 사전 안내","모니터링"))))))</f>
        <v/>
      </c>
      <c r="Q20" s="83">
        <f>IF($A20="","",EDATE($H20,1))</f>
        <v/>
      </c>
      <c r="R20" s="37">
        <f>IF($A20="","",$Q20-AsOf)</f>
        <v/>
      </c>
      <c r="S20" s="37">
        <f>IF($A20="","",IF(OR($K20="Y",$F20&lt;&gt;"Y",$O20&lt;=0),"",IF($R20&lt;0,"통지 기한 경과 — 즉시 확인",IF($R20&lt;=NoticeWarnDays,"통지 기한 임박 — 사람 결정",""))))</f>
        <v/>
      </c>
      <c r="T20" s="83">
        <f>IF(OR($A20="",$F20&lt;&gt;"Y"),"",IF(IF($L20="",InsuranceType,$L20)="포괄",DATE(YEAR($G20),MONTH($G20)+1,20),WORKDAY($G20,10)))</f>
        <v/>
      </c>
      <c r="U20" s="83">
        <f>IF(OR($A20="",$M20=""),"",WORKDAY($M20,10))</f>
        <v/>
      </c>
      <c r="V20" s="37">
        <f>IF($A20="","",IF($N20="Y","사기 의심: 콜백 검증 전 대금 안내 중단",""))</f>
        <v/>
      </c>
      <c r="W20" s="37">
        <f>IF($A20="","",IF(AND($K20="N",$D20&lt;&gt;"LC_SIGHT",$D20&lt;&gt;"LC_USANCE",$D20&lt;&gt;"TT_ADV"),$O20,""))</f>
        <v/>
      </c>
      <c r="X20" s="37">
        <f>IF($A20="",0,IF(AND($K20="N",$D20&lt;&gt;"LC_SIGHT",$D20&lt;&gt;"LC_USANCE",$D20&lt;&gt;"TT_ADV",$O20&gt;=30),1,0))</f>
        <v/>
      </c>
      <c r="Y20" s="37">
        <f>IF($A20="","",IF($O20&lt;=0,"미연체",IF($O20&lt;=30,"1-30",IF($O20&lt;=90,"31-90",IF($O20&lt;=180,"91-180",IF($O20&lt;=365,"181-365","365+"))))))</f>
        <v/>
      </c>
      <c r="Z20" s="37">
        <f>IF($S20="통지 기한 임박 — 사람 결정",COUNTIF($S$5:$S20,"통지 기한 임박 — 사람 결정"),"")</f>
        <v/>
      </c>
      <c r="AB20" s="37">
        <f>IF('02_Buyers'!$A17="","",'02_Buyers'!$A17)</f>
        <v/>
      </c>
      <c r="AC20" s="37">
        <f>IF($AB20="","",'02_Buyers'!$AH17)</f>
        <v/>
      </c>
      <c r="AD20" s="37">
        <f>IF($AB20="","",COUNTIFS(inv_buyer,$AB20,inv_paid,"N"))</f>
        <v/>
      </c>
      <c r="AE20" s="40">
        <f>IF($AB20="","",SUMIFS(inv_usd,inv_buyer,$AB20,inv_paid,"N"))</f>
        <v/>
      </c>
      <c r="AF20" s="37">
        <f>IF($AB20="","",_xlfn.MAXIFS(inv_nonlc_dpd,inv_buyer,$AB20))</f>
        <v/>
      </c>
      <c r="AG20" s="37">
        <f>IF($AB20="","",COUNTIFS(inv_buyer,$AB20,inv_hold30,1))</f>
        <v/>
      </c>
      <c r="AH20" s="37">
        <f>IF($AB20="","",IF(OR($AC20=1,$AG20&gt;0),"선적 보류",""))</f>
        <v/>
      </c>
      <c r="AI20" s="37">
        <f>IF($AH20&lt;&gt;"선적 보류","","내부 에스컬레이션: 여신 한도 동결 제안(사람 승인)")</f>
        <v/>
      </c>
      <c r="AJ20" s="37">
        <f>IF($AB20="","",COUNTIFS(inv_buyer,$AB20,inv_alert,"통지 기한 임박*"))</f>
        <v/>
      </c>
      <c r="AK20" s="40">
        <f>IF($AB20="","",'10_LimitLP'!$F20)</f>
        <v/>
      </c>
      <c r="AL20" s="84">
        <f>IF(OR($AB20="",$AK20&lt;=0),"",$AE20/$AK20)</f>
        <v/>
      </c>
      <c r="AM20" s="37">
        <f>IF($AL20="","",IF($AL20&gt;=0.8,"사용률 80%↑ — 출고 전 사전승인(제18조)",""))</f>
        <v/>
      </c>
      <c r="AN20" s="37">
        <f>IF($AB20="","",IFERROR(IF(INDEX($AU$21:$AU$40,MATCH('02_Buyers'!$S17,$AS$21:$AS$40,0))="","",INDEX($AU$21:$AU$40,MATCH('02_Buyers'!$S17,$AS$21:$AS$40,0))),""))</f>
        <v/>
      </c>
      <c r="AO20" s="37">
        <f>IF($AB20="","",IFERROR(IF(INDEX($AV$21:$AV$40,MATCH('02_Buyers'!$S17,$AS$21:$AS$40,0))="","",INDEX($AV$21:$AV$40,MATCH('02_Buyers'!$S17,$AS$21:$AS$40,0))),""))</f>
        <v/>
      </c>
      <c r="AP20" s="37">
        <f>IF(OR($AB20="",$AN20="",$AO20=""),"",IF($AN20&gt;$AO20,"국가등급 하향 — 한도 재산정",""))</f>
        <v/>
      </c>
      <c r="AQ20" s="37">
        <f>IF($AH20="선적 보류",COUNTIF($AH$5:$AH20,"선적 보류"),"")</f>
        <v/>
      </c>
      <c r="AS20" s="11" t="inlineStr">
        <is>
          <t>국가</t>
        </is>
      </c>
      <c r="AT20" s="11" t="inlineStr">
        <is>
          <t>국가명</t>
        </is>
      </c>
      <c r="AU20" s="11" t="inlineStr">
        <is>
          <t>CRC 현재</t>
        </is>
      </c>
      <c r="AV20" s="11" t="inlineStr">
        <is>
          <t>CRC 직전(2026-06-26 이전)</t>
        </is>
      </c>
      <c r="AW20" s="11" t="inlineStr">
        <is>
          <t>변화</t>
        </is>
      </c>
    </row>
    <row r="21">
      <c r="A21" t="inlineStr">
        <is>
          <t>INV-2608-0117</t>
        </is>
      </c>
      <c r="B21" t="inlineStr">
        <is>
          <t>B008</t>
        </is>
      </c>
      <c r="C21" t="inlineStr">
        <is>
          <t>DEU</t>
        </is>
      </c>
      <c r="D21" t="inlineStr">
        <is>
          <t>OA</t>
        </is>
      </c>
      <c r="E21" t="inlineStr">
        <is>
          <t>EUR</t>
        </is>
      </c>
      <c r="F21" t="inlineStr">
        <is>
          <t>Y</t>
        </is>
      </c>
      <c r="G21" s="32" t="n">
        <v>46258</v>
      </c>
      <c r="H21" s="32" t="n">
        <v>46318</v>
      </c>
      <c r="I21" s="82" t="n">
        <v>1230</v>
      </c>
      <c r="J21" s="82" t="n">
        <v>1402.2</v>
      </c>
      <c r="K21" t="inlineStr">
        <is>
          <t>N</t>
        </is>
      </c>
      <c r="L21" t="inlineStr">
        <is>
          <t>개별</t>
        </is>
      </c>
      <c r="N21" t="inlineStr">
        <is>
          <t>N</t>
        </is>
      </c>
      <c r="O21" s="37">
        <f>IF($A21="","",AsOf-$H21)</f>
        <v/>
      </c>
      <c r="P21" s="37">
        <f>IF($A21="","",IF($K21="Y","-",IF($O21&gt;=30,"D+30 최종통지·선적보류",IF($O21&gt;=15,"D+15 단호한 통지",IF($O21&gt;=7,"D+7 친절한 리마인더",IF(AND($O21&gt;=-3,$O21&lt;=-1),"D-3 사전 안내","모니터링"))))))</f>
        <v/>
      </c>
      <c r="Q21" s="83">
        <f>IF($A21="","",EDATE($H21,1))</f>
        <v/>
      </c>
      <c r="R21" s="37">
        <f>IF($A21="","",$Q21-AsOf)</f>
        <v/>
      </c>
      <c r="S21" s="37">
        <f>IF($A21="","",IF(OR($K21="Y",$F21&lt;&gt;"Y",$O21&lt;=0),"",IF($R21&lt;0,"통지 기한 경과 — 즉시 확인",IF($R21&lt;=NoticeWarnDays,"통지 기한 임박 — 사람 결정",""))))</f>
        <v/>
      </c>
      <c r="T21" s="83">
        <f>IF(OR($A21="",$F21&lt;&gt;"Y"),"",IF(IF($L21="",InsuranceType,$L21)="포괄",DATE(YEAR($G21),MONTH($G21)+1,20),WORKDAY($G21,10)))</f>
        <v/>
      </c>
      <c r="U21" s="83">
        <f>IF(OR($A21="",$M21=""),"",WORKDAY($M21,10))</f>
        <v/>
      </c>
      <c r="V21" s="37">
        <f>IF($A21="","",IF($N21="Y","사기 의심: 콜백 검증 전 대금 안내 중단",""))</f>
        <v/>
      </c>
      <c r="W21" s="37">
        <f>IF($A21="","",IF(AND($K21="N",$D21&lt;&gt;"LC_SIGHT",$D21&lt;&gt;"LC_USANCE",$D21&lt;&gt;"TT_ADV"),$O21,""))</f>
        <v/>
      </c>
      <c r="X21" s="37">
        <f>IF($A21="",0,IF(AND($K21="N",$D21&lt;&gt;"LC_SIGHT",$D21&lt;&gt;"LC_USANCE",$D21&lt;&gt;"TT_ADV",$O21&gt;=30),1,0))</f>
        <v/>
      </c>
      <c r="Y21" s="37">
        <f>IF($A21="","",IF($O21&lt;=0,"미연체",IF($O21&lt;=30,"1-30",IF($O21&lt;=90,"31-90",IF($O21&lt;=180,"91-180",IF($O21&lt;=365,"181-365","365+"))))))</f>
        <v/>
      </c>
      <c r="Z21" s="37">
        <f>IF($S21="통지 기한 임박 — 사람 결정",COUNTIF($S$5:$S21,"통지 기한 임박 — 사람 결정"),"")</f>
        <v/>
      </c>
      <c r="AB21" s="37">
        <f>IF('02_Buyers'!$A18="","",'02_Buyers'!$A18)</f>
        <v/>
      </c>
      <c r="AC21" s="37">
        <f>IF($AB21="","",'02_Buyers'!$AH18)</f>
        <v/>
      </c>
      <c r="AD21" s="37">
        <f>IF($AB21="","",COUNTIFS(inv_buyer,$AB21,inv_paid,"N"))</f>
        <v/>
      </c>
      <c r="AE21" s="40">
        <f>IF($AB21="","",SUMIFS(inv_usd,inv_buyer,$AB21,inv_paid,"N"))</f>
        <v/>
      </c>
      <c r="AF21" s="37">
        <f>IF($AB21="","",_xlfn.MAXIFS(inv_nonlc_dpd,inv_buyer,$AB21))</f>
        <v/>
      </c>
      <c r="AG21" s="37">
        <f>IF($AB21="","",COUNTIFS(inv_buyer,$AB21,inv_hold30,1))</f>
        <v/>
      </c>
      <c r="AH21" s="37">
        <f>IF($AB21="","",IF(OR($AC21=1,$AG21&gt;0),"선적 보류",""))</f>
        <v/>
      </c>
      <c r="AI21" s="37">
        <f>IF($AH21&lt;&gt;"선적 보류","","내부 에스컬레이션: 여신 한도 동결 제안(사람 승인)")</f>
        <v/>
      </c>
      <c r="AJ21" s="37">
        <f>IF($AB21="","",COUNTIFS(inv_buyer,$AB21,inv_alert,"통지 기한 임박*"))</f>
        <v/>
      </c>
      <c r="AK21" s="40">
        <f>IF($AB21="","",'10_LimitLP'!$F21)</f>
        <v/>
      </c>
      <c r="AL21" s="84">
        <f>IF(OR($AB21="",$AK21&lt;=0),"",$AE21/$AK21)</f>
        <v/>
      </c>
      <c r="AM21" s="37">
        <f>IF($AL21="","",IF($AL21&gt;=0.8,"사용률 80%↑ — 출고 전 사전승인(제18조)",""))</f>
        <v/>
      </c>
      <c r="AN21" s="37">
        <f>IF($AB21="","",IFERROR(IF(INDEX($AU$21:$AU$40,MATCH('02_Buyers'!$S18,$AS$21:$AS$40,0))="","",INDEX($AU$21:$AU$40,MATCH('02_Buyers'!$S18,$AS$21:$AS$40,0))),""))</f>
        <v/>
      </c>
      <c r="AO21" s="37">
        <f>IF($AB21="","",IFERROR(IF(INDEX($AV$21:$AV$40,MATCH('02_Buyers'!$S18,$AS$21:$AS$40,0))="","",INDEX($AV$21:$AV$40,MATCH('02_Buyers'!$S18,$AS$21:$AS$40,0))),""))</f>
        <v/>
      </c>
      <c r="AP21" s="37">
        <f>IF(OR($AB21="",$AN21="",$AO21=""),"",IF($AN21&gt;$AO21,"국가등급 하향 — 한도 재산정",""))</f>
        <v/>
      </c>
      <c r="AQ21" s="37">
        <f>IF($AH21="선적 보류",COUNTIF($AH$5:$AH21,"선적 보류"),"")</f>
        <v/>
      </c>
      <c r="AS21" s="5" t="inlineStr">
        <is>
          <t>USA</t>
        </is>
      </c>
      <c r="AT21" s="5" t="inlineStr">
        <is>
          <t>미국</t>
        </is>
      </c>
      <c r="AU21" s="70" t="n"/>
      <c r="AV21" s="70" t="n"/>
      <c r="AW21" s="7">
        <f>IF(OR(AU21="",AV21=""),"",IF(AU21&gt;AV21,"하향",IF(AU21&lt;AV21,"상향","")))</f>
        <v/>
      </c>
    </row>
    <row r="22">
      <c r="A22" t="inlineStr">
        <is>
          <t>INV-2608-0136</t>
        </is>
      </c>
      <c r="B22" t="inlineStr">
        <is>
          <t>B009</t>
        </is>
      </c>
      <c r="C22" t="inlineStr">
        <is>
          <t>CHN</t>
        </is>
      </c>
      <c r="D22" t="inlineStr">
        <is>
          <t>DA</t>
        </is>
      </c>
      <c r="E22" t="inlineStr">
        <is>
          <t>CNY</t>
        </is>
      </c>
      <c r="F22" t="inlineStr">
        <is>
          <t>Y</t>
        </is>
      </c>
      <c r="G22" s="32" t="n">
        <v>46262</v>
      </c>
      <c r="H22" s="32" t="n">
        <v>46352</v>
      </c>
      <c r="I22" s="82" t="n">
        <v>317000</v>
      </c>
      <c r="J22" s="82" t="n">
        <v>47235.34</v>
      </c>
      <c r="K22" t="inlineStr">
        <is>
          <t>N</t>
        </is>
      </c>
      <c r="L22" t="inlineStr">
        <is>
          <t>개별</t>
        </is>
      </c>
      <c r="N22" t="inlineStr">
        <is>
          <t>N</t>
        </is>
      </c>
      <c r="O22" s="37">
        <f>IF($A22="","",AsOf-$H22)</f>
        <v/>
      </c>
      <c r="P22" s="37">
        <f>IF($A22="","",IF($K22="Y","-",IF($O22&gt;=30,"D+30 최종통지·선적보류",IF($O22&gt;=15,"D+15 단호한 통지",IF($O22&gt;=7,"D+7 친절한 리마인더",IF(AND($O22&gt;=-3,$O22&lt;=-1),"D-3 사전 안내","모니터링"))))))</f>
        <v/>
      </c>
      <c r="Q22" s="83">
        <f>IF($A22="","",EDATE($H22,1))</f>
        <v/>
      </c>
      <c r="R22" s="37">
        <f>IF($A22="","",$Q22-AsOf)</f>
        <v/>
      </c>
      <c r="S22" s="37">
        <f>IF($A22="","",IF(OR($K22="Y",$F22&lt;&gt;"Y",$O22&lt;=0),"",IF($R22&lt;0,"통지 기한 경과 — 즉시 확인",IF($R22&lt;=NoticeWarnDays,"통지 기한 임박 — 사람 결정",""))))</f>
        <v/>
      </c>
      <c r="T22" s="83">
        <f>IF(OR($A22="",$F22&lt;&gt;"Y"),"",IF(IF($L22="",InsuranceType,$L22)="포괄",DATE(YEAR($G22),MONTH($G22)+1,20),WORKDAY($G22,10)))</f>
        <v/>
      </c>
      <c r="U22" s="83">
        <f>IF(OR($A22="",$M22=""),"",WORKDAY($M22,10))</f>
        <v/>
      </c>
      <c r="V22" s="37">
        <f>IF($A22="","",IF($N22="Y","사기 의심: 콜백 검증 전 대금 안내 중단",""))</f>
        <v/>
      </c>
      <c r="W22" s="37">
        <f>IF($A22="","",IF(AND($K22="N",$D22&lt;&gt;"LC_SIGHT",$D22&lt;&gt;"LC_USANCE",$D22&lt;&gt;"TT_ADV"),$O22,""))</f>
        <v/>
      </c>
      <c r="X22" s="37">
        <f>IF($A22="",0,IF(AND($K22="N",$D22&lt;&gt;"LC_SIGHT",$D22&lt;&gt;"LC_USANCE",$D22&lt;&gt;"TT_ADV",$O22&gt;=30),1,0))</f>
        <v/>
      </c>
      <c r="Y22" s="37">
        <f>IF($A22="","",IF($O22&lt;=0,"미연체",IF($O22&lt;=30,"1-30",IF($O22&lt;=90,"31-90",IF($O22&lt;=180,"91-180",IF($O22&lt;=365,"181-365","365+"))))))</f>
        <v/>
      </c>
      <c r="Z22" s="37">
        <f>IF($S22="통지 기한 임박 — 사람 결정",COUNTIF($S$5:$S22,"통지 기한 임박 — 사람 결정"),"")</f>
        <v/>
      </c>
      <c r="AB22" s="37">
        <f>IF('02_Buyers'!$A19="","",'02_Buyers'!$A19)</f>
        <v/>
      </c>
      <c r="AC22" s="37">
        <f>IF($AB22="","",'02_Buyers'!$AH19)</f>
        <v/>
      </c>
      <c r="AD22" s="37">
        <f>IF($AB22="","",COUNTIFS(inv_buyer,$AB22,inv_paid,"N"))</f>
        <v/>
      </c>
      <c r="AE22" s="40">
        <f>IF($AB22="","",SUMIFS(inv_usd,inv_buyer,$AB22,inv_paid,"N"))</f>
        <v/>
      </c>
      <c r="AF22" s="37">
        <f>IF($AB22="","",_xlfn.MAXIFS(inv_nonlc_dpd,inv_buyer,$AB22))</f>
        <v/>
      </c>
      <c r="AG22" s="37">
        <f>IF($AB22="","",COUNTIFS(inv_buyer,$AB22,inv_hold30,1))</f>
        <v/>
      </c>
      <c r="AH22" s="37">
        <f>IF($AB22="","",IF(OR($AC22=1,$AG22&gt;0),"선적 보류",""))</f>
        <v/>
      </c>
      <c r="AI22" s="37">
        <f>IF($AH22&lt;&gt;"선적 보류","","내부 에스컬레이션: 여신 한도 동결 제안(사람 승인)")</f>
        <v/>
      </c>
      <c r="AJ22" s="37">
        <f>IF($AB22="","",COUNTIFS(inv_buyer,$AB22,inv_alert,"통지 기한 임박*"))</f>
        <v/>
      </c>
      <c r="AK22" s="40">
        <f>IF($AB22="","",'10_LimitLP'!$F22)</f>
        <v/>
      </c>
      <c r="AL22" s="84">
        <f>IF(OR($AB22="",$AK22&lt;=0),"",$AE22/$AK22)</f>
        <v/>
      </c>
      <c r="AM22" s="37">
        <f>IF($AL22="","",IF($AL22&gt;=0.8,"사용률 80%↑ — 출고 전 사전승인(제18조)",""))</f>
        <v/>
      </c>
      <c r="AN22" s="37">
        <f>IF($AB22="","",IFERROR(IF(INDEX($AU$21:$AU$40,MATCH('02_Buyers'!$S19,$AS$21:$AS$40,0))="","",INDEX($AU$21:$AU$40,MATCH('02_Buyers'!$S19,$AS$21:$AS$40,0))),""))</f>
        <v/>
      </c>
      <c r="AO22" s="37">
        <f>IF($AB22="","",IFERROR(IF(INDEX($AV$21:$AV$40,MATCH('02_Buyers'!$S19,$AS$21:$AS$40,0))="","",INDEX($AV$21:$AV$40,MATCH('02_Buyers'!$S19,$AS$21:$AS$40,0))),""))</f>
        <v/>
      </c>
      <c r="AP22" s="37">
        <f>IF(OR($AB22="",$AN22="",$AO22=""),"",IF($AN22&gt;$AO22,"국가등급 하향 — 한도 재산정",""))</f>
        <v/>
      </c>
      <c r="AQ22" s="37">
        <f>IF($AH22="선적 보류",COUNTIF($AH$5:$AH22,"선적 보류"),"")</f>
        <v/>
      </c>
      <c r="AS22" s="5" t="inlineStr">
        <is>
          <t>MEX</t>
        </is>
      </c>
      <c r="AT22" s="5" t="inlineStr">
        <is>
          <t>멕시코</t>
        </is>
      </c>
      <c r="AU22" s="70" t="n">
        <v>3</v>
      </c>
      <c r="AV22" s="70" t="n">
        <v>3</v>
      </c>
      <c r="AW22" s="7">
        <f>IF(OR(AU22="",AV22=""),"",IF(AU22&gt;AV22,"하향",IF(AU22&lt;AV22,"상향","")))</f>
        <v/>
      </c>
    </row>
    <row r="23">
      <c r="A23" t="inlineStr">
        <is>
          <t>INV-2609-0049</t>
        </is>
      </c>
      <c r="B23" t="inlineStr">
        <is>
          <t>B009</t>
        </is>
      </c>
      <c r="C23" t="inlineStr">
        <is>
          <t>CHN</t>
        </is>
      </c>
      <c r="D23" t="inlineStr">
        <is>
          <t>DA</t>
        </is>
      </c>
      <c r="E23" t="inlineStr">
        <is>
          <t>CNY</t>
        </is>
      </c>
      <c r="F23" t="inlineStr">
        <is>
          <t>Y</t>
        </is>
      </c>
      <c r="G23" s="32" t="n">
        <v>46274</v>
      </c>
      <c r="H23" s="32" t="n">
        <v>46364</v>
      </c>
      <c r="I23" s="82" t="n">
        <v>68600</v>
      </c>
      <c r="J23" s="82" t="n">
        <v>10221.91</v>
      </c>
      <c r="K23" t="inlineStr">
        <is>
          <t>N</t>
        </is>
      </c>
      <c r="L23" t="inlineStr">
        <is>
          <t>개별</t>
        </is>
      </c>
      <c r="N23" t="inlineStr">
        <is>
          <t>N</t>
        </is>
      </c>
      <c r="O23" s="37">
        <f>IF($A23="","",AsOf-$H23)</f>
        <v/>
      </c>
      <c r="P23" s="37">
        <f>IF($A23="","",IF($K23="Y","-",IF($O23&gt;=30,"D+30 최종통지·선적보류",IF($O23&gt;=15,"D+15 단호한 통지",IF($O23&gt;=7,"D+7 친절한 리마인더",IF(AND($O23&gt;=-3,$O23&lt;=-1),"D-3 사전 안내","모니터링"))))))</f>
        <v/>
      </c>
      <c r="Q23" s="83">
        <f>IF($A23="","",EDATE($H23,1))</f>
        <v/>
      </c>
      <c r="R23" s="37">
        <f>IF($A23="","",$Q23-AsOf)</f>
        <v/>
      </c>
      <c r="S23" s="37">
        <f>IF($A23="","",IF(OR($K23="Y",$F23&lt;&gt;"Y",$O23&lt;=0),"",IF($R23&lt;0,"통지 기한 경과 — 즉시 확인",IF($R23&lt;=NoticeWarnDays,"통지 기한 임박 — 사람 결정",""))))</f>
        <v/>
      </c>
      <c r="T23" s="83">
        <f>IF(OR($A23="",$F23&lt;&gt;"Y"),"",IF(IF($L23="",InsuranceType,$L23)="포괄",DATE(YEAR($G23),MONTH($G23)+1,20),WORKDAY($G23,10)))</f>
        <v/>
      </c>
      <c r="U23" s="83">
        <f>IF(OR($A23="",$M23=""),"",WORKDAY($M23,10))</f>
        <v/>
      </c>
      <c r="V23" s="37">
        <f>IF($A23="","",IF($N23="Y","사기 의심: 콜백 검증 전 대금 안내 중단",""))</f>
        <v/>
      </c>
      <c r="W23" s="37">
        <f>IF($A23="","",IF(AND($K23="N",$D23&lt;&gt;"LC_SIGHT",$D23&lt;&gt;"LC_USANCE",$D23&lt;&gt;"TT_ADV"),$O23,""))</f>
        <v/>
      </c>
      <c r="X23" s="37">
        <f>IF($A23="",0,IF(AND($K23="N",$D23&lt;&gt;"LC_SIGHT",$D23&lt;&gt;"LC_USANCE",$D23&lt;&gt;"TT_ADV",$O23&gt;=30),1,0))</f>
        <v/>
      </c>
      <c r="Y23" s="37">
        <f>IF($A23="","",IF($O23&lt;=0,"미연체",IF($O23&lt;=30,"1-30",IF($O23&lt;=90,"31-90",IF($O23&lt;=180,"91-180",IF($O23&lt;=365,"181-365","365+"))))))</f>
        <v/>
      </c>
      <c r="Z23" s="37">
        <f>IF($S23="통지 기한 임박 — 사람 결정",COUNTIF($S$5:$S23,"통지 기한 임박 — 사람 결정"),"")</f>
        <v/>
      </c>
      <c r="AB23" s="37">
        <f>IF('02_Buyers'!$A20="","",'02_Buyers'!$A20)</f>
        <v/>
      </c>
      <c r="AC23" s="37">
        <f>IF($AB23="","",'02_Buyers'!$AH20)</f>
        <v/>
      </c>
      <c r="AD23" s="37">
        <f>IF($AB23="","",COUNTIFS(inv_buyer,$AB23,inv_paid,"N"))</f>
        <v/>
      </c>
      <c r="AE23" s="40">
        <f>IF($AB23="","",SUMIFS(inv_usd,inv_buyer,$AB23,inv_paid,"N"))</f>
        <v/>
      </c>
      <c r="AF23" s="37">
        <f>IF($AB23="","",_xlfn.MAXIFS(inv_nonlc_dpd,inv_buyer,$AB23))</f>
        <v/>
      </c>
      <c r="AG23" s="37">
        <f>IF($AB23="","",COUNTIFS(inv_buyer,$AB23,inv_hold30,1))</f>
        <v/>
      </c>
      <c r="AH23" s="37">
        <f>IF($AB23="","",IF(OR($AC23=1,$AG23&gt;0),"선적 보류",""))</f>
        <v/>
      </c>
      <c r="AI23" s="37">
        <f>IF($AH23&lt;&gt;"선적 보류","","내부 에스컬레이션: 여신 한도 동결 제안(사람 승인)")</f>
        <v/>
      </c>
      <c r="AJ23" s="37">
        <f>IF($AB23="","",COUNTIFS(inv_buyer,$AB23,inv_alert,"통지 기한 임박*"))</f>
        <v/>
      </c>
      <c r="AK23" s="40">
        <f>IF($AB23="","",'10_LimitLP'!$F23)</f>
        <v/>
      </c>
      <c r="AL23" s="84">
        <f>IF(OR($AB23="",$AK23&lt;=0),"",$AE23/$AK23)</f>
        <v/>
      </c>
      <c r="AM23" s="37">
        <f>IF($AL23="","",IF($AL23&gt;=0.8,"사용률 80%↑ — 출고 전 사전승인(제18조)",""))</f>
        <v/>
      </c>
      <c r="AN23" s="37">
        <f>IF($AB23="","",IFERROR(IF(INDEX($AU$21:$AU$40,MATCH('02_Buyers'!$S20,$AS$21:$AS$40,0))="","",INDEX($AU$21:$AU$40,MATCH('02_Buyers'!$S20,$AS$21:$AS$40,0))),""))</f>
        <v/>
      </c>
      <c r="AO23" s="37">
        <f>IF($AB23="","",IFERROR(IF(INDEX($AV$21:$AV$40,MATCH('02_Buyers'!$S20,$AS$21:$AS$40,0))="","",INDEX($AV$21:$AV$40,MATCH('02_Buyers'!$S20,$AS$21:$AS$40,0))),""))</f>
        <v/>
      </c>
      <c r="AP23" s="37">
        <f>IF(OR($AB23="",$AN23="",$AO23=""),"",IF($AN23&gt;$AO23,"국가등급 하향 — 한도 재산정",""))</f>
        <v/>
      </c>
      <c r="AQ23" s="37">
        <f>IF($AH23="선적 보류",COUNTIF($AH$5:$AH23,"선적 보류"),"")</f>
        <v/>
      </c>
      <c r="AS23" s="5" t="inlineStr">
        <is>
          <t>BRA</t>
        </is>
      </c>
      <c r="AT23" s="5" t="inlineStr">
        <is>
          <t>브라질</t>
        </is>
      </c>
      <c r="AU23" s="70" t="n">
        <v>4</v>
      </c>
      <c r="AV23" s="70" t="n">
        <v>4</v>
      </c>
      <c r="AW23" s="7">
        <f>IF(OR(AU23="",AV23=""),"",IF(AU23&gt;AV23,"하향",IF(AU23&lt;AV23,"상향","")))</f>
        <v/>
      </c>
    </row>
    <row r="24">
      <c r="A24" t="inlineStr">
        <is>
          <t>INV-2608-0143</t>
        </is>
      </c>
      <c r="B24" t="inlineStr">
        <is>
          <t>B014</t>
        </is>
      </c>
      <c r="C24" t="inlineStr">
        <is>
          <t>USA</t>
        </is>
      </c>
      <c r="D24" t="inlineStr">
        <is>
          <t>LC_USANCE</t>
        </is>
      </c>
      <c r="E24" t="inlineStr">
        <is>
          <t>USD</t>
        </is>
      </c>
      <c r="F24" t="inlineStr">
        <is>
          <t>N</t>
        </is>
      </c>
      <c r="G24" s="32" t="n">
        <v>46264</v>
      </c>
      <c r="H24" s="32" t="n">
        <v>46354</v>
      </c>
      <c r="I24" s="82" t="n">
        <v>29910</v>
      </c>
      <c r="J24" s="82" t="n">
        <v>29910</v>
      </c>
      <c r="K24" t="inlineStr">
        <is>
          <t>N</t>
        </is>
      </c>
      <c r="N24" t="inlineStr">
        <is>
          <t>N</t>
        </is>
      </c>
      <c r="O24" s="37">
        <f>IF($A24="","",AsOf-$H24)</f>
        <v/>
      </c>
      <c r="P24" s="37">
        <f>IF($A24="","",IF($K24="Y","-",IF($O24&gt;=30,"D+30 최종통지·선적보류",IF($O24&gt;=15,"D+15 단호한 통지",IF($O24&gt;=7,"D+7 친절한 리마인더",IF(AND($O24&gt;=-3,$O24&lt;=-1),"D-3 사전 안내","모니터링"))))))</f>
        <v/>
      </c>
      <c r="Q24" s="83">
        <f>IF($A24="","",EDATE($H24,1))</f>
        <v/>
      </c>
      <c r="R24" s="37">
        <f>IF($A24="","",$Q24-AsOf)</f>
        <v/>
      </c>
      <c r="S24" s="37">
        <f>IF($A24="","",IF(OR($K24="Y",$F24&lt;&gt;"Y",$O24&lt;=0),"",IF($R24&lt;0,"통지 기한 경과 — 즉시 확인",IF($R24&lt;=NoticeWarnDays,"통지 기한 임박 — 사람 결정",""))))</f>
        <v/>
      </c>
      <c r="T24" s="83">
        <f>IF(OR($A24="",$F24&lt;&gt;"Y"),"",IF(IF($L24="",InsuranceType,$L24)="포괄",DATE(YEAR($G24),MONTH($G24)+1,20),WORKDAY($G24,10)))</f>
        <v/>
      </c>
      <c r="U24" s="83">
        <f>IF(OR($A24="",$M24=""),"",WORKDAY($M24,10))</f>
        <v/>
      </c>
      <c r="V24" s="37">
        <f>IF($A24="","",IF($N24="Y","사기 의심: 콜백 검증 전 대금 안내 중단",""))</f>
        <v/>
      </c>
      <c r="W24" s="37">
        <f>IF($A24="","",IF(AND($K24="N",$D24&lt;&gt;"LC_SIGHT",$D24&lt;&gt;"LC_USANCE",$D24&lt;&gt;"TT_ADV"),$O24,""))</f>
        <v/>
      </c>
      <c r="X24" s="37">
        <f>IF($A24="",0,IF(AND($K24="N",$D24&lt;&gt;"LC_SIGHT",$D24&lt;&gt;"LC_USANCE",$D24&lt;&gt;"TT_ADV",$O24&gt;=30),1,0))</f>
        <v/>
      </c>
      <c r="Y24" s="37">
        <f>IF($A24="","",IF($O24&lt;=0,"미연체",IF($O24&lt;=30,"1-30",IF($O24&lt;=90,"31-90",IF($O24&lt;=180,"91-180",IF($O24&lt;=365,"181-365","365+"))))))</f>
        <v/>
      </c>
      <c r="Z24" s="37">
        <f>IF($S24="통지 기한 임박 — 사람 결정",COUNTIF($S$5:$S24,"통지 기한 임박 — 사람 결정"),"")</f>
        <v/>
      </c>
      <c r="AB24" s="37">
        <f>IF('02_Buyers'!$A21="","",'02_Buyers'!$A21)</f>
        <v/>
      </c>
      <c r="AC24" s="37">
        <f>IF($AB24="","",'02_Buyers'!$AH21)</f>
        <v/>
      </c>
      <c r="AD24" s="37">
        <f>IF($AB24="","",COUNTIFS(inv_buyer,$AB24,inv_paid,"N"))</f>
        <v/>
      </c>
      <c r="AE24" s="40">
        <f>IF($AB24="","",SUMIFS(inv_usd,inv_buyer,$AB24,inv_paid,"N"))</f>
        <v/>
      </c>
      <c r="AF24" s="37">
        <f>IF($AB24="","",_xlfn.MAXIFS(inv_nonlc_dpd,inv_buyer,$AB24))</f>
        <v/>
      </c>
      <c r="AG24" s="37">
        <f>IF($AB24="","",COUNTIFS(inv_buyer,$AB24,inv_hold30,1))</f>
        <v/>
      </c>
      <c r="AH24" s="37">
        <f>IF($AB24="","",IF(OR($AC24=1,$AG24&gt;0),"선적 보류",""))</f>
        <v/>
      </c>
      <c r="AI24" s="37">
        <f>IF($AH24&lt;&gt;"선적 보류","","내부 에스컬레이션: 여신 한도 동결 제안(사람 승인)")</f>
        <v/>
      </c>
      <c r="AJ24" s="37">
        <f>IF($AB24="","",COUNTIFS(inv_buyer,$AB24,inv_alert,"통지 기한 임박*"))</f>
        <v/>
      </c>
      <c r="AK24" s="40">
        <f>IF($AB24="","",'10_LimitLP'!$F24)</f>
        <v/>
      </c>
      <c r="AL24" s="84">
        <f>IF(OR($AB24="",$AK24&lt;=0),"",$AE24/$AK24)</f>
        <v/>
      </c>
      <c r="AM24" s="37">
        <f>IF($AL24="","",IF($AL24&gt;=0.8,"사용률 80%↑ — 출고 전 사전승인(제18조)",""))</f>
        <v/>
      </c>
      <c r="AN24" s="37">
        <f>IF($AB24="","",IFERROR(IF(INDEX($AU$21:$AU$40,MATCH('02_Buyers'!$S21,$AS$21:$AS$40,0))="","",INDEX($AU$21:$AU$40,MATCH('02_Buyers'!$S21,$AS$21:$AS$40,0))),""))</f>
        <v/>
      </c>
      <c r="AO24" s="37">
        <f>IF($AB24="","",IFERROR(IF(INDEX($AV$21:$AV$40,MATCH('02_Buyers'!$S21,$AS$21:$AS$40,0))="","",INDEX($AV$21:$AV$40,MATCH('02_Buyers'!$S21,$AS$21:$AS$40,0))),""))</f>
        <v/>
      </c>
      <c r="AP24" s="37">
        <f>IF(OR($AB24="",$AN24="",$AO24=""),"",IF($AN24&gt;$AO24,"국가등급 하향 — 한도 재산정",""))</f>
        <v/>
      </c>
      <c r="AQ24" s="37">
        <f>IF($AH24="선적 보류",COUNTIF($AH$5:$AH24,"선적 보류"),"")</f>
        <v/>
      </c>
      <c r="AS24" s="5" t="inlineStr">
        <is>
          <t>DEU</t>
        </is>
      </c>
      <c r="AT24" s="5" t="inlineStr">
        <is>
          <t>독일</t>
        </is>
      </c>
      <c r="AU24" s="70" t="n"/>
      <c r="AV24" s="70" t="n"/>
      <c r="AW24" s="7">
        <f>IF(OR(AU24="",AV24=""),"",IF(AU24&gt;AV24,"하향",IF(AU24&lt;AV24,"상향","")))</f>
        <v/>
      </c>
    </row>
    <row r="25">
      <c r="A25" t="inlineStr">
        <is>
          <t>INV-2608-0002</t>
        </is>
      </c>
      <c r="B25" t="inlineStr">
        <is>
          <t>B015</t>
        </is>
      </c>
      <c r="C25" t="inlineStr">
        <is>
          <t>TWN</t>
        </is>
      </c>
      <c r="D25" t="inlineStr">
        <is>
          <t>DA</t>
        </is>
      </c>
      <c r="E25" t="inlineStr">
        <is>
          <t>USD</t>
        </is>
      </c>
      <c r="F25" t="inlineStr">
        <is>
          <t>N</t>
        </is>
      </c>
      <c r="G25" s="32" t="n">
        <v>46235</v>
      </c>
      <c r="H25" s="32" t="n">
        <v>46325</v>
      </c>
      <c r="I25" s="82" t="n">
        <v>7680</v>
      </c>
      <c r="J25" s="82" t="n">
        <v>7680</v>
      </c>
      <c r="K25" t="inlineStr">
        <is>
          <t>N</t>
        </is>
      </c>
      <c r="N25" t="inlineStr">
        <is>
          <t>N</t>
        </is>
      </c>
      <c r="O25" s="37">
        <f>IF($A25="","",AsOf-$H25)</f>
        <v/>
      </c>
      <c r="P25" s="37">
        <f>IF($A25="","",IF($K25="Y","-",IF($O25&gt;=30,"D+30 최종통지·선적보류",IF($O25&gt;=15,"D+15 단호한 통지",IF($O25&gt;=7,"D+7 친절한 리마인더",IF(AND($O25&gt;=-3,$O25&lt;=-1),"D-3 사전 안내","모니터링"))))))</f>
        <v/>
      </c>
      <c r="Q25" s="83">
        <f>IF($A25="","",EDATE($H25,1))</f>
        <v/>
      </c>
      <c r="R25" s="37">
        <f>IF($A25="","",$Q25-AsOf)</f>
        <v/>
      </c>
      <c r="S25" s="37">
        <f>IF($A25="","",IF(OR($K25="Y",$F25&lt;&gt;"Y",$O25&lt;=0),"",IF($R25&lt;0,"통지 기한 경과 — 즉시 확인",IF($R25&lt;=NoticeWarnDays,"통지 기한 임박 — 사람 결정",""))))</f>
        <v/>
      </c>
      <c r="T25" s="83">
        <f>IF(OR($A25="",$F25&lt;&gt;"Y"),"",IF(IF($L25="",InsuranceType,$L25)="포괄",DATE(YEAR($G25),MONTH($G25)+1,20),WORKDAY($G25,10)))</f>
        <v/>
      </c>
      <c r="U25" s="83">
        <f>IF(OR($A25="",$M25=""),"",WORKDAY($M25,10))</f>
        <v/>
      </c>
      <c r="V25" s="37">
        <f>IF($A25="","",IF($N25="Y","사기 의심: 콜백 검증 전 대금 안내 중단",""))</f>
        <v/>
      </c>
      <c r="W25" s="37">
        <f>IF($A25="","",IF(AND($K25="N",$D25&lt;&gt;"LC_SIGHT",$D25&lt;&gt;"LC_USANCE",$D25&lt;&gt;"TT_ADV"),$O25,""))</f>
        <v/>
      </c>
      <c r="X25" s="37">
        <f>IF($A25="",0,IF(AND($K25="N",$D25&lt;&gt;"LC_SIGHT",$D25&lt;&gt;"LC_USANCE",$D25&lt;&gt;"TT_ADV",$O25&gt;=30),1,0))</f>
        <v/>
      </c>
      <c r="Y25" s="37">
        <f>IF($A25="","",IF($O25&lt;=0,"미연체",IF($O25&lt;=30,"1-30",IF($O25&lt;=90,"31-90",IF($O25&lt;=180,"91-180",IF($O25&lt;=365,"181-365","365+"))))))</f>
        <v/>
      </c>
      <c r="Z25" s="37">
        <f>IF($S25="통지 기한 임박 — 사람 결정",COUNTIF($S$5:$S25,"통지 기한 임박 — 사람 결정"),"")</f>
        <v/>
      </c>
      <c r="AB25" s="37">
        <f>IF('02_Buyers'!$A22="","",'02_Buyers'!$A22)</f>
        <v/>
      </c>
      <c r="AC25" s="37">
        <f>IF($AB25="","",'02_Buyers'!$AH22)</f>
        <v/>
      </c>
      <c r="AD25" s="37">
        <f>IF($AB25="","",COUNTIFS(inv_buyer,$AB25,inv_paid,"N"))</f>
        <v/>
      </c>
      <c r="AE25" s="40">
        <f>IF($AB25="","",SUMIFS(inv_usd,inv_buyer,$AB25,inv_paid,"N"))</f>
        <v/>
      </c>
      <c r="AF25" s="37">
        <f>IF($AB25="","",_xlfn.MAXIFS(inv_nonlc_dpd,inv_buyer,$AB25))</f>
        <v/>
      </c>
      <c r="AG25" s="37">
        <f>IF($AB25="","",COUNTIFS(inv_buyer,$AB25,inv_hold30,1))</f>
        <v/>
      </c>
      <c r="AH25" s="37">
        <f>IF($AB25="","",IF(OR($AC25=1,$AG25&gt;0),"선적 보류",""))</f>
        <v/>
      </c>
      <c r="AI25" s="37">
        <f>IF($AH25&lt;&gt;"선적 보류","","내부 에스컬레이션: 여신 한도 동결 제안(사람 승인)")</f>
        <v/>
      </c>
      <c r="AJ25" s="37">
        <f>IF($AB25="","",COUNTIFS(inv_buyer,$AB25,inv_alert,"통지 기한 임박*"))</f>
        <v/>
      </c>
      <c r="AK25" s="40">
        <f>IF($AB25="","",'10_LimitLP'!$F25)</f>
        <v/>
      </c>
      <c r="AL25" s="84">
        <f>IF(OR($AB25="",$AK25&lt;=0),"",$AE25/$AK25)</f>
        <v/>
      </c>
      <c r="AM25" s="37">
        <f>IF($AL25="","",IF($AL25&gt;=0.8,"사용률 80%↑ — 출고 전 사전승인(제18조)",""))</f>
        <v/>
      </c>
      <c r="AN25" s="37">
        <f>IF($AB25="","",IFERROR(IF(INDEX($AU$21:$AU$40,MATCH('02_Buyers'!$S22,$AS$21:$AS$40,0))="","",INDEX($AU$21:$AU$40,MATCH('02_Buyers'!$S22,$AS$21:$AS$40,0))),""))</f>
        <v/>
      </c>
      <c r="AO25" s="37">
        <f>IF($AB25="","",IFERROR(IF(INDEX($AV$21:$AV$40,MATCH('02_Buyers'!$S22,$AS$21:$AS$40,0))="","",INDEX($AV$21:$AV$40,MATCH('02_Buyers'!$S22,$AS$21:$AS$40,0))),""))</f>
        <v/>
      </c>
      <c r="AP25" s="37">
        <f>IF(OR($AB25="",$AN25="",$AO25=""),"",IF($AN25&gt;$AO25,"국가등급 하향 — 한도 재산정",""))</f>
        <v/>
      </c>
      <c r="AQ25" s="37">
        <f>IF($AH25="선적 보류",COUNTIF($AH$5:$AH25,"선적 보류"),"")</f>
        <v/>
      </c>
      <c r="AS25" s="5" t="inlineStr">
        <is>
          <t>NLD</t>
        </is>
      </c>
      <c r="AT25" s="5" t="inlineStr">
        <is>
          <t>네덜란드</t>
        </is>
      </c>
      <c r="AU25" s="70" t="n"/>
      <c r="AV25" s="70" t="n"/>
      <c r="AW25" s="7">
        <f>IF(OR(AU25="",AV25=""),"",IF(AU25&gt;AV25,"하향",IF(AU25&lt;AV25,"상향","")))</f>
        <v/>
      </c>
    </row>
    <row r="26">
      <c r="A26" t="inlineStr">
        <is>
          <t>INV-2609-0014</t>
        </is>
      </c>
      <c r="B26" t="inlineStr">
        <is>
          <t>B018</t>
        </is>
      </c>
      <c r="C26" t="inlineStr">
        <is>
          <t>NLD</t>
        </is>
      </c>
      <c r="D26" t="inlineStr">
        <is>
          <t>OA</t>
        </is>
      </c>
      <c r="E26" t="inlineStr">
        <is>
          <t>EUR</t>
        </is>
      </c>
      <c r="F26" t="inlineStr">
        <is>
          <t>Y</t>
        </is>
      </c>
      <c r="G26" s="32" t="n">
        <v>46268</v>
      </c>
      <c r="H26" s="32" t="n">
        <v>46298</v>
      </c>
      <c r="I26" s="82" t="n">
        <v>2220</v>
      </c>
      <c r="J26" s="82" t="n">
        <v>2530.8</v>
      </c>
      <c r="K26" t="inlineStr">
        <is>
          <t>N</t>
        </is>
      </c>
      <c r="L26" t="inlineStr">
        <is>
          <t>개별</t>
        </is>
      </c>
      <c r="N26" t="inlineStr">
        <is>
          <t>N</t>
        </is>
      </c>
      <c r="O26" s="37">
        <f>IF($A26="","",AsOf-$H26)</f>
        <v/>
      </c>
      <c r="P26" s="37">
        <f>IF($A26="","",IF($K26="Y","-",IF($O26&gt;=30,"D+30 최종통지·선적보류",IF($O26&gt;=15,"D+15 단호한 통지",IF($O26&gt;=7,"D+7 친절한 리마인더",IF(AND($O26&gt;=-3,$O26&lt;=-1),"D-3 사전 안내","모니터링"))))))</f>
        <v/>
      </c>
      <c r="Q26" s="83">
        <f>IF($A26="","",EDATE($H26,1))</f>
        <v/>
      </c>
      <c r="R26" s="37">
        <f>IF($A26="","",$Q26-AsOf)</f>
        <v/>
      </c>
      <c r="S26" s="37">
        <f>IF($A26="","",IF(OR($K26="Y",$F26&lt;&gt;"Y",$O26&lt;=0),"",IF($R26&lt;0,"통지 기한 경과 — 즉시 확인",IF($R26&lt;=NoticeWarnDays,"통지 기한 임박 — 사람 결정",""))))</f>
        <v/>
      </c>
      <c r="T26" s="83">
        <f>IF(OR($A26="",$F26&lt;&gt;"Y"),"",IF(IF($L26="",InsuranceType,$L26)="포괄",DATE(YEAR($G26),MONTH($G26)+1,20),WORKDAY($G26,10)))</f>
        <v/>
      </c>
      <c r="U26" s="83">
        <f>IF(OR($A26="",$M26=""),"",WORKDAY($M26,10))</f>
        <v/>
      </c>
      <c r="V26" s="37">
        <f>IF($A26="","",IF($N26="Y","사기 의심: 콜백 검증 전 대금 안내 중단",""))</f>
        <v/>
      </c>
      <c r="W26" s="37">
        <f>IF($A26="","",IF(AND($K26="N",$D26&lt;&gt;"LC_SIGHT",$D26&lt;&gt;"LC_USANCE",$D26&lt;&gt;"TT_ADV"),$O26,""))</f>
        <v/>
      </c>
      <c r="X26" s="37">
        <f>IF($A26="",0,IF(AND($K26="N",$D26&lt;&gt;"LC_SIGHT",$D26&lt;&gt;"LC_USANCE",$D26&lt;&gt;"TT_ADV",$O26&gt;=30),1,0))</f>
        <v/>
      </c>
      <c r="Y26" s="37">
        <f>IF($A26="","",IF($O26&lt;=0,"미연체",IF($O26&lt;=30,"1-30",IF($O26&lt;=90,"31-90",IF($O26&lt;=180,"91-180",IF($O26&lt;=365,"181-365","365+"))))))</f>
        <v/>
      </c>
      <c r="Z26" s="37">
        <f>IF($S26="통지 기한 임박 — 사람 결정",COUNTIF($S$5:$S26,"통지 기한 임박 — 사람 결정"),"")</f>
        <v/>
      </c>
      <c r="AB26" s="37">
        <f>IF('02_Buyers'!$A23="","",'02_Buyers'!$A23)</f>
        <v/>
      </c>
      <c r="AC26" s="37">
        <f>IF($AB26="","",'02_Buyers'!$AH23)</f>
        <v/>
      </c>
      <c r="AD26" s="37">
        <f>IF($AB26="","",COUNTIFS(inv_buyer,$AB26,inv_paid,"N"))</f>
        <v/>
      </c>
      <c r="AE26" s="40">
        <f>IF($AB26="","",SUMIFS(inv_usd,inv_buyer,$AB26,inv_paid,"N"))</f>
        <v/>
      </c>
      <c r="AF26" s="37">
        <f>IF($AB26="","",_xlfn.MAXIFS(inv_nonlc_dpd,inv_buyer,$AB26))</f>
        <v/>
      </c>
      <c r="AG26" s="37">
        <f>IF($AB26="","",COUNTIFS(inv_buyer,$AB26,inv_hold30,1))</f>
        <v/>
      </c>
      <c r="AH26" s="37">
        <f>IF($AB26="","",IF(OR($AC26=1,$AG26&gt;0),"선적 보류",""))</f>
        <v/>
      </c>
      <c r="AI26" s="37">
        <f>IF($AH26&lt;&gt;"선적 보류","","내부 에스컬레이션: 여신 한도 동결 제안(사람 승인)")</f>
        <v/>
      </c>
      <c r="AJ26" s="37">
        <f>IF($AB26="","",COUNTIFS(inv_buyer,$AB26,inv_alert,"통지 기한 임박*"))</f>
        <v/>
      </c>
      <c r="AK26" s="40">
        <f>IF($AB26="","",'10_LimitLP'!$F26)</f>
        <v/>
      </c>
      <c r="AL26" s="84">
        <f>IF(OR($AB26="",$AK26&lt;=0),"",$AE26/$AK26)</f>
        <v/>
      </c>
      <c r="AM26" s="37">
        <f>IF($AL26="","",IF($AL26&gt;=0.8,"사용률 80%↑ — 출고 전 사전승인(제18조)",""))</f>
        <v/>
      </c>
      <c r="AN26" s="37">
        <f>IF($AB26="","",IFERROR(IF(INDEX($AU$21:$AU$40,MATCH('02_Buyers'!$S23,$AS$21:$AS$40,0))="","",INDEX($AU$21:$AU$40,MATCH('02_Buyers'!$S23,$AS$21:$AS$40,0))),""))</f>
        <v/>
      </c>
      <c r="AO26" s="37">
        <f>IF($AB26="","",IFERROR(IF(INDEX($AV$21:$AV$40,MATCH('02_Buyers'!$S23,$AS$21:$AS$40,0))="","",INDEX($AV$21:$AV$40,MATCH('02_Buyers'!$S23,$AS$21:$AS$40,0))),""))</f>
        <v/>
      </c>
      <c r="AP26" s="37">
        <f>IF(OR($AB26="",$AN26="",$AO26=""),"",IF($AN26&gt;$AO26,"국가등급 하향 — 한도 재산정",""))</f>
        <v/>
      </c>
      <c r="AQ26" s="37">
        <f>IF($AH26="선적 보류",COUNTIF($AH$5:$AH26,"선적 보류"),"")</f>
        <v/>
      </c>
      <c r="AS26" s="5" t="inlineStr">
        <is>
          <t>GBR</t>
        </is>
      </c>
      <c r="AT26" s="5" t="inlineStr">
        <is>
          <t>영국</t>
        </is>
      </c>
      <c r="AU26" s="70" t="n"/>
      <c r="AV26" s="70" t="n"/>
      <c r="AW26" s="7">
        <f>IF(OR(AU26="",AV26=""),"",IF(AU26&gt;AV26,"하향",IF(AU26&lt;AV26,"상향","")))</f>
        <v/>
      </c>
    </row>
    <row r="27">
      <c r="A27" t="inlineStr">
        <is>
          <t>INV-2608-0033</t>
        </is>
      </c>
      <c r="B27" t="inlineStr">
        <is>
          <t>B021</t>
        </is>
      </c>
      <c r="C27" t="inlineStr">
        <is>
          <t>CHN</t>
        </is>
      </c>
      <c r="D27" t="inlineStr">
        <is>
          <t>OA</t>
        </is>
      </c>
      <c r="E27" t="inlineStr">
        <is>
          <t>CNY</t>
        </is>
      </c>
      <c r="F27" t="inlineStr">
        <is>
          <t>N</t>
        </is>
      </c>
      <c r="G27" s="32" t="n">
        <v>46242</v>
      </c>
      <c r="H27" s="32" t="n">
        <v>46302</v>
      </c>
      <c r="I27" s="82" t="n">
        <v>389300</v>
      </c>
      <c r="J27" s="82" t="n">
        <v>58008.57</v>
      </c>
      <c r="K27" t="inlineStr">
        <is>
          <t>N</t>
        </is>
      </c>
      <c r="N27" t="inlineStr">
        <is>
          <t>N</t>
        </is>
      </c>
      <c r="O27" s="37">
        <f>IF($A27="","",AsOf-$H27)</f>
        <v/>
      </c>
      <c r="P27" s="37">
        <f>IF($A27="","",IF($K27="Y","-",IF($O27&gt;=30,"D+30 최종통지·선적보류",IF($O27&gt;=15,"D+15 단호한 통지",IF($O27&gt;=7,"D+7 친절한 리마인더",IF(AND($O27&gt;=-3,$O27&lt;=-1),"D-3 사전 안내","모니터링"))))))</f>
        <v/>
      </c>
      <c r="Q27" s="83">
        <f>IF($A27="","",EDATE($H27,1))</f>
        <v/>
      </c>
      <c r="R27" s="37">
        <f>IF($A27="","",$Q27-AsOf)</f>
        <v/>
      </c>
      <c r="S27" s="37">
        <f>IF($A27="","",IF(OR($K27="Y",$F27&lt;&gt;"Y",$O27&lt;=0),"",IF($R27&lt;0,"통지 기한 경과 — 즉시 확인",IF($R27&lt;=NoticeWarnDays,"통지 기한 임박 — 사람 결정",""))))</f>
        <v/>
      </c>
      <c r="T27" s="83">
        <f>IF(OR($A27="",$F27&lt;&gt;"Y"),"",IF(IF($L27="",InsuranceType,$L27)="포괄",DATE(YEAR($G27),MONTH($G27)+1,20),WORKDAY($G27,10)))</f>
        <v/>
      </c>
      <c r="U27" s="83">
        <f>IF(OR($A27="",$M27=""),"",WORKDAY($M27,10))</f>
        <v/>
      </c>
      <c r="V27" s="37">
        <f>IF($A27="","",IF($N27="Y","사기 의심: 콜백 검증 전 대금 안내 중단",""))</f>
        <v/>
      </c>
      <c r="W27" s="37">
        <f>IF($A27="","",IF(AND($K27="N",$D27&lt;&gt;"LC_SIGHT",$D27&lt;&gt;"LC_USANCE",$D27&lt;&gt;"TT_ADV"),$O27,""))</f>
        <v/>
      </c>
      <c r="X27" s="37">
        <f>IF($A27="",0,IF(AND($K27="N",$D27&lt;&gt;"LC_SIGHT",$D27&lt;&gt;"LC_USANCE",$D27&lt;&gt;"TT_ADV",$O27&gt;=30),1,0))</f>
        <v/>
      </c>
      <c r="Y27" s="37">
        <f>IF($A27="","",IF($O27&lt;=0,"미연체",IF($O27&lt;=30,"1-30",IF($O27&lt;=90,"31-90",IF($O27&lt;=180,"91-180",IF($O27&lt;=365,"181-365","365+"))))))</f>
        <v/>
      </c>
      <c r="Z27" s="37">
        <f>IF($S27="통지 기한 임박 — 사람 결정",COUNTIF($S$5:$S27,"통지 기한 임박 — 사람 결정"),"")</f>
        <v/>
      </c>
      <c r="AB27" s="37">
        <f>IF('02_Buyers'!$A24="","",'02_Buyers'!$A24)</f>
        <v/>
      </c>
      <c r="AC27" s="37">
        <f>IF($AB27="","",'02_Buyers'!$AH24)</f>
        <v/>
      </c>
      <c r="AD27" s="37">
        <f>IF($AB27="","",COUNTIFS(inv_buyer,$AB27,inv_paid,"N"))</f>
        <v/>
      </c>
      <c r="AE27" s="40">
        <f>IF($AB27="","",SUMIFS(inv_usd,inv_buyer,$AB27,inv_paid,"N"))</f>
        <v/>
      </c>
      <c r="AF27" s="37">
        <f>IF($AB27="","",_xlfn.MAXIFS(inv_nonlc_dpd,inv_buyer,$AB27))</f>
        <v/>
      </c>
      <c r="AG27" s="37">
        <f>IF($AB27="","",COUNTIFS(inv_buyer,$AB27,inv_hold30,1))</f>
        <v/>
      </c>
      <c r="AH27" s="37">
        <f>IF($AB27="","",IF(OR($AC27=1,$AG27&gt;0),"선적 보류",""))</f>
        <v/>
      </c>
      <c r="AI27" s="37">
        <f>IF($AH27&lt;&gt;"선적 보류","","내부 에스컬레이션: 여신 한도 동결 제안(사람 승인)")</f>
        <v/>
      </c>
      <c r="AJ27" s="37">
        <f>IF($AB27="","",COUNTIFS(inv_buyer,$AB27,inv_alert,"통지 기한 임박*"))</f>
        <v/>
      </c>
      <c r="AK27" s="40">
        <f>IF($AB27="","",'10_LimitLP'!$F27)</f>
        <v/>
      </c>
      <c r="AL27" s="84">
        <f>IF(OR($AB27="",$AK27&lt;=0),"",$AE27/$AK27)</f>
        <v/>
      </c>
      <c r="AM27" s="37">
        <f>IF($AL27="","",IF($AL27&gt;=0.8,"사용률 80%↑ — 출고 전 사전승인(제18조)",""))</f>
        <v/>
      </c>
      <c r="AN27" s="37">
        <f>IF($AB27="","",IFERROR(IF(INDEX($AU$21:$AU$40,MATCH('02_Buyers'!$S24,$AS$21:$AS$40,0))="","",INDEX($AU$21:$AU$40,MATCH('02_Buyers'!$S24,$AS$21:$AS$40,0))),""))</f>
        <v/>
      </c>
      <c r="AO27" s="37">
        <f>IF($AB27="","",IFERROR(IF(INDEX($AV$21:$AV$40,MATCH('02_Buyers'!$S24,$AS$21:$AS$40,0))="","",INDEX($AV$21:$AV$40,MATCH('02_Buyers'!$S24,$AS$21:$AS$40,0))),""))</f>
        <v/>
      </c>
      <c r="AP27" s="37">
        <f>IF(OR($AB27="",$AN27="",$AO27=""),"",IF($AN27&gt;$AO27,"국가등급 하향 — 한도 재산정",""))</f>
        <v/>
      </c>
      <c r="AQ27" s="37">
        <f>IF($AH27="선적 보류",COUNTIF($AH$5:$AH27,"선적 보류"),"")</f>
        <v/>
      </c>
      <c r="AS27" s="5" t="inlineStr">
        <is>
          <t>POL</t>
        </is>
      </c>
      <c r="AT27" s="5" t="inlineStr">
        <is>
          <t>폴란드</t>
        </is>
      </c>
      <c r="AU27" s="70" t="n"/>
      <c r="AV27" s="70" t="n"/>
      <c r="AW27" s="7">
        <f>IF(OR(AU27="",AV27=""),"",IF(AU27&gt;AV27,"하향",IF(AU27&lt;AV27,"상향","")))</f>
        <v/>
      </c>
    </row>
    <row r="28">
      <c r="A28" t="inlineStr">
        <is>
          <t>INV-2608-0071</t>
        </is>
      </c>
      <c r="B28" t="inlineStr">
        <is>
          <t>B021</t>
        </is>
      </c>
      <c r="C28" t="inlineStr">
        <is>
          <t>CHN</t>
        </is>
      </c>
      <c r="D28" t="inlineStr">
        <is>
          <t>OA</t>
        </is>
      </c>
      <c r="E28" t="inlineStr">
        <is>
          <t>CNY</t>
        </is>
      </c>
      <c r="F28" t="inlineStr">
        <is>
          <t>N</t>
        </is>
      </c>
      <c r="G28" s="32" t="n">
        <v>46250</v>
      </c>
      <c r="H28" s="32" t="n">
        <v>46310</v>
      </c>
      <c r="I28" s="82" t="n">
        <v>37800</v>
      </c>
      <c r="J28" s="82" t="n">
        <v>5632.48</v>
      </c>
      <c r="K28" t="inlineStr">
        <is>
          <t>N</t>
        </is>
      </c>
      <c r="N28" t="inlineStr">
        <is>
          <t>N</t>
        </is>
      </c>
      <c r="O28" s="37">
        <f>IF($A28="","",AsOf-$H28)</f>
        <v/>
      </c>
      <c r="P28" s="37">
        <f>IF($A28="","",IF($K28="Y","-",IF($O28&gt;=30,"D+30 최종통지·선적보류",IF($O28&gt;=15,"D+15 단호한 통지",IF($O28&gt;=7,"D+7 친절한 리마인더",IF(AND($O28&gt;=-3,$O28&lt;=-1),"D-3 사전 안내","모니터링"))))))</f>
        <v/>
      </c>
      <c r="Q28" s="83">
        <f>IF($A28="","",EDATE($H28,1))</f>
        <v/>
      </c>
      <c r="R28" s="37">
        <f>IF($A28="","",$Q28-AsOf)</f>
        <v/>
      </c>
      <c r="S28" s="37">
        <f>IF($A28="","",IF(OR($K28="Y",$F28&lt;&gt;"Y",$O28&lt;=0),"",IF($R28&lt;0,"통지 기한 경과 — 즉시 확인",IF($R28&lt;=NoticeWarnDays,"통지 기한 임박 — 사람 결정",""))))</f>
        <v/>
      </c>
      <c r="T28" s="83">
        <f>IF(OR($A28="",$F28&lt;&gt;"Y"),"",IF(IF($L28="",InsuranceType,$L28)="포괄",DATE(YEAR($G28),MONTH($G28)+1,20),WORKDAY($G28,10)))</f>
        <v/>
      </c>
      <c r="U28" s="83">
        <f>IF(OR($A28="",$M28=""),"",WORKDAY($M28,10))</f>
        <v/>
      </c>
      <c r="V28" s="37">
        <f>IF($A28="","",IF($N28="Y","사기 의심: 콜백 검증 전 대금 안내 중단",""))</f>
        <v/>
      </c>
      <c r="W28" s="37">
        <f>IF($A28="","",IF(AND($K28="N",$D28&lt;&gt;"LC_SIGHT",$D28&lt;&gt;"LC_USANCE",$D28&lt;&gt;"TT_ADV"),$O28,""))</f>
        <v/>
      </c>
      <c r="X28" s="37">
        <f>IF($A28="",0,IF(AND($K28="N",$D28&lt;&gt;"LC_SIGHT",$D28&lt;&gt;"LC_USANCE",$D28&lt;&gt;"TT_ADV",$O28&gt;=30),1,0))</f>
        <v/>
      </c>
      <c r="Y28" s="37">
        <f>IF($A28="","",IF($O28&lt;=0,"미연체",IF($O28&lt;=30,"1-30",IF($O28&lt;=90,"31-90",IF($O28&lt;=180,"91-180",IF($O28&lt;=365,"181-365","365+"))))))</f>
        <v/>
      </c>
      <c r="Z28" s="37">
        <f>IF($S28="통지 기한 임박 — 사람 결정",COUNTIF($S$5:$S28,"통지 기한 임박 — 사람 결정"),"")</f>
        <v/>
      </c>
      <c r="AB28" s="37">
        <f>IF('02_Buyers'!$A25="","",'02_Buyers'!$A25)</f>
        <v/>
      </c>
      <c r="AC28" s="37">
        <f>IF($AB28="","",'02_Buyers'!$AH25)</f>
        <v/>
      </c>
      <c r="AD28" s="37">
        <f>IF($AB28="","",COUNTIFS(inv_buyer,$AB28,inv_paid,"N"))</f>
        <v/>
      </c>
      <c r="AE28" s="40">
        <f>IF($AB28="","",SUMIFS(inv_usd,inv_buyer,$AB28,inv_paid,"N"))</f>
        <v/>
      </c>
      <c r="AF28" s="37">
        <f>IF($AB28="","",_xlfn.MAXIFS(inv_nonlc_dpd,inv_buyer,$AB28))</f>
        <v/>
      </c>
      <c r="AG28" s="37">
        <f>IF($AB28="","",COUNTIFS(inv_buyer,$AB28,inv_hold30,1))</f>
        <v/>
      </c>
      <c r="AH28" s="37">
        <f>IF($AB28="","",IF(OR($AC28=1,$AG28&gt;0),"선적 보류",""))</f>
        <v/>
      </c>
      <c r="AI28" s="37">
        <f>IF($AH28&lt;&gt;"선적 보류","","내부 에스컬레이션: 여신 한도 동결 제안(사람 승인)")</f>
        <v/>
      </c>
      <c r="AJ28" s="37">
        <f>IF($AB28="","",COUNTIFS(inv_buyer,$AB28,inv_alert,"통지 기한 임박*"))</f>
        <v/>
      </c>
      <c r="AK28" s="40">
        <f>IF($AB28="","",'10_LimitLP'!$F28)</f>
        <v/>
      </c>
      <c r="AL28" s="84">
        <f>IF(OR($AB28="",$AK28&lt;=0),"",$AE28/$AK28)</f>
        <v/>
      </c>
      <c r="AM28" s="37">
        <f>IF($AL28="","",IF($AL28&gt;=0.8,"사용률 80%↑ — 출고 전 사전승인(제18조)",""))</f>
        <v/>
      </c>
      <c r="AN28" s="37">
        <f>IF($AB28="","",IFERROR(IF(INDEX($AU$21:$AU$40,MATCH('02_Buyers'!$S25,$AS$21:$AS$40,0))="","",INDEX($AU$21:$AU$40,MATCH('02_Buyers'!$S25,$AS$21:$AS$40,0))),""))</f>
        <v/>
      </c>
      <c r="AO28" s="37">
        <f>IF($AB28="","",IFERROR(IF(INDEX($AV$21:$AV$40,MATCH('02_Buyers'!$S25,$AS$21:$AS$40,0))="","",INDEX($AV$21:$AV$40,MATCH('02_Buyers'!$S25,$AS$21:$AS$40,0))),""))</f>
        <v/>
      </c>
      <c r="AP28" s="37">
        <f>IF(OR($AB28="",$AN28="",$AO28=""),"",IF($AN28&gt;$AO28,"국가등급 하향 — 한도 재산정",""))</f>
        <v/>
      </c>
      <c r="AQ28" s="37">
        <f>IF($AH28="선적 보류",COUNTIF($AH$5:$AH28,"선적 보류"),"")</f>
        <v/>
      </c>
      <c r="AS28" s="5" t="inlineStr">
        <is>
          <t>TUR</t>
        </is>
      </c>
      <c r="AT28" s="5" t="inlineStr">
        <is>
          <t>튀르키예</t>
        </is>
      </c>
      <c r="AU28" s="70" t="n">
        <v>5</v>
      </c>
      <c r="AV28" s="70" t="n">
        <v>5</v>
      </c>
      <c r="AW28" s="7">
        <f>IF(OR(AU28="",AV28=""),"",IF(AU28&gt;AV28,"하향",IF(AU28&lt;AV28,"상향","")))</f>
        <v/>
      </c>
    </row>
    <row r="29">
      <c r="A29" t="inlineStr">
        <is>
          <t>INV-2609-0078</t>
        </is>
      </c>
      <c r="B29" t="inlineStr">
        <is>
          <t>B021</t>
        </is>
      </c>
      <c r="C29" t="inlineStr">
        <is>
          <t>CHN</t>
        </is>
      </c>
      <c r="D29" t="inlineStr">
        <is>
          <t>OA</t>
        </is>
      </c>
      <c r="E29" t="inlineStr">
        <is>
          <t>CNY</t>
        </is>
      </c>
      <c r="F29" t="inlineStr">
        <is>
          <t>N</t>
        </is>
      </c>
      <c r="G29" s="32" t="n">
        <v>46280</v>
      </c>
      <c r="H29" s="32" t="n">
        <v>46340</v>
      </c>
      <c r="I29" s="82" t="n">
        <v>111200</v>
      </c>
      <c r="J29" s="82" t="n">
        <v>16569.62</v>
      </c>
      <c r="K29" t="inlineStr">
        <is>
          <t>N</t>
        </is>
      </c>
      <c r="N29" t="inlineStr">
        <is>
          <t>N</t>
        </is>
      </c>
      <c r="O29" s="37">
        <f>IF($A29="","",AsOf-$H29)</f>
        <v/>
      </c>
      <c r="P29" s="37">
        <f>IF($A29="","",IF($K29="Y","-",IF($O29&gt;=30,"D+30 최종통지·선적보류",IF($O29&gt;=15,"D+15 단호한 통지",IF($O29&gt;=7,"D+7 친절한 리마인더",IF(AND($O29&gt;=-3,$O29&lt;=-1),"D-3 사전 안내","모니터링"))))))</f>
        <v/>
      </c>
      <c r="Q29" s="83">
        <f>IF($A29="","",EDATE($H29,1))</f>
        <v/>
      </c>
      <c r="R29" s="37">
        <f>IF($A29="","",$Q29-AsOf)</f>
        <v/>
      </c>
      <c r="S29" s="37">
        <f>IF($A29="","",IF(OR($K29="Y",$F29&lt;&gt;"Y",$O29&lt;=0),"",IF($R29&lt;0,"통지 기한 경과 — 즉시 확인",IF($R29&lt;=NoticeWarnDays,"통지 기한 임박 — 사람 결정",""))))</f>
        <v/>
      </c>
      <c r="T29" s="83">
        <f>IF(OR($A29="",$F29&lt;&gt;"Y"),"",IF(IF($L29="",InsuranceType,$L29)="포괄",DATE(YEAR($G29),MONTH($G29)+1,20),WORKDAY($G29,10)))</f>
        <v/>
      </c>
      <c r="U29" s="83">
        <f>IF(OR($A29="",$M29=""),"",WORKDAY($M29,10))</f>
        <v/>
      </c>
      <c r="V29" s="37">
        <f>IF($A29="","",IF($N29="Y","사기 의심: 콜백 검증 전 대금 안내 중단",""))</f>
        <v/>
      </c>
      <c r="W29" s="37">
        <f>IF($A29="","",IF(AND($K29="N",$D29&lt;&gt;"LC_SIGHT",$D29&lt;&gt;"LC_USANCE",$D29&lt;&gt;"TT_ADV"),$O29,""))</f>
        <v/>
      </c>
      <c r="X29" s="37">
        <f>IF($A29="",0,IF(AND($K29="N",$D29&lt;&gt;"LC_SIGHT",$D29&lt;&gt;"LC_USANCE",$D29&lt;&gt;"TT_ADV",$O29&gt;=30),1,0))</f>
        <v/>
      </c>
      <c r="Y29" s="37">
        <f>IF($A29="","",IF($O29&lt;=0,"미연체",IF($O29&lt;=30,"1-30",IF($O29&lt;=90,"31-90",IF($O29&lt;=180,"91-180",IF($O29&lt;=365,"181-365","365+"))))))</f>
        <v/>
      </c>
      <c r="Z29" s="37">
        <f>IF($S29="통지 기한 임박 — 사람 결정",COUNTIF($S$5:$S29,"통지 기한 임박 — 사람 결정"),"")</f>
        <v/>
      </c>
      <c r="AB29" s="37">
        <f>IF('02_Buyers'!$A26="","",'02_Buyers'!$A26)</f>
        <v/>
      </c>
      <c r="AC29" s="37">
        <f>IF($AB29="","",'02_Buyers'!$AH26)</f>
        <v/>
      </c>
      <c r="AD29" s="37">
        <f>IF($AB29="","",COUNTIFS(inv_buyer,$AB29,inv_paid,"N"))</f>
        <v/>
      </c>
      <c r="AE29" s="40">
        <f>IF($AB29="","",SUMIFS(inv_usd,inv_buyer,$AB29,inv_paid,"N"))</f>
        <v/>
      </c>
      <c r="AF29" s="37">
        <f>IF($AB29="","",_xlfn.MAXIFS(inv_nonlc_dpd,inv_buyer,$AB29))</f>
        <v/>
      </c>
      <c r="AG29" s="37">
        <f>IF($AB29="","",COUNTIFS(inv_buyer,$AB29,inv_hold30,1))</f>
        <v/>
      </c>
      <c r="AH29" s="37">
        <f>IF($AB29="","",IF(OR($AC29=1,$AG29&gt;0),"선적 보류",""))</f>
        <v/>
      </c>
      <c r="AI29" s="37">
        <f>IF($AH29&lt;&gt;"선적 보류","","내부 에스컬레이션: 여신 한도 동결 제안(사람 승인)")</f>
        <v/>
      </c>
      <c r="AJ29" s="37">
        <f>IF($AB29="","",COUNTIFS(inv_buyer,$AB29,inv_alert,"통지 기한 임박*"))</f>
        <v/>
      </c>
      <c r="AK29" s="40">
        <f>IF($AB29="","",'10_LimitLP'!$F29)</f>
        <v/>
      </c>
      <c r="AL29" s="84">
        <f>IF(OR($AB29="",$AK29&lt;=0),"",$AE29/$AK29)</f>
        <v/>
      </c>
      <c r="AM29" s="37">
        <f>IF($AL29="","",IF($AL29&gt;=0.8,"사용률 80%↑ — 출고 전 사전승인(제18조)",""))</f>
        <v/>
      </c>
      <c r="AN29" s="37">
        <f>IF($AB29="","",IFERROR(IF(INDEX($AU$21:$AU$40,MATCH('02_Buyers'!$S26,$AS$21:$AS$40,0))="","",INDEX($AU$21:$AU$40,MATCH('02_Buyers'!$S26,$AS$21:$AS$40,0))),""))</f>
        <v/>
      </c>
      <c r="AO29" s="37">
        <f>IF($AB29="","",IFERROR(IF(INDEX($AV$21:$AV$40,MATCH('02_Buyers'!$S26,$AS$21:$AS$40,0))="","",INDEX($AV$21:$AV$40,MATCH('02_Buyers'!$S26,$AS$21:$AS$40,0))),""))</f>
        <v/>
      </c>
      <c r="AP29" s="37">
        <f>IF(OR($AB29="",$AN29="",$AO29=""),"",IF($AN29&gt;$AO29,"국가등급 하향 — 한도 재산정",""))</f>
        <v/>
      </c>
      <c r="AQ29" s="37">
        <f>IF($AH29="선적 보류",COUNTIF($AH$5:$AH29,"선적 보류"),"")</f>
        <v/>
      </c>
      <c r="AS29" s="5" t="inlineStr">
        <is>
          <t>CHN</t>
        </is>
      </c>
      <c r="AT29" s="5" t="inlineStr">
        <is>
          <t>중국</t>
        </is>
      </c>
      <c r="AU29" s="70" t="n">
        <v>2</v>
      </c>
      <c r="AV29" s="70" t="n">
        <v>2</v>
      </c>
      <c r="AW29" s="7">
        <f>IF(OR(AU29="",AV29=""),"",IF(AU29&gt;AV29,"하향",IF(AU29&lt;AV29,"상향","")))</f>
        <v/>
      </c>
    </row>
    <row r="30">
      <c r="A30" t="inlineStr">
        <is>
          <t>INV-2606-0131</t>
        </is>
      </c>
      <c r="B30" t="inlineStr">
        <is>
          <t>B022</t>
        </is>
      </c>
      <c r="C30" t="inlineStr">
        <is>
          <t>IDN</t>
        </is>
      </c>
      <c r="D30" t="inlineStr">
        <is>
          <t>OA</t>
        </is>
      </c>
      <c r="E30" t="inlineStr">
        <is>
          <t>USD</t>
        </is>
      </c>
      <c r="F30" t="inlineStr">
        <is>
          <t>Y</t>
        </is>
      </c>
      <c r="G30" s="32" t="n">
        <v>46202</v>
      </c>
      <c r="H30" s="32" t="n">
        <v>46292</v>
      </c>
      <c r="I30" s="82" t="n">
        <v>4330</v>
      </c>
      <c r="J30" s="82" t="n">
        <v>4330</v>
      </c>
      <c r="K30" t="inlineStr">
        <is>
          <t>N</t>
        </is>
      </c>
      <c r="L30" t="inlineStr">
        <is>
          <t>개별</t>
        </is>
      </c>
      <c r="N30" t="inlineStr">
        <is>
          <t>N</t>
        </is>
      </c>
      <c r="O30" s="37">
        <f>IF($A30="","",AsOf-$H30)</f>
        <v/>
      </c>
      <c r="P30" s="37">
        <f>IF($A30="","",IF($K30="Y","-",IF($O30&gt;=30,"D+30 최종통지·선적보류",IF($O30&gt;=15,"D+15 단호한 통지",IF($O30&gt;=7,"D+7 친절한 리마인더",IF(AND($O30&gt;=-3,$O30&lt;=-1),"D-3 사전 안내","모니터링"))))))</f>
        <v/>
      </c>
      <c r="Q30" s="83">
        <f>IF($A30="","",EDATE($H30,1))</f>
        <v/>
      </c>
      <c r="R30" s="37">
        <f>IF($A30="","",$Q30-AsOf)</f>
        <v/>
      </c>
      <c r="S30" s="37">
        <f>IF($A30="","",IF(OR($K30="Y",$F30&lt;&gt;"Y",$O30&lt;=0),"",IF($R30&lt;0,"통지 기한 경과 — 즉시 확인",IF($R30&lt;=NoticeWarnDays,"통지 기한 임박 — 사람 결정",""))))</f>
        <v/>
      </c>
      <c r="T30" s="83">
        <f>IF(OR($A30="",$F30&lt;&gt;"Y"),"",IF(IF($L30="",InsuranceType,$L30)="포괄",DATE(YEAR($G30),MONTH($G30)+1,20),WORKDAY($G30,10)))</f>
        <v/>
      </c>
      <c r="U30" s="83">
        <f>IF(OR($A30="",$M30=""),"",WORKDAY($M30,10))</f>
        <v/>
      </c>
      <c r="V30" s="37">
        <f>IF($A30="","",IF($N30="Y","사기 의심: 콜백 검증 전 대금 안내 중단",""))</f>
        <v/>
      </c>
      <c r="W30" s="37">
        <f>IF($A30="","",IF(AND($K30="N",$D30&lt;&gt;"LC_SIGHT",$D30&lt;&gt;"LC_USANCE",$D30&lt;&gt;"TT_ADV"),$O30,""))</f>
        <v/>
      </c>
      <c r="X30" s="37">
        <f>IF($A30="",0,IF(AND($K30="N",$D30&lt;&gt;"LC_SIGHT",$D30&lt;&gt;"LC_USANCE",$D30&lt;&gt;"TT_ADV",$O30&gt;=30),1,0))</f>
        <v/>
      </c>
      <c r="Y30" s="37">
        <f>IF($A30="","",IF($O30&lt;=0,"미연체",IF($O30&lt;=30,"1-30",IF($O30&lt;=90,"31-90",IF($O30&lt;=180,"91-180",IF($O30&lt;=365,"181-365","365+"))))))</f>
        <v/>
      </c>
      <c r="Z30" s="37">
        <f>IF($S30="통지 기한 임박 — 사람 결정",COUNTIF($S$5:$S30,"통지 기한 임박 — 사람 결정"),"")</f>
        <v/>
      </c>
      <c r="AB30" s="37">
        <f>IF('02_Buyers'!$A27="","",'02_Buyers'!$A27)</f>
        <v/>
      </c>
      <c r="AC30" s="37">
        <f>IF($AB30="","",'02_Buyers'!$AH27)</f>
        <v/>
      </c>
      <c r="AD30" s="37">
        <f>IF($AB30="","",COUNTIFS(inv_buyer,$AB30,inv_paid,"N"))</f>
        <v/>
      </c>
      <c r="AE30" s="40">
        <f>IF($AB30="","",SUMIFS(inv_usd,inv_buyer,$AB30,inv_paid,"N"))</f>
        <v/>
      </c>
      <c r="AF30" s="37">
        <f>IF($AB30="","",_xlfn.MAXIFS(inv_nonlc_dpd,inv_buyer,$AB30))</f>
        <v/>
      </c>
      <c r="AG30" s="37">
        <f>IF($AB30="","",COUNTIFS(inv_buyer,$AB30,inv_hold30,1))</f>
        <v/>
      </c>
      <c r="AH30" s="37">
        <f>IF($AB30="","",IF(OR($AC30=1,$AG30&gt;0),"선적 보류",""))</f>
        <v/>
      </c>
      <c r="AI30" s="37">
        <f>IF($AH30&lt;&gt;"선적 보류","","내부 에스컬레이션: 여신 한도 동결 제안(사람 승인)")</f>
        <v/>
      </c>
      <c r="AJ30" s="37">
        <f>IF($AB30="","",COUNTIFS(inv_buyer,$AB30,inv_alert,"통지 기한 임박*"))</f>
        <v/>
      </c>
      <c r="AK30" s="40">
        <f>IF($AB30="","",'10_LimitLP'!$F30)</f>
        <v/>
      </c>
      <c r="AL30" s="84">
        <f>IF(OR($AB30="",$AK30&lt;=0),"",$AE30/$AK30)</f>
        <v/>
      </c>
      <c r="AM30" s="37">
        <f>IF($AL30="","",IF($AL30&gt;=0.8,"사용률 80%↑ — 출고 전 사전승인(제18조)",""))</f>
        <v/>
      </c>
      <c r="AN30" s="37">
        <f>IF($AB30="","",IFERROR(IF(INDEX($AU$21:$AU$40,MATCH('02_Buyers'!$S27,$AS$21:$AS$40,0))="","",INDEX($AU$21:$AU$40,MATCH('02_Buyers'!$S27,$AS$21:$AS$40,0))),""))</f>
        <v/>
      </c>
      <c r="AO30" s="37">
        <f>IF($AB30="","",IFERROR(IF(INDEX($AV$21:$AV$40,MATCH('02_Buyers'!$S27,$AS$21:$AS$40,0))="","",INDEX($AV$21:$AV$40,MATCH('02_Buyers'!$S27,$AS$21:$AS$40,0))),""))</f>
        <v/>
      </c>
      <c r="AP30" s="37">
        <f>IF(OR($AB30="",$AN30="",$AO30=""),"",IF($AN30&gt;$AO30,"국가등급 하향 — 한도 재산정",""))</f>
        <v/>
      </c>
      <c r="AQ30" s="37">
        <f>IF($AH30="선적 보류",COUNTIF($AH$5:$AH30,"선적 보류"),"")</f>
        <v/>
      </c>
      <c r="AS30" s="5" t="inlineStr">
        <is>
          <t>JPN</t>
        </is>
      </c>
      <c r="AT30" s="5" t="inlineStr">
        <is>
          <t>일본</t>
        </is>
      </c>
      <c r="AU30" s="70" t="n"/>
      <c r="AV30" s="70" t="n"/>
      <c r="AW30" s="7">
        <f>IF(OR(AU30="",AV30=""),"",IF(AU30&gt;AV30,"하향",IF(AU30&lt;AV30,"상향","")))</f>
        <v/>
      </c>
    </row>
    <row r="31">
      <c r="A31" t="inlineStr">
        <is>
          <t>INV-2607-0072</t>
        </is>
      </c>
      <c r="B31" t="inlineStr">
        <is>
          <t>B022</t>
        </is>
      </c>
      <c r="C31" t="inlineStr">
        <is>
          <t>IDN</t>
        </is>
      </c>
      <c r="D31" t="inlineStr">
        <is>
          <t>OA</t>
        </is>
      </c>
      <c r="E31" t="inlineStr">
        <is>
          <t>USD</t>
        </is>
      </c>
      <c r="F31" t="inlineStr">
        <is>
          <t>Y</t>
        </is>
      </c>
      <c r="G31" s="32" t="n">
        <v>46217</v>
      </c>
      <c r="H31" s="32" t="n">
        <v>46307</v>
      </c>
      <c r="I31" s="82" t="n">
        <v>18460</v>
      </c>
      <c r="J31" s="82" t="n">
        <v>18460</v>
      </c>
      <c r="K31" t="inlineStr">
        <is>
          <t>N</t>
        </is>
      </c>
      <c r="L31" t="inlineStr">
        <is>
          <t>개별</t>
        </is>
      </c>
      <c r="N31" t="inlineStr">
        <is>
          <t>N</t>
        </is>
      </c>
      <c r="O31" s="37">
        <f>IF($A31="","",AsOf-$H31)</f>
        <v/>
      </c>
      <c r="P31" s="37">
        <f>IF($A31="","",IF($K31="Y","-",IF($O31&gt;=30,"D+30 최종통지·선적보류",IF($O31&gt;=15,"D+15 단호한 통지",IF($O31&gt;=7,"D+7 친절한 리마인더",IF(AND($O31&gt;=-3,$O31&lt;=-1),"D-3 사전 안내","모니터링"))))))</f>
        <v/>
      </c>
      <c r="Q31" s="83">
        <f>IF($A31="","",EDATE($H31,1))</f>
        <v/>
      </c>
      <c r="R31" s="37">
        <f>IF($A31="","",$Q31-AsOf)</f>
        <v/>
      </c>
      <c r="S31" s="37">
        <f>IF($A31="","",IF(OR($K31="Y",$F31&lt;&gt;"Y",$O31&lt;=0),"",IF($R31&lt;0,"통지 기한 경과 — 즉시 확인",IF($R31&lt;=NoticeWarnDays,"통지 기한 임박 — 사람 결정",""))))</f>
        <v/>
      </c>
      <c r="T31" s="83">
        <f>IF(OR($A31="",$F31&lt;&gt;"Y"),"",IF(IF($L31="",InsuranceType,$L31)="포괄",DATE(YEAR($G31),MONTH($G31)+1,20),WORKDAY($G31,10)))</f>
        <v/>
      </c>
      <c r="U31" s="83">
        <f>IF(OR($A31="",$M31=""),"",WORKDAY($M31,10))</f>
        <v/>
      </c>
      <c r="V31" s="37">
        <f>IF($A31="","",IF($N31="Y","사기 의심: 콜백 검증 전 대금 안내 중단",""))</f>
        <v/>
      </c>
      <c r="W31" s="37">
        <f>IF($A31="","",IF(AND($K31="N",$D31&lt;&gt;"LC_SIGHT",$D31&lt;&gt;"LC_USANCE",$D31&lt;&gt;"TT_ADV"),$O31,""))</f>
        <v/>
      </c>
      <c r="X31" s="37">
        <f>IF($A31="",0,IF(AND($K31="N",$D31&lt;&gt;"LC_SIGHT",$D31&lt;&gt;"LC_USANCE",$D31&lt;&gt;"TT_ADV",$O31&gt;=30),1,0))</f>
        <v/>
      </c>
      <c r="Y31" s="37">
        <f>IF($A31="","",IF($O31&lt;=0,"미연체",IF($O31&lt;=30,"1-30",IF($O31&lt;=90,"31-90",IF($O31&lt;=180,"91-180",IF($O31&lt;=365,"181-365","365+"))))))</f>
        <v/>
      </c>
      <c r="Z31" s="37">
        <f>IF($S31="통지 기한 임박 — 사람 결정",COUNTIF($S$5:$S31,"통지 기한 임박 — 사람 결정"),"")</f>
        <v/>
      </c>
      <c r="AB31" s="37">
        <f>IF('02_Buyers'!$A28="","",'02_Buyers'!$A28)</f>
        <v/>
      </c>
      <c r="AC31" s="37">
        <f>IF($AB31="","",'02_Buyers'!$AH28)</f>
        <v/>
      </c>
      <c r="AD31" s="37">
        <f>IF($AB31="","",COUNTIFS(inv_buyer,$AB31,inv_paid,"N"))</f>
        <v/>
      </c>
      <c r="AE31" s="40">
        <f>IF($AB31="","",SUMIFS(inv_usd,inv_buyer,$AB31,inv_paid,"N"))</f>
        <v/>
      </c>
      <c r="AF31" s="37">
        <f>IF($AB31="","",_xlfn.MAXIFS(inv_nonlc_dpd,inv_buyer,$AB31))</f>
        <v/>
      </c>
      <c r="AG31" s="37">
        <f>IF($AB31="","",COUNTIFS(inv_buyer,$AB31,inv_hold30,1))</f>
        <v/>
      </c>
      <c r="AH31" s="37">
        <f>IF($AB31="","",IF(OR($AC31=1,$AG31&gt;0),"선적 보류",""))</f>
        <v/>
      </c>
      <c r="AI31" s="37">
        <f>IF($AH31&lt;&gt;"선적 보류","","내부 에스컬레이션: 여신 한도 동결 제안(사람 승인)")</f>
        <v/>
      </c>
      <c r="AJ31" s="37">
        <f>IF($AB31="","",COUNTIFS(inv_buyer,$AB31,inv_alert,"통지 기한 임박*"))</f>
        <v/>
      </c>
      <c r="AK31" s="40">
        <f>IF($AB31="","",'10_LimitLP'!$F31)</f>
        <v/>
      </c>
      <c r="AL31" s="84">
        <f>IF(OR($AB31="",$AK31&lt;=0),"",$AE31/$AK31)</f>
        <v/>
      </c>
      <c r="AM31" s="37">
        <f>IF($AL31="","",IF($AL31&gt;=0.8,"사용률 80%↑ — 출고 전 사전승인(제18조)",""))</f>
        <v/>
      </c>
      <c r="AN31" s="37">
        <f>IF($AB31="","",IFERROR(IF(INDEX($AU$21:$AU$40,MATCH('02_Buyers'!$S28,$AS$21:$AS$40,0))="","",INDEX($AU$21:$AU$40,MATCH('02_Buyers'!$S28,$AS$21:$AS$40,0))),""))</f>
        <v/>
      </c>
      <c r="AO31" s="37">
        <f>IF($AB31="","",IFERROR(IF(INDEX($AV$21:$AV$40,MATCH('02_Buyers'!$S28,$AS$21:$AS$40,0))="","",INDEX($AV$21:$AV$40,MATCH('02_Buyers'!$S28,$AS$21:$AS$40,0))),""))</f>
        <v/>
      </c>
      <c r="AP31" s="37">
        <f>IF(OR($AB31="",$AN31="",$AO31=""),"",IF($AN31&gt;$AO31,"국가등급 하향 — 한도 재산정",""))</f>
        <v/>
      </c>
      <c r="AQ31" s="37">
        <f>IF($AH31="선적 보류",COUNTIF($AH$5:$AH31,"선적 보류"),"")</f>
        <v/>
      </c>
      <c r="AS31" s="5" t="inlineStr">
        <is>
          <t>TWN</t>
        </is>
      </c>
      <c r="AT31" s="5" t="inlineStr">
        <is>
          <t>대만</t>
        </is>
      </c>
      <c r="AU31" s="70" t="n">
        <v>2</v>
      </c>
      <c r="AV31" s="70" t="n">
        <v>2</v>
      </c>
      <c r="AW31" s="7">
        <f>IF(OR(AU31="",AV31=""),"",IF(AU31&gt;AV31,"하향",IF(AU31&lt;AV31,"상향","")))</f>
        <v/>
      </c>
    </row>
    <row r="32">
      <c r="A32" t="inlineStr">
        <is>
          <t>INV-2607-0096</t>
        </is>
      </c>
      <c r="B32" t="inlineStr">
        <is>
          <t>B022</t>
        </is>
      </c>
      <c r="C32" t="inlineStr">
        <is>
          <t>IDN</t>
        </is>
      </c>
      <c r="D32" t="inlineStr">
        <is>
          <t>OA</t>
        </is>
      </c>
      <c r="E32" t="inlineStr">
        <is>
          <t>USD</t>
        </is>
      </c>
      <c r="F32" t="inlineStr">
        <is>
          <t>Y</t>
        </is>
      </c>
      <c r="G32" s="32" t="n">
        <v>46221</v>
      </c>
      <c r="H32" s="32" t="n">
        <v>46311</v>
      </c>
      <c r="I32" s="82" t="n">
        <v>9510</v>
      </c>
      <c r="J32" s="82" t="n">
        <v>9510</v>
      </c>
      <c r="K32" t="inlineStr">
        <is>
          <t>N</t>
        </is>
      </c>
      <c r="L32" t="inlineStr">
        <is>
          <t>개별</t>
        </is>
      </c>
      <c r="N32" t="inlineStr">
        <is>
          <t>N</t>
        </is>
      </c>
      <c r="O32" s="37">
        <f>IF($A32="","",AsOf-$H32)</f>
        <v/>
      </c>
      <c r="P32" s="37">
        <f>IF($A32="","",IF($K32="Y","-",IF($O32&gt;=30,"D+30 최종통지·선적보류",IF($O32&gt;=15,"D+15 단호한 통지",IF($O32&gt;=7,"D+7 친절한 리마인더",IF(AND($O32&gt;=-3,$O32&lt;=-1),"D-3 사전 안내","모니터링"))))))</f>
        <v/>
      </c>
      <c r="Q32" s="83">
        <f>IF($A32="","",EDATE($H32,1))</f>
        <v/>
      </c>
      <c r="R32" s="37">
        <f>IF($A32="","",$Q32-AsOf)</f>
        <v/>
      </c>
      <c r="S32" s="37">
        <f>IF($A32="","",IF(OR($K32="Y",$F32&lt;&gt;"Y",$O32&lt;=0),"",IF($R32&lt;0,"통지 기한 경과 — 즉시 확인",IF($R32&lt;=NoticeWarnDays,"통지 기한 임박 — 사람 결정",""))))</f>
        <v/>
      </c>
      <c r="T32" s="83">
        <f>IF(OR($A32="",$F32&lt;&gt;"Y"),"",IF(IF($L32="",InsuranceType,$L32)="포괄",DATE(YEAR($G32),MONTH($G32)+1,20),WORKDAY($G32,10)))</f>
        <v/>
      </c>
      <c r="U32" s="83">
        <f>IF(OR($A32="",$M32=""),"",WORKDAY($M32,10))</f>
        <v/>
      </c>
      <c r="V32" s="37">
        <f>IF($A32="","",IF($N32="Y","사기 의심: 콜백 검증 전 대금 안내 중단",""))</f>
        <v/>
      </c>
      <c r="W32" s="37">
        <f>IF($A32="","",IF(AND($K32="N",$D32&lt;&gt;"LC_SIGHT",$D32&lt;&gt;"LC_USANCE",$D32&lt;&gt;"TT_ADV"),$O32,""))</f>
        <v/>
      </c>
      <c r="X32" s="37">
        <f>IF($A32="",0,IF(AND($K32="N",$D32&lt;&gt;"LC_SIGHT",$D32&lt;&gt;"LC_USANCE",$D32&lt;&gt;"TT_ADV",$O32&gt;=30),1,0))</f>
        <v/>
      </c>
      <c r="Y32" s="37">
        <f>IF($A32="","",IF($O32&lt;=0,"미연체",IF($O32&lt;=30,"1-30",IF($O32&lt;=90,"31-90",IF($O32&lt;=180,"91-180",IF($O32&lt;=365,"181-365","365+"))))))</f>
        <v/>
      </c>
      <c r="Z32" s="37">
        <f>IF($S32="통지 기한 임박 — 사람 결정",COUNTIF($S$5:$S32,"통지 기한 임박 — 사람 결정"),"")</f>
        <v/>
      </c>
      <c r="AB32" s="37">
        <f>IF('02_Buyers'!$A29="","",'02_Buyers'!$A29)</f>
        <v/>
      </c>
      <c r="AC32" s="37">
        <f>IF($AB32="","",'02_Buyers'!$AH29)</f>
        <v/>
      </c>
      <c r="AD32" s="37">
        <f>IF($AB32="","",COUNTIFS(inv_buyer,$AB32,inv_paid,"N"))</f>
        <v/>
      </c>
      <c r="AE32" s="40">
        <f>IF($AB32="","",SUMIFS(inv_usd,inv_buyer,$AB32,inv_paid,"N"))</f>
        <v/>
      </c>
      <c r="AF32" s="37">
        <f>IF($AB32="","",_xlfn.MAXIFS(inv_nonlc_dpd,inv_buyer,$AB32))</f>
        <v/>
      </c>
      <c r="AG32" s="37">
        <f>IF($AB32="","",COUNTIFS(inv_buyer,$AB32,inv_hold30,1))</f>
        <v/>
      </c>
      <c r="AH32" s="37">
        <f>IF($AB32="","",IF(OR($AC32=1,$AG32&gt;0),"선적 보류",""))</f>
        <v/>
      </c>
      <c r="AI32" s="37">
        <f>IF($AH32&lt;&gt;"선적 보류","","내부 에스컬레이션: 여신 한도 동결 제안(사람 승인)")</f>
        <v/>
      </c>
      <c r="AJ32" s="37">
        <f>IF($AB32="","",COUNTIFS(inv_buyer,$AB32,inv_alert,"통지 기한 임박*"))</f>
        <v/>
      </c>
      <c r="AK32" s="40">
        <f>IF($AB32="","",'10_LimitLP'!$F32)</f>
        <v/>
      </c>
      <c r="AL32" s="84">
        <f>IF(OR($AB32="",$AK32&lt;=0),"",$AE32/$AK32)</f>
        <v/>
      </c>
      <c r="AM32" s="37">
        <f>IF($AL32="","",IF($AL32&gt;=0.8,"사용률 80%↑ — 출고 전 사전승인(제18조)",""))</f>
        <v/>
      </c>
      <c r="AN32" s="37">
        <f>IF($AB32="","",IFERROR(IF(INDEX($AU$21:$AU$40,MATCH('02_Buyers'!$S29,$AS$21:$AS$40,0))="","",INDEX($AU$21:$AU$40,MATCH('02_Buyers'!$S29,$AS$21:$AS$40,0))),""))</f>
        <v/>
      </c>
      <c r="AO32" s="37">
        <f>IF($AB32="","",IFERROR(IF(INDEX($AV$21:$AV$40,MATCH('02_Buyers'!$S29,$AS$21:$AS$40,0))="","",INDEX($AV$21:$AV$40,MATCH('02_Buyers'!$S29,$AS$21:$AS$40,0))),""))</f>
        <v/>
      </c>
      <c r="AP32" s="37">
        <f>IF(OR($AB32="",$AN32="",$AO32=""),"",IF($AN32&gt;$AO32,"국가등급 하향 — 한도 재산정",""))</f>
        <v/>
      </c>
      <c r="AQ32" s="37">
        <f>IF($AH32="선적 보류",COUNTIF($AH$5:$AH32,"선적 보류"),"")</f>
        <v/>
      </c>
      <c r="AS32" s="5" t="inlineStr">
        <is>
          <t>VNM</t>
        </is>
      </c>
      <c r="AT32" s="5" t="inlineStr">
        <is>
          <t>베트남</t>
        </is>
      </c>
      <c r="AU32" s="70" t="n">
        <v>3</v>
      </c>
      <c r="AV32" s="70" t="n">
        <v>4</v>
      </c>
      <c r="AW32" s="7">
        <f>IF(OR(AU32="",AV32=""),"",IF(AU32&gt;AV32,"하향",IF(AU32&lt;AV32,"상향","")))</f>
        <v/>
      </c>
    </row>
    <row r="33">
      <c r="A33" t="inlineStr">
        <is>
          <t>INV-2607-0117</t>
        </is>
      </c>
      <c r="B33" t="inlineStr">
        <is>
          <t>B022</t>
        </is>
      </c>
      <c r="C33" t="inlineStr">
        <is>
          <t>IDN</t>
        </is>
      </c>
      <c r="D33" t="inlineStr">
        <is>
          <t>OA</t>
        </is>
      </c>
      <c r="E33" t="inlineStr">
        <is>
          <t>USD</t>
        </is>
      </c>
      <c r="F33" t="inlineStr">
        <is>
          <t>Y</t>
        </is>
      </c>
      <c r="G33" s="32" t="n">
        <v>46224</v>
      </c>
      <c r="H33" s="32" t="n">
        <v>46314</v>
      </c>
      <c r="I33" s="82" t="n">
        <v>2040</v>
      </c>
      <c r="J33" s="82" t="n">
        <v>2040</v>
      </c>
      <c r="K33" t="inlineStr">
        <is>
          <t>N</t>
        </is>
      </c>
      <c r="L33" t="inlineStr">
        <is>
          <t>개별</t>
        </is>
      </c>
      <c r="N33" t="inlineStr">
        <is>
          <t>N</t>
        </is>
      </c>
      <c r="O33" s="37">
        <f>IF($A33="","",AsOf-$H33)</f>
        <v/>
      </c>
      <c r="P33" s="37">
        <f>IF($A33="","",IF($K33="Y","-",IF($O33&gt;=30,"D+30 최종통지·선적보류",IF($O33&gt;=15,"D+15 단호한 통지",IF($O33&gt;=7,"D+7 친절한 리마인더",IF(AND($O33&gt;=-3,$O33&lt;=-1),"D-3 사전 안내","모니터링"))))))</f>
        <v/>
      </c>
      <c r="Q33" s="83">
        <f>IF($A33="","",EDATE($H33,1))</f>
        <v/>
      </c>
      <c r="R33" s="37">
        <f>IF($A33="","",$Q33-AsOf)</f>
        <v/>
      </c>
      <c r="S33" s="37">
        <f>IF($A33="","",IF(OR($K33="Y",$F33&lt;&gt;"Y",$O33&lt;=0),"",IF($R33&lt;0,"통지 기한 경과 — 즉시 확인",IF($R33&lt;=NoticeWarnDays,"통지 기한 임박 — 사람 결정",""))))</f>
        <v/>
      </c>
      <c r="T33" s="83">
        <f>IF(OR($A33="",$F33&lt;&gt;"Y"),"",IF(IF($L33="",InsuranceType,$L33)="포괄",DATE(YEAR($G33),MONTH($G33)+1,20),WORKDAY($G33,10)))</f>
        <v/>
      </c>
      <c r="U33" s="83">
        <f>IF(OR($A33="",$M33=""),"",WORKDAY($M33,10))</f>
        <v/>
      </c>
      <c r="V33" s="37">
        <f>IF($A33="","",IF($N33="Y","사기 의심: 콜백 검증 전 대금 안내 중단",""))</f>
        <v/>
      </c>
      <c r="W33" s="37">
        <f>IF($A33="","",IF(AND($K33="N",$D33&lt;&gt;"LC_SIGHT",$D33&lt;&gt;"LC_USANCE",$D33&lt;&gt;"TT_ADV"),$O33,""))</f>
        <v/>
      </c>
      <c r="X33" s="37">
        <f>IF($A33="",0,IF(AND($K33="N",$D33&lt;&gt;"LC_SIGHT",$D33&lt;&gt;"LC_USANCE",$D33&lt;&gt;"TT_ADV",$O33&gt;=30),1,0))</f>
        <v/>
      </c>
      <c r="Y33" s="37">
        <f>IF($A33="","",IF($O33&lt;=0,"미연체",IF($O33&lt;=30,"1-30",IF($O33&lt;=90,"31-90",IF($O33&lt;=180,"91-180",IF($O33&lt;=365,"181-365","365+"))))))</f>
        <v/>
      </c>
      <c r="Z33" s="37">
        <f>IF($S33="통지 기한 임박 — 사람 결정",COUNTIF($S$5:$S33,"통지 기한 임박 — 사람 결정"),"")</f>
        <v/>
      </c>
      <c r="AB33" s="37">
        <f>IF('02_Buyers'!$A30="","",'02_Buyers'!$A30)</f>
        <v/>
      </c>
      <c r="AC33" s="37">
        <f>IF($AB33="","",'02_Buyers'!$AH30)</f>
        <v/>
      </c>
      <c r="AD33" s="37">
        <f>IF($AB33="","",COUNTIFS(inv_buyer,$AB33,inv_paid,"N"))</f>
        <v/>
      </c>
      <c r="AE33" s="40">
        <f>IF($AB33="","",SUMIFS(inv_usd,inv_buyer,$AB33,inv_paid,"N"))</f>
        <v/>
      </c>
      <c r="AF33" s="37">
        <f>IF($AB33="","",_xlfn.MAXIFS(inv_nonlc_dpd,inv_buyer,$AB33))</f>
        <v/>
      </c>
      <c r="AG33" s="37">
        <f>IF($AB33="","",COUNTIFS(inv_buyer,$AB33,inv_hold30,1))</f>
        <v/>
      </c>
      <c r="AH33" s="37">
        <f>IF($AB33="","",IF(OR($AC33=1,$AG33&gt;0),"선적 보류",""))</f>
        <v/>
      </c>
      <c r="AI33" s="37">
        <f>IF($AH33&lt;&gt;"선적 보류","","내부 에스컬레이션: 여신 한도 동결 제안(사람 승인)")</f>
        <v/>
      </c>
      <c r="AJ33" s="37">
        <f>IF($AB33="","",COUNTIFS(inv_buyer,$AB33,inv_alert,"통지 기한 임박*"))</f>
        <v/>
      </c>
      <c r="AK33" s="40">
        <f>IF($AB33="","",'10_LimitLP'!$F33)</f>
        <v/>
      </c>
      <c r="AL33" s="84">
        <f>IF(OR($AB33="",$AK33&lt;=0),"",$AE33/$AK33)</f>
        <v/>
      </c>
      <c r="AM33" s="37">
        <f>IF($AL33="","",IF($AL33&gt;=0.8,"사용률 80%↑ — 출고 전 사전승인(제18조)",""))</f>
        <v/>
      </c>
      <c r="AN33" s="37">
        <f>IF($AB33="","",IFERROR(IF(INDEX($AU$21:$AU$40,MATCH('02_Buyers'!$S30,$AS$21:$AS$40,0))="","",INDEX($AU$21:$AU$40,MATCH('02_Buyers'!$S30,$AS$21:$AS$40,0))),""))</f>
        <v/>
      </c>
      <c r="AO33" s="37">
        <f>IF($AB33="","",IFERROR(IF(INDEX($AV$21:$AV$40,MATCH('02_Buyers'!$S30,$AS$21:$AS$40,0))="","",INDEX($AV$21:$AV$40,MATCH('02_Buyers'!$S30,$AS$21:$AS$40,0))),""))</f>
        <v/>
      </c>
      <c r="AP33" s="37">
        <f>IF(OR($AB33="",$AN33="",$AO33=""),"",IF($AN33&gt;$AO33,"국가등급 하향 — 한도 재산정",""))</f>
        <v/>
      </c>
      <c r="AQ33" s="37">
        <f>IF($AH33="선적 보류",COUNTIF($AH$5:$AH33,"선적 보류"),"")</f>
        <v/>
      </c>
      <c r="AS33" s="5" t="inlineStr">
        <is>
          <t>IND</t>
        </is>
      </c>
      <c r="AT33" s="5" t="inlineStr">
        <is>
          <t>인도</t>
        </is>
      </c>
      <c r="AU33" s="70" t="n">
        <v>3</v>
      </c>
      <c r="AV33" s="70" t="n">
        <v>3</v>
      </c>
      <c r="AW33" s="7">
        <f>IF(OR(AU33="",AV33=""),"",IF(AU33&gt;AV33,"하향",IF(AU33&lt;AV33,"상향","")))</f>
        <v/>
      </c>
    </row>
    <row r="34">
      <c r="A34" t="inlineStr">
        <is>
          <t>INV-2607-0118</t>
        </is>
      </c>
      <c r="B34" t="inlineStr">
        <is>
          <t>B022</t>
        </is>
      </c>
      <c r="C34" t="inlineStr">
        <is>
          <t>IDN</t>
        </is>
      </c>
      <c r="D34" t="inlineStr">
        <is>
          <t>OA</t>
        </is>
      </c>
      <c r="E34" t="inlineStr">
        <is>
          <t>USD</t>
        </is>
      </c>
      <c r="F34" t="inlineStr">
        <is>
          <t>Y</t>
        </is>
      </c>
      <c r="G34" s="32" t="n">
        <v>46224</v>
      </c>
      <c r="H34" s="32" t="n">
        <v>46314</v>
      </c>
      <c r="I34" s="82" t="n">
        <v>7690</v>
      </c>
      <c r="J34" s="82" t="n">
        <v>7690</v>
      </c>
      <c r="K34" t="inlineStr">
        <is>
          <t>N</t>
        </is>
      </c>
      <c r="L34" t="inlineStr">
        <is>
          <t>개별</t>
        </is>
      </c>
      <c r="N34" t="inlineStr">
        <is>
          <t>N</t>
        </is>
      </c>
      <c r="O34" s="37">
        <f>IF($A34="","",AsOf-$H34)</f>
        <v/>
      </c>
      <c r="P34" s="37">
        <f>IF($A34="","",IF($K34="Y","-",IF($O34&gt;=30,"D+30 최종통지·선적보류",IF($O34&gt;=15,"D+15 단호한 통지",IF($O34&gt;=7,"D+7 친절한 리마인더",IF(AND($O34&gt;=-3,$O34&lt;=-1),"D-3 사전 안내","모니터링"))))))</f>
        <v/>
      </c>
      <c r="Q34" s="83">
        <f>IF($A34="","",EDATE($H34,1))</f>
        <v/>
      </c>
      <c r="R34" s="37">
        <f>IF($A34="","",$Q34-AsOf)</f>
        <v/>
      </c>
      <c r="S34" s="37">
        <f>IF($A34="","",IF(OR($K34="Y",$F34&lt;&gt;"Y",$O34&lt;=0),"",IF($R34&lt;0,"통지 기한 경과 — 즉시 확인",IF($R34&lt;=NoticeWarnDays,"통지 기한 임박 — 사람 결정",""))))</f>
        <v/>
      </c>
      <c r="T34" s="83">
        <f>IF(OR($A34="",$F34&lt;&gt;"Y"),"",IF(IF($L34="",InsuranceType,$L34)="포괄",DATE(YEAR($G34),MONTH($G34)+1,20),WORKDAY($G34,10)))</f>
        <v/>
      </c>
      <c r="U34" s="83">
        <f>IF(OR($A34="",$M34=""),"",WORKDAY($M34,10))</f>
        <v/>
      </c>
      <c r="V34" s="37">
        <f>IF($A34="","",IF($N34="Y","사기 의심: 콜백 검증 전 대금 안내 중단",""))</f>
        <v/>
      </c>
      <c r="W34" s="37">
        <f>IF($A34="","",IF(AND($K34="N",$D34&lt;&gt;"LC_SIGHT",$D34&lt;&gt;"LC_USANCE",$D34&lt;&gt;"TT_ADV"),$O34,""))</f>
        <v/>
      </c>
      <c r="X34" s="37">
        <f>IF($A34="",0,IF(AND($K34="N",$D34&lt;&gt;"LC_SIGHT",$D34&lt;&gt;"LC_USANCE",$D34&lt;&gt;"TT_ADV",$O34&gt;=30),1,0))</f>
        <v/>
      </c>
      <c r="Y34" s="37">
        <f>IF($A34="","",IF($O34&lt;=0,"미연체",IF($O34&lt;=30,"1-30",IF($O34&lt;=90,"31-90",IF($O34&lt;=180,"91-180",IF($O34&lt;=365,"181-365","365+"))))))</f>
        <v/>
      </c>
      <c r="Z34" s="37">
        <f>IF($S34="통지 기한 임박 — 사람 결정",COUNTIF($S$5:$S34,"통지 기한 임박 — 사람 결정"),"")</f>
        <v/>
      </c>
      <c r="AB34" s="37">
        <f>IF('02_Buyers'!$A31="","",'02_Buyers'!$A31)</f>
        <v/>
      </c>
      <c r="AC34" s="37">
        <f>IF($AB34="","",'02_Buyers'!$AH31)</f>
        <v/>
      </c>
      <c r="AD34" s="37">
        <f>IF($AB34="","",COUNTIFS(inv_buyer,$AB34,inv_paid,"N"))</f>
        <v/>
      </c>
      <c r="AE34" s="40">
        <f>IF($AB34="","",SUMIFS(inv_usd,inv_buyer,$AB34,inv_paid,"N"))</f>
        <v/>
      </c>
      <c r="AF34" s="37">
        <f>IF($AB34="","",_xlfn.MAXIFS(inv_nonlc_dpd,inv_buyer,$AB34))</f>
        <v/>
      </c>
      <c r="AG34" s="37">
        <f>IF($AB34="","",COUNTIFS(inv_buyer,$AB34,inv_hold30,1))</f>
        <v/>
      </c>
      <c r="AH34" s="37">
        <f>IF($AB34="","",IF(OR($AC34=1,$AG34&gt;0),"선적 보류",""))</f>
        <v/>
      </c>
      <c r="AI34" s="37">
        <f>IF($AH34&lt;&gt;"선적 보류","","내부 에스컬레이션: 여신 한도 동결 제안(사람 승인)")</f>
        <v/>
      </c>
      <c r="AJ34" s="37">
        <f>IF($AB34="","",COUNTIFS(inv_buyer,$AB34,inv_alert,"통지 기한 임박*"))</f>
        <v/>
      </c>
      <c r="AK34" s="40">
        <f>IF($AB34="","",'10_LimitLP'!$F34)</f>
        <v/>
      </c>
      <c r="AL34" s="84">
        <f>IF(OR($AB34="",$AK34&lt;=0),"",$AE34/$AK34)</f>
        <v/>
      </c>
      <c r="AM34" s="37">
        <f>IF($AL34="","",IF($AL34&gt;=0.8,"사용률 80%↑ — 출고 전 사전승인(제18조)",""))</f>
        <v/>
      </c>
      <c r="AN34" s="37">
        <f>IF($AB34="","",IFERROR(IF(INDEX($AU$21:$AU$40,MATCH('02_Buyers'!$S31,$AS$21:$AS$40,0))="","",INDEX($AU$21:$AU$40,MATCH('02_Buyers'!$S31,$AS$21:$AS$40,0))),""))</f>
        <v/>
      </c>
      <c r="AO34" s="37">
        <f>IF($AB34="","",IFERROR(IF(INDEX($AV$21:$AV$40,MATCH('02_Buyers'!$S31,$AS$21:$AS$40,0))="","",INDEX($AV$21:$AV$40,MATCH('02_Buyers'!$S31,$AS$21:$AS$40,0))),""))</f>
        <v/>
      </c>
      <c r="AP34" s="37">
        <f>IF(OR($AB34="",$AN34="",$AO34=""),"",IF($AN34&gt;$AO34,"국가등급 하향 — 한도 재산정",""))</f>
        <v/>
      </c>
      <c r="AQ34" s="37">
        <f>IF($AH34="선적 보류",COUNTIF($AH$5:$AH34,"선적 보류"),"")</f>
        <v/>
      </c>
      <c r="AS34" s="5" t="inlineStr">
        <is>
          <t>IDN</t>
        </is>
      </c>
      <c r="AT34" s="5" t="inlineStr">
        <is>
          <t>인도네시아</t>
        </is>
      </c>
      <c r="AU34" s="70" t="n">
        <v>3</v>
      </c>
      <c r="AV34" s="70" t="n">
        <v>3</v>
      </c>
      <c r="AW34" s="7">
        <f>IF(OR(AU34="",AV34=""),"",IF(AU34&gt;AV34,"하향",IF(AU34&lt;AV34,"상향","")))</f>
        <v/>
      </c>
    </row>
    <row r="35">
      <c r="A35" t="inlineStr">
        <is>
          <t>INV-2607-0149</t>
        </is>
      </c>
      <c r="B35" t="inlineStr">
        <is>
          <t>B022</t>
        </is>
      </c>
      <c r="C35" t="inlineStr">
        <is>
          <t>IDN</t>
        </is>
      </c>
      <c r="D35" t="inlineStr">
        <is>
          <t>OA</t>
        </is>
      </c>
      <c r="E35" t="inlineStr">
        <is>
          <t>USD</t>
        </is>
      </c>
      <c r="F35" t="inlineStr">
        <is>
          <t>Y</t>
        </is>
      </c>
      <c r="G35" s="32" t="n">
        <v>46227</v>
      </c>
      <c r="H35" s="32" t="n">
        <v>46317</v>
      </c>
      <c r="I35" s="82" t="n">
        <v>30330</v>
      </c>
      <c r="J35" s="82" t="n">
        <v>30330</v>
      </c>
      <c r="K35" t="inlineStr">
        <is>
          <t>N</t>
        </is>
      </c>
      <c r="L35" t="inlineStr">
        <is>
          <t>개별</t>
        </is>
      </c>
      <c r="N35" t="inlineStr">
        <is>
          <t>N</t>
        </is>
      </c>
      <c r="O35" s="37">
        <f>IF($A35="","",AsOf-$H35)</f>
        <v/>
      </c>
      <c r="P35" s="37">
        <f>IF($A35="","",IF($K35="Y","-",IF($O35&gt;=30,"D+30 최종통지·선적보류",IF($O35&gt;=15,"D+15 단호한 통지",IF($O35&gt;=7,"D+7 친절한 리마인더",IF(AND($O35&gt;=-3,$O35&lt;=-1),"D-3 사전 안내","모니터링"))))))</f>
        <v/>
      </c>
      <c r="Q35" s="83">
        <f>IF($A35="","",EDATE($H35,1))</f>
        <v/>
      </c>
      <c r="R35" s="37">
        <f>IF($A35="","",$Q35-AsOf)</f>
        <v/>
      </c>
      <c r="S35" s="37">
        <f>IF($A35="","",IF(OR($K35="Y",$F35&lt;&gt;"Y",$O35&lt;=0),"",IF($R35&lt;0,"통지 기한 경과 — 즉시 확인",IF($R35&lt;=NoticeWarnDays,"통지 기한 임박 — 사람 결정",""))))</f>
        <v/>
      </c>
      <c r="T35" s="83">
        <f>IF(OR($A35="",$F35&lt;&gt;"Y"),"",IF(IF($L35="",InsuranceType,$L35)="포괄",DATE(YEAR($G35),MONTH($G35)+1,20),WORKDAY($G35,10)))</f>
        <v/>
      </c>
      <c r="U35" s="83">
        <f>IF(OR($A35="",$M35=""),"",WORKDAY($M35,10))</f>
        <v/>
      </c>
      <c r="V35" s="37">
        <f>IF($A35="","",IF($N35="Y","사기 의심: 콜백 검증 전 대금 안내 중단",""))</f>
        <v/>
      </c>
      <c r="W35" s="37">
        <f>IF($A35="","",IF(AND($K35="N",$D35&lt;&gt;"LC_SIGHT",$D35&lt;&gt;"LC_USANCE",$D35&lt;&gt;"TT_ADV"),$O35,""))</f>
        <v/>
      </c>
      <c r="X35" s="37">
        <f>IF($A35="",0,IF(AND($K35="N",$D35&lt;&gt;"LC_SIGHT",$D35&lt;&gt;"LC_USANCE",$D35&lt;&gt;"TT_ADV",$O35&gt;=30),1,0))</f>
        <v/>
      </c>
      <c r="Y35" s="37">
        <f>IF($A35="","",IF($O35&lt;=0,"미연체",IF($O35&lt;=30,"1-30",IF($O35&lt;=90,"31-90",IF($O35&lt;=180,"91-180",IF($O35&lt;=365,"181-365","365+"))))))</f>
        <v/>
      </c>
      <c r="Z35" s="37">
        <f>IF($S35="통지 기한 임박 — 사람 결정",COUNTIF($S$5:$S35,"통지 기한 임박 — 사람 결정"),"")</f>
        <v/>
      </c>
      <c r="AB35" s="37">
        <f>IF('02_Buyers'!$A32="","",'02_Buyers'!$A32)</f>
        <v/>
      </c>
      <c r="AC35" s="37">
        <f>IF($AB35="","",'02_Buyers'!$AH32)</f>
        <v/>
      </c>
      <c r="AD35" s="37">
        <f>IF($AB35="","",COUNTIFS(inv_buyer,$AB35,inv_paid,"N"))</f>
        <v/>
      </c>
      <c r="AE35" s="40">
        <f>IF($AB35="","",SUMIFS(inv_usd,inv_buyer,$AB35,inv_paid,"N"))</f>
        <v/>
      </c>
      <c r="AF35" s="37">
        <f>IF($AB35="","",_xlfn.MAXIFS(inv_nonlc_dpd,inv_buyer,$AB35))</f>
        <v/>
      </c>
      <c r="AG35" s="37">
        <f>IF($AB35="","",COUNTIFS(inv_buyer,$AB35,inv_hold30,1))</f>
        <v/>
      </c>
      <c r="AH35" s="37">
        <f>IF($AB35="","",IF(OR($AC35=1,$AG35&gt;0),"선적 보류",""))</f>
        <v/>
      </c>
      <c r="AI35" s="37">
        <f>IF($AH35&lt;&gt;"선적 보류","","내부 에스컬레이션: 여신 한도 동결 제안(사람 승인)")</f>
        <v/>
      </c>
      <c r="AJ35" s="37">
        <f>IF($AB35="","",COUNTIFS(inv_buyer,$AB35,inv_alert,"통지 기한 임박*"))</f>
        <v/>
      </c>
      <c r="AK35" s="40">
        <f>IF($AB35="","",'10_LimitLP'!$F35)</f>
        <v/>
      </c>
      <c r="AL35" s="84">
        <f>IF(OR($AB35="",$AK35&lt;=0),"",$AE35/$AK35)</f>
        <v/>
      </c>
      <c r="AM35" s="37">
        <f>IF($AL35="","",IF($AL35&gt;=0.8,"사용률 80%↑ — 출고 전 사전승인(제18조)",""))</f>
        <v/>
      </c>
      <c r="AN35" s="37">
        <f>IF($AB35="","",IFERROR(IF(INDEX($AU$21:$AU$40,MATCH('02_Buyers'!$S32,$AS$21:$AS$40,0))="","",INDEX($AU$21:$AU$40,MATCH('02_Buyers'!$S32,$AS$21:$AS$40,0))),""))</f>
        <v/>
      </c>
      <c r="AO35" s="37">
        <f>IF($AB35="","",IFERROR(IF(INDEX($AV$21:$AV$40,MATCH('02_Buyers'!$S32,$AS$21:$AS$40,0))="","",INDEX($AV$21:$AV$40,MATCH('02_Buyers'!$S32,$AS$21:$AS$40,0))),""))</f>
        <v/>
      </c>
      <c r="AP35" s="37">
        <f>IF(OR($AB35="",$AN35="",$AO35=""),"",IF($AN35&gt;$AO35,"국가등급 하향 — 한도 재산정",""))</f>
        <v/>
      </c>
      <c r="AQ35" s="37">
        <f>IF($AH35="선적 보류",COUNTIF($AH$5:$AH35,"선적 보류"),"")</f>
        <v/>
      </c>
      <c r="AS35" s="5" t="inlineStr">
        <is>
          <t>THA</t>
        </is>
      </c>
      <c r="AT35" s="5" t="inlineStr">
        <is>
          <t>태국</t>
        </is>
      </c>
      <c r="AU35" s="70" t="n">
        <v>3</v>
      </c>
      <c r="AV35" s="70" t="n">
        <v>3</v>
      </c>
      <c r="AW35" s="7">
        <f>IF(OR(AU35="",AV35=""),"",IF(AU35&gt;AV35,"하향",IF(AU35&lt;AV35,"상향","")))</f>
        <v/>
      </c>
    </row>
    <row r="36">
      <c r="A36" t="inlineStr">
        <is>
          <t>INV-2607-0037</t>
        </is>
      </c>
      <c r="B36" t="inlineStr">
        <is>
          <t>B023</t>
        </is>
      </c>
      <c r="C36" t="inlineStr">
        <is>
          <t>IDN</t>
        </is>
      </c>
      <c r="D36" t="inlineStr">
        <is>
          <t>DA</t>
        </is>
      </c>
      <c r="E36" t="inlineStr">
        <is>
          <t>USD</t>
        </is>
      </c>
      <c r="F36" t="inlineStr">
        <is>
          <t>Y</t>
        </is>
      </c>
      <c r="G36" s="32" t="n">
        <v>46211</v>
      </c>
      <c r="H36" s="32" t="n">
        <v>46301</v>
      </c>
      <c r="I36" s="82" t="n">
        <v>11540</v>
      </c>
      <c r="J36" s="82" t="n">
        <v>11540</v>
      </c>
      <c r="K36" t="inlineStr">
        <is>
          <t>N</t>
        </is>
      </c>
      <c r="L36" t="inlineStr">
        <is>
          <t>개별</t>
        </is>
      </c>
      <c r="N36" t="inlineStr">
        <is>
          <t>N</t>
        </is>
      </c>
      <c r="O36" s="37">
        <f>IF($A36="","",AsOf-$H36)</f>
        <v/>
      </c>
      <c r="P36" s="37">
        <f>IF($A36="","",IF($K36="Y","-",IF($O36&gt;=30,"D+30 최종통지·선적보류",IF($O36&gt;=15,"D+15 단호한 통지",IF($O36&gt;=7,"D+7 친절한 리마인더",IF(AND($O36&gt;=-3,$O36&lt;=-1),"D-3 사전 안내","모니터링"))))))</f>
        <v/>
      </c>
      <c r="Q36" s="83">
        <f>IF($A36="","",EDATE($H36,1))</f>
        <v/>
      </c>
      <c r="R36" s="37">
        <f>IF($A36="","",$Q36-AsOf)</f>
        <v/>
      </c>
      <c r="S36" s="37">
        <f>IF($A36="","",IF(OR($K36="Y",$F36&lt;&gt;"Y",$O36&lt;=0),"",IF($R36&lt;0,"통지 기한 경과 — 즉시 확인",IF($R36&lt;=NoticeWarnDays,"통지 기한 임박 — 사람 결정",""))))</f>
        <v/>
      </c>
      <c r="T36" s="83">
        <f>IF(OR($A36="",$F36&lt;&gt;"Y"),"",IF(IF($L36="",InsuranceType,$L36)="포괄",DATE(YEAR($G36),MONTH($G36)+1,20),WORKDAY($G36,10)))</f>
        <v/>
      </c>
      <c r="U36" s="83">
        <f>IF(OR($A36="",$M36=""),"",WORKDAY($M36,10))</f>
        <v/>
      </c>
      <c r="V36" s="37">
        <f>IF($A36="","",IF($N36="Y","사기 의심: 콜백 검증 전 대금 안내 중단",""))</f>
        <v/>
      </c>
      <c r="W36" s="37">
        <f>IF($A36="","",IF(AND($K36="N",$D36&lt;&gt;"LC_SIGHT",$D36&lt;&gt;"LC_USANCE",$D36&lt;&gt;"TT_ADV"),$O36,""))</f>
        <v/>
      </c>
      <c r="X36" s="37">
        <f>IF($A36="",0,IF(AND($K36="N",$D36&lt;&gt;"LC_SIGHT",$D36&lt;&gt;"LC_USANCE",$D36&lt;&gt;"TT_ADV",$O36&gt;=30),1,0))</f>
        <v/>
      </c>
      <c r="Y36" s="37">
        <f>IF($A36="","",IF($O36&lt;=0,"미연체",IF($O36&lt;=30,"1-30",IF($O36&lt;=90,"31-90",IF($O36&lt;=180,"91-180",IF($O36&lt;=365,"181-365","365+"))))))</f>
        <v/>
      </c>
      <c r="Z36" s="37">
        <f>IF($S36="통지 기한 임박 — 사람 결정",COUNTIF($S$5:$S36,"통지 기한 임박 — 사람 결정"),"")</f>
        <v/>
      </c>
      <c r="AB36" s="37">
        <f>IF('02_Buyers'!$A33="","",'02_Buyers'!$A33)</f>
        <v/>
      </c>
      <c r="AC36" s="37">
        <f>IF($AB36="","",'02_Buyers'!$AH33)</f>
        <v/>
      </c>
      <c r="AD36" s="37">
        <f>IF($AB36="","",COUNTIFS(inv_buyer,$AB36,inv_paid,"N"))</f>
        <v/>
      </c>
      <c r="AE36" s="40">
        <f>IF($AB36="","",SUMIFS(inv_usd,inv_buyer,$AB36,inv_paid,"N"))</f>
        <v/>
      </c>
      <c r="AF36" s="37">
        <f>IF($AB36="","",_xlfn.MAXIFS(inv_nonlc_dpd,inv_buyer,$AB36))</f>
        <v/>
      </c>
      <c r="AG36" s="37">
        <f>IF($AB36="","",COUNTIFS(inv_buyer,$AB36,inv_hold30,1))</f>
        <v/>
      </c>
      <c r="AH36" s="37">
        <f>IF($AB36="","",IF(OR($AC36=1,$AG36&gt;0),"선적 보류",""))</f>
        <v/>
      </c>
      <c r="AI36" s="37">
        <f>IF($AH36&lt;&gt;"선적 보류","","내부 에스컬레이션: 여신 한도 동결 제안(사람 승인)")</f>
        <v/>
      </c>
      <c r="AJ36" s="37">
        <f>IF($AB36="","",COUNTIFS(inv_buyer,$AB36,inv_alert,"통지 기한 임박*"))</f>
        <v/>
      </c>
      <c r="AK36" s="40">
        <f>IF($AB36="","",'10_LimitLP'!$F36)</f>
        <v/>
      </c>
      <c r="AL36" s="84">
        <f>IF(OR($AB36="",$AK36&lt;=0),"",$AE36/$AK36)</f>
        <v/>
      </c>
      <c r="AM36" s="37">
        <f>IF($AL36="","",IF($AL36&gt;=0.8,"사용률 80%↑ — 출고 전 사전승인(제18조)",""))</f>
        <v/>
      </c>
      <c r="AN36" s="37">
        <f>IF($AB36="","",IFERROR(IF(INDEX($AU$21:$AU$40,MATCH('02_Buyers'!$S33,$AS$21:$AS$40,0))="","",INDEX($AU$21:$AU$40,MATCH('02_Buyers'!$S33,$AS$21:$AS$40,0))),""))</f>
        <v/>
      </c>
      <c r="AO36" s="37">
        <f>IF($AB36="","",IFERROR(IF(INDEX($AV$21:$AV$40,MATCH('02_Buyers'!$S33,$AS$21:$AS$40,0))="","",INDEX($AV$21:$AV$40,MATCH('02_Buyers'!$S33,$AS$21:$AS$40,0))),""))</f>
        <v/>
      </c>
      <c r="AP36" s="37">
        <f>IF(OR($AB36="",$AN36="",$AO36=""),"",IF($AN36&gt;$AO36,"국가등급 하향 — 한도 재산정",""))</f>
        <v/>
      </c>
      <c r="AQ36" s="37">
        <f>IF($AH36="선적 보류",COUNTIF($AH$5:$AH36,"선적 보류"),"")</f>
        <v/>
      </c>
      <c r="AS36" s="5" t="inlineStr">
        <is>
          <t>MYS</t>
        </is>
      </c>
      <c r="AT36" s="5" t="inlineStr">
        <is>
          <t>말레이시아</t>
        </is>
      </c>
      <c r="AU36" s="70" t="n">
        <v>2</v>
      </c>
      <c r="AV36" s="70" t="n">
        <v>2</v>
      </c>
      <c r="AW36" s="7">
        <f>IF(OR(AU36="",AV36=""),"",IF(AU36&gt;AV36,"하향",IF(AU36&lt;AV36,"상향","")))</f>
        <v/>
      </c>
    </row>
    <row r="37">
      <c r="A37" t="inlineStr">
        <is>
          <t>INV-2607-0142</t>
        </is>
      </c>
      <c r="B37" t="inlineStr">
        <is>
          <t>B023</t>
        </is>
      </c>
      <c r="C37" t="inlineStr">
        <is>
          <t>IDN</t>
        </is>
      </c>
      <c r="D37" t="inlineStr">
        <is>
          <t>DA</t>
        </is>
      </c>
      <c r="E37" t="inlineStr">
        <is>
          <t>USD</t>
        </is>
      </c>
      <c r="F37" t="inlineStr">
        <is>
          <t>Y</t>
        </is>
      </c>
      <c r="G37" s="32" t="n">
        <v>46226</v>
      </c>
      <c r="H37" s="32" t="n">
        <v>46316</v>
      </c>
      <c r="I37" s="82" t="n">
        <v>6250</v>
      </c>
      <c r="J37" s="82" t="n">
        <v>6250</v>
      </c>
      <c r="K37" t="inlineStr">
        <is>
          <t>N</t>
        </is>
      </c>
      <c r="L37" t="inlineStr">
        <is>
          <t>개별</t>
        </is>
      </c>
      <c r="N37" t="inlineStr">
        <is>
          <t>N</t>
        </is>
      </c>
      <c r="O37" s="37">
        <f>IF($A37="","",AsOf-$H37)</f>
        <v/>
      </c>
      <c r="P37" s="37">
        <f>IF($A37="","",IF($K37="Y","-",IF($O37&gt;=30,"D+30 최종통지·선적보류",IF($O37&gt;=15,"D+15 단호한 통지",IF($O37&gt;=7,"D+7 친절한 리마인더",IF(AND($O37&gt;=-3,$O37&lt;=-1),"D-3 사전 안내","모니터링"))))))</f>
        <v/>
      </c>
      <c r="Q37" s="83">
        <f>IF($A37="","",EDATE($H37,1))</f>
        <v/>
      </c>
      <c r="R37" s="37">
        <f>IF($A37="","",$Q37-AsOf)</f>
        <v/>
      </c>
      <c r="S37" s="37">
        <f>IF($A37="","",IF(OR($K37="Y",$F37&lt;&gt;"Y",$O37&lt;=0),"",IF($R37&lt;0,"통지 기한 경과 — 즉시 확인",IF($R37&lt;=NoticeWarnDays,"통지 기한 임박 — 사람 결정",""))))</f>
        <v/>
      </c>
      <c r="T37" s="83">
        <f>IF(OR($A37="",$F37&lt;&gt;"Y"),"",IF(IF($L37="",InsuranceType,$L37)="포괄",DATE(YEAR($G37),MONTH($G37)+1,20),WORKDAY($G37,10)))</f>
        <v/>
      </c>
      <c r="U37" s="83">
        <f>IF(OR($A37="",$M37=""),"",WORKDAY($M37,10))</f>
        <v/>
      </c>
      <c r="V37" s="37">
        <f>IF($A37="","",IF($N37="Y","사기 의심: 콜백 검증 전 대금 안내 중단",""))</f>
        <v/>
      </c>
      <c r="W37" s="37">
        <f>IF($A37="","",IF(AND($K37="N",$D37&lt;&gt;"LC_SIGHT",$D37&lt;&gt;"LC_USANCE",$D37&lt;&gt;"TT_ADV"),$O37,""))</f>
        <v/>
      </c>
      <c r="X37" s="37">
        <f>IF($A37="",0,IF(AND($K37="N",$D37&lt;&gt;"LC_SIGHT",$D37&lt;&gt;"LC_USANCE",$D37&lt;&gt;"TT_ADV",$O37&gt;=30),1,0))</f>
        <v/>
      </c>
      <c r="Y37" s="37">
        <f>IF($A37="","",IF($O37&lt;=0,"미연체",IF($O37&lt;=30,"1-30",IF($O37&lt;=90,"31-90",IF($O37&lt;=180,"91-180",IF($O37&lt;=365,"181-365","365+"))))))</f>
        <v/>
      </c>
      <c r="Z37" s="37">
        <f>IF($S37="통지 기한 임박 — 사람 결정",COUNTIF($S$5:$S37,"통지 기한 임박 — 사람 결정"),"")</f>
        <v/>
      </c>
      <c r="AB37" s="37">
        <f>IF('02_Buyers'!$A34="","",'02_Buyers'!$A34)</f>
        <v/>
      </c>
      <c r="AC37" s="37">
        <f>IF($AB37="","",'02_Buyers'!$AH34)</f>
        <v/>
      </c>
      <c r="AD37" s="37">
        <f>IF($AB37="","",COUNTIFS(inv_buyer,$AB37,inv_paid,"N"))</f>
        <v/>
      </c>
      <c r="AE37" s="40">
        <f>IF($AB37="","",SUMIFS(inv_usd,inv_buyer,$AB37,inv_paid,"N"))</f>
        <v/>
      </c>
      <c r="AF37" s="37">
        <f>IF($AB37="","",_xlfn.MAXIFS(inv_nonlc_dpd,inv_buyer,$AB37))</f>
        <v/>
      </c>
      <c r="AG37" s="37">
        <f>IF($AB37="","",COUNTIFS(inv_buyer,$AB37,inv_hold30,1))</f>
        <v/>
      </c>
      <c r="AH37" s="37">
        <f>IF($AB37="","",IF(OR($AC37=1,$AG37&gt;0),"선적 보류",""))</f>
        <v/>
      </c>
      <c r="AI37" s="37">
        <f>IF($AH37&lt;&gt;"선적 보류","","내부 에스컬레이션: 여신 한도 동결 제안(사람 승인)")</f>
        <v/>
      </c>
      <c r="AJ37" s="37">
        <f>IF($AB37="","",COUNTIFS(inv_buyer,$AB37,inv_alert,"통지 기한 임박*"))</f>
        <v/>
      </c>
      <c r="AK37" s="40">
        <f>IF($AB37="","",'10_LimitLP'!$F37)</f>
        <v/>
      </c>
      <c r="AL37" s="84">
        <f>IF(OR($AB37="",$AK37&lt;=0),"",$AE37/$AK37)</f>
        <v/>
      </c>
      <c r="AM37" s="37">
        <f>IF($AL37="","",IF($AL37&gt;=0.8,"사용률 80%↑ — 출고 전 사전승인(제18조)",""))</f>
        <v/>
      </c>
      <c r="AN37" s="37">
        <f>IF($AB37="","",IFERROR(IF(INDEX($AU$21:$AU$40,MATCH('02_Buyers'!$S34,$AS$21:$AS$40,0))="","",INDEX($AU$21:$AU$40,MATCH('02_Buyers'!$S34,$AS$21:$AS$40,0))),""))</f>
        <v/>
      </c>
      <c r="AO37" s="37">
        <f>IF($AB37="","",IFERROR(IF(INDEX($AV$21:$AV$40,MATCH('02_Buyers'!$S34,$AS$21:$AS$40,0))="","",INDEX($AV$21:$AV$40,MATCH('02_Buyers'!$S34,$AS$21:$AS$40,0))),""))</f>
        <v/>
      </c>
      <c r="AP37" s="37">
        <f>IF(OR($AB37="",$AN37="",$AO37=""),"",IF($AN37&gt;$AO37,"국가등급 하향 — 한도 재산정",""))</f>
        <v/>
      </c>
      <c r="AQ37" s="37">
        <f>IF($AH37="선적 보류",COUNTIF($AH$5:$AH37,"선적 보류"),"")</f>
        <v/>
      </c>
      <c r="AS37" s="5" t="inlineStr">
        <is>
          <t>ARE</t>
        </is>
      </c>
      <c r="AT37" s="5" t="inlineStr">
        <is>
          <t>아랍에미리트</t>
        </is>
      </c>
      <c r="AU37" s="70" t="n">
        <v>2</v>
      </c>
      <c r="AV37" s="70" t="n">
        <v>2</v>
      </c>
      <c r="AW37" s="7">
        <f>IF(OR(AU37="",AV37=""),"",IF(AU37&gt;AV37,"하향",IF(AU37&lt;AV37,"상향","")))</f>
        <v/>
      </c>
    </row>
    <row r="38">
      <c r="A38" t="inlineStr">
        <is>
          <t>INV-2607-0168</t>
        </is>
      </c>
      <c r="B38" t="inlineStr">
        <is>
          <t>B023</t>
        </is>
      </c>
      <c r="C38" t="inlineStr">
        <is>
          <t>IDN</t>
        </is>
      </c>
      <c r="D38" t="inlineStr">
        <is>
          <t>DA</t>
        </is>
      </c>
      <c r="E38" t="inlineStr">
        <is>
          <t>USD</t>
        </is>
      </c>
      <c r="F38" t="inlineStr">
        <is>
          <t>Y</t>
        </is>
      </c>
      <c r="G38" s="32" t="n">
        <v>46231</v>
      </c>
      <c r="H38" s="32" t="n">
        <v>46321</v>
      </c>
      <c r="I38" s="82" t="n">
        <v>4620</v>
      </c>
      <c r="J38" s="82" t="n">
        <v>4620</v>
      </c>
      <c r="K38" t="inlineStr">
        <is>
          <t>N</t>
        </is>
      </c>
      <c r="L38" t="inlineStr">
        <is>
          <t>개별</t>
        </is>
      </c>
      <c r="N38" t="inlineStr">
        <is>
          <t>N</t>
        </is>
      </c>
      <c r="O38" s="37">
        <f>IF($A38="","",AsOf-$H38)</f>
        <v/>
      </c>
      <c r="P38" s="37">
        <f>IF($A38="","",IF($K38="Y","-",IF($O38&gt;=30,"D+30 최종통지·선적보류",IF($O38&gt;=15,"D+15 단호한 통지",IF($O38&gt;=7,"D+7 친절한 리마인더",IF(AND($O38&gt;=-3,$O38&lt;=-1),"D-3 사전 안내","모니터링"))))))</f>
        <v/>
      </c>
      <c r="Q38" s="83">
        <f>IF($A38="","",EDATE($H38,1))</f>
        <v/>
      </c>
      <c r="R38" s="37">
        <f>IF($A38="","",$Q38-AsOf)</f>
        <v/>
      </c>
      <c r="S38" s="37">
        <f>IF($A38="","",IF(OR($K38="Y",$F38&lt;&gt;"Y",$O38&lt;=0),"",IF($R38&lt;0,"통지 기한 경과 — 즉시 확인",IF($R38&lt;=NoticeWarnDays,"통지 기한 임박 — 사람 결정",""))))</f>
        <v/>
      </c>
      <c r="T38" s="83">
        <f>IF(OR($A38="",$F38&lt;&gt;"Y"),"",IF(IF($L38="",InsuranceType,$L38)="포괄",DATE(YEAR($G38),MONTH($G38)+1,20),WORKDAY($G38,10)))</f>
        <v/>
      </c>
      <c r="U38" s="83">
        <f>IF(OR($A38="",$M38=""),"",WORKDAY($M38,10))</f>
        <v/>
      </c>
      <c r="V38" s="37">
        <f>IF($A38="","",IF($N38="Y","사기 의심: 콜백 검증 전 대금 안내 중단",""))</f>
        <v/>
      </c>
      <c r="W38" s="37">
        <f>IF($A38="","",IF(AND($K38="N",$D38&lt;&gt;"LC_SIGHT",$D38&lt;&gt;"LC_USANCE",$D38&lt;&gt;"TT_ADV"),$O38,""))</f>
        <v/>
      </c>
      <c r="X38" s="37">
        <f>IF($A38="",0,IF(AND($K38="N",$D38&lt;&gt;"LC_SIGHT",$D38&lt;&gt;"LC_USANCE",$D38&lt;&gt;"TT_ADV",$O38&gt;=30),1,0))</f>
        <v/>
      </c>
      <c r="Y38" s="37">
        <f>IF($A38="","",IF($O38&lt;=0,"미연체",IF($O38&lt;=30,"1-30",IF($O38&lt;=90,"31-90",IF($O38&lt;=180,"91-180",IF($O38&lt;=365,"181-365","365+"))))))</f>
        <v/>
      </c>
      <c r="Z38" s="37">
        <f>IF($S38="통지 기한 임박 — 사람 결정",COUNTIF($S$5:$S38,"통지 기한 임박 — 사람 결정"),"")</f>
        <v/>
      </c>
      <c r="AB38" s="37">
        <f>IF('02_Buyers'!$A35="","",'02_Buyers'!$A35)</f>
        <v/>
      </c>
      <c r="AC38" s="37">
        <f>IF($AB38="","",'02_Buyers'!$AH35)</f>
        <v/>
      </c>
      <c r="AD38" s="37">
        <f>IF($AB38="","",COUNTIFS(inv_buyer,$AB38,inv_paid,"N"))</f>
        <v/>
      </c>
      <c r="AE38" s="40">
        <f>IF($AB38="","",SUMIFS(inv_usd,inv_buyer,$AB38,inv_paid,"N"))</f>
        <v/>
      </c>
      <c r="AF38" s="37">
        <f>IF($AB38="","",_xlfn.MAXIFS(inv_nonlc_dpd,inv_buyer,$AB38))</f>
        <v/>
      </c>
      <c r="AG38" s="37">
        <f>IF($AB38="","",COUNTIFS(inv_buyer,$AB38,inv_hold30,1))</f>
        <v/>
      </c>
      <c r="AH38" s="37">
        <f>IF($AB38="","",IF(OR($AC38=1,$AG38&gt;0),"선적 보류",""))</f>
        <v/>
      </c>
      <c r="AI38" s="37">
        <f>IF($AH38&lt;&gt;"선적 보류","","내부 에스컬레이션: 여신 한도 동결 제안(사람 승인)")</f>
        <v/>
      </c>
      <c r="AJ38" s="37">
        <f>IF($AB38="","",COUNTIFS(inv_buyer,$AB38,inv_alert,"통지 기한 임박*"))</f>
        <v/>
      </c>
      <c r="AK38" s="40">
        <f>IF($AB38="","",'10_LimitLP'!$F38)</f>
        <v/>
      </c>
      <c r="AL38" s="84">
        <f>IF(OR($AB38="",$AK38&lt;=0),"",$AE38/$AK38)</f>
        <v/>
      </c>
      <c r="AM38" s="37">
        <f>IF($AL38="","",IF($AL38&gt;=0.8,"사용률 80%↑ — 출고 전 사전승인(제18조)",""))</f>
        <v/>
      </c>
      <c r="AN38" s="37">
        <f>IF($AB38="","",IFERROR(IF(INDEX($AU$21:$AU$40,MATCH('02_Buyers'!$S35,$AS$21:$AS$40,0))="","",INDEX($AU$21:$AU$40,MATCH('02_Buyers'!$S35,$AS$21:$AS$40,0))),""))</f>
        <v/>
      </c>
      <c r="AO38" s="37">
        <f>IF($AB38="","",IFERROR(IF(INDEX($AV$21:$AV$40,MATCH('02_Buyers'!$S35,$AS$21:$AS$40,0))="","",INDEX($AV$21:$AV$40,MATCH('02_Buyers'!$S35,$AS$21:$AS$40,0))),""))</f>
        <v/>
      </c>
      <c r="AP38" s="37">
        <f>IF(OR($AB38="",$AN38="",$AO38=""),"",IF($AN38&gt;$AO38,"국가등급 하향 — 한도 재산정",""))</f>
        <v/>
      </c>
      <c r="AQ38" s="37">
        <f>IF($AH38="선적 보류",COUNTIF($AH$5:$AH38,"선적 보류"),"")</f>
        <v/>
      </c>
      <c r="AS38" s="5" t="inlineStr">
        <is>
          <t>SAU</t>
        </is>
      </c>
      <c r="AT38" s="5" t="inlineStr">
        <is>
          <t>사우디아라비아</t>
        </is>
      </c>
      <c r="AU38" s="70" t="n">
        <v>2</v>
      </c>
      <c r="AV38" s="70" t="n">
        <v>2</v>
      </c>
      <c r="AW38" s="7">
        <f>IF(OR(AU38="",AV38=""),"",IF(AU38&gt;AV38,"하향",IF(AU38&lt;AV38,"상향","")))</f>
        <v/>
      </c>
    </row>
    <row r="39">
      <c r="A39" t="inlineStr">
        <is>
          <t>INV-2608-0009</t>
        </is>
      </c>
      <c r="B39" t="inlineStr">
        <is>
          <t>B025</t>
        </is>
      </c>
      <c r="C39" t="inlineStr">
        <is>
          <t>DEU</t>
        </is>
      </c>
      <c r="D39" t="inlineStr">
        <is>
          <t>OA</t>
        </is>
      </c>
      <c r="E39" t="inlineStr">
        <is>
          <t>EUR</t>
        </is>
      </c>
      <c r="F39" t="inlineStr">
        <is>
          <t>Y</t>
        </is>
      </c>
      <c r="G39" s="32" t="n">
        <v>46236</v>
      </c>
      <c r="H39" s="32" t="n">
        <v>46296</v>
      </c>
      <c r="I39" s="82" t="n">
        <v>1370</v>
      </c>
      <c r="J39" s="82" t="n">
        <v>1561.8</v>
      </c>
      <c r="K39" t="inlineStr">
        <is>
          <t>N</t>
        </is>
      </c>
      <c r="L39" t="inlineStr">
        <is>
          <t>개별</t>
        </is>
      </c>
      <c r="N39" t="inlineStr">
        <is>
          <t>N</t>
        </is>
      </c>
      <c r="O39" s="37">
        <f>IF($A39="","",AsOf-$H39)</f>
        <v/>
      </c>
      <c r="P39" s="37">
        <f>IF($A39="","",IF($K39="Y","-",IF($O39&gt;=30,"D+30 최종통지·선적보류",IF($O39&gt;=15,"D+15 단호한 통지",IF($O39&gt;=7,"D+7 친절한 리마인더",IF(AND($O39&gt;=-3,$O39&lt;=-1),"D-3 사전 안내","모니터링"))))))</f>
        <v/>
      </c>
      <c r="Q39" s="83">
        <f>IF($A39="","",EDATE($H39,1))</f>
        <v/>
      </c>
      <c r="R39" s="37">
        <f>IF($A39="","",$Q39-AsOf)</f>
        <v/>
      </c>
      <c r="S39" s="37">
        <f>IF($A39="","",IF(OR($K39="Y",$F39&lt;&gt;"Y",$O39&lt;=0),"",IF($R39&lt;0,"통지 기한 경과 — 즉시 확인",IF($R39&lt;=NoticeWarnDays,"통지 기한 임박 — 사람 결정",""))))</f>
        <v/>
      </c>
      <c r="T39" s="83">
        <f>IF(OR($A39="",$F39&lt;&gt;"Y"),"",IF(IF($L39="",InsuranceType,$L39)="포괄",DATE(YEAR($G39),MONTH($G39)+1,20),WORKDAY($G39,10)))</f>
        <v/>
      </c>
      <c r="U39" s="83">
        <f>IF(OR($A39="",$M39=""),"",WORKDAY($M39,10))</f>
        <v/>
      </c>
      <c r="V39" s="37">
        <f>IF($A39="","",IF($N39="Y","사기 의심: 콜백 검증 전 대금 안내 중단",""))</f>
        <v/>
      </c>
      <c r="W39" s="37">
        <f>IF($A39="","",IF(AND($K39="N",$D39&lt;&gt;"LC_SIGHT",$D39&lt;&gt;"LC_USANCE",$D39&lt;&gt;"TT_ADV"),$O39,""))</f>
        <v/>
      </c>
      <c r="X39" s="37">
        <f>IF($A39="",0,IF(AND($K39="N",$D39&lt;&gt;"LC_SIGHT",$D39&lt;&gt;"LC_USANCE",$D39&lt;&gt;"TT_ADV",$O39&gt;=30),1,0))</f>
        <v/>
      </c>
      <c r="Y39" s="37">
        <f>IF($A39="","",IF($O39&lt;=0,"미연체",IF($O39&lt;=30,"1-30",IF($O39&lt;=90,"31-90",IF($O39&lt;=180,"91-180",IF($O39&lt;=365,"181-365","365+"))))))</f>
        <v/>
      </c>
      <c r="Z39" s="37">
        <f>IF($S39="통지 기한 임박 — 사람 결정",COUNTIF($S$5:$S39,"통지 기한 임박 — 사람 결정"),"")</f>
        <v/>
      </c>
      <c r="AB39" s="37">
        <f>IF('02_Buyers'!$A36="","",'02_Buyers'!$A36)</f>
        <v/>
      </c>
      <c r="AC39" s="37">
        <f>IF($AB39="","",'02_Buyers'!$AH36)</f>
        <v/>
      </c>
      <c r="AD39" s="37">
        <f>IF($AB39="","",COUNTIFS(inv_buyer,$AB39,inv_paid,"N"))</f>
        <v/>
      </c>
      <c r="AE39" s="40">
        <f>IF($AB39="","",SUMIFS(inv_usd,inv_buyer,$AB39,inv_paid,"N"))</f>
        <v/>
      </c>
      <c r="AF39" s="37">
        <f>IF($AB39="","",_xlfn.MAXIFS(inv_nonlc_dpd,inv_buyer,$AB39))</f>
        <v/>
      </c>
      <c r="AG39" s="37">
        <f>IF($AB39="","",COUNTIFS(inv_buyer,$AB39,inv_hold30,1))</f>
        <v/>
      </c>
      <c r="AH39" s="37">
        <f>IF($AB39="","",IF(OR($AC39=1,$AG39&gt;0),"선적 보류",""))</f>
        <v/>
      </c>
      <c r="AI39" s="37">
        <f>IF($AH39&lt;&gt;"선적 보류","","내부 에스컬레이션: 여신 한도 동결 제안(사람 승인)")</f>
        <v/>
      </c>
      <c r="AJ39" s="37">
        <f>IF($AB39="","",COUNTIFS(inv_buyer,$AB39,inv_alert,"통지 기한 임박*"))</f>
        <v/>
      </c>
      <c r="AK39" s="40">
        <f>IF($AB39="","",'10_LimitLP'!$F39)</f>
        <v/>
      </c>
      <c r="AL39" s="84">
        <f>IF(OR($AB39="",$AK39&lt;=0),"",$AE39/$AK39)</f>
        <v/>
      </c>
      <c r="AM39" s="37">
        <f>IF($AL39="","",IF($AL39&gt;=0.8,"사용률 80%↑ — 출고 전 사전승인(제18조)",""))</f>
        <v/>
      </c>
      <c r="AN39" s="37">
        <f>IF($AB39="","",IFERROR(IF(INDEX($AU$21:$AU$40,MATCH('02_Buyers'!$S36,$AS$21:$AS$40,0))="","",INDEX($AU$21:$AU$40,MATCH('02_Buyers'!$S36,$AS$21:$AS$40,0))),""))</f>
        <v/>
      </c>
      <c r="AO39" s="37">
        <f>IF($AB39="","",IFERROR(IF(INDEX($AV$21:$AV$40,MATCH('02_Buyers'!$S36,$AS$21:$AS$40,0))="","",INDEX($AV$21:$AV$40,MATCH('02_Buyers'!$S36,$AS$21:$AS$40,0))),""))</f>
        <v/>
      </c>
      <c r="AP39" s="37">
        <f>IF(OR($AB39="",$AN39="",$AO39=""),"",IF($AN39&gt;$AO39,"국가등급 하향 — 한도 재산정",""))</f>
        <v/>
      </c>
      <c r="AQ39" s="37">
        <f>IF($AH39="선적 보류",COUNTIF($AH$5:$AH39,"선적 보류"),"")</f>
        <v/>
      </c>
      <c r="AS39" s="5" t="inlineStr">
        <is>
          <t>EGY</t>
        </is>
      </c>
      <c r="AT39" s="5" t="inlineStr">
        <is>
          <t>이집트</t>
        </is>
      </c>
      <c r="AU39" s="70" t="n">
        <v>6</v>
      </c>
      <c r="AV39" s="70" t="n">
        <v>6</v>
      </c>
      <c r="AW39" s="7">
        <f>IF(OR(AU39="",AV39=""),"",IF(AU39&gt;AV39,"하향",IF(AU39&lt;AV39,"상향","")))</f>
        <v/>
      </c>
    </row>
    <row r="40">
      <c r="A40" t="inlineStr">
        <is>
          <t>INV-2608-0067</t>
        </is>
      </c>
      <c r="B40" t="inlineStr">
        <is>
          <t>B026</t>
        </is>
      </c>
      <c r="C40" t="inlineStr">
        <is>
          <t>THA</t>
        </is>
      </c>
      <c r="D40" t="inlineStr">
        <is>
          <t>OA</t>
        </is>
      </c>
      <c r="E40" t="inlineStr">
        <is>
          <t>USD</t>
        </is>
      </c>
      <c r="F40" t="inlineStr">
        <is>
          <t>Y</t>
        </is>
      </c>
      <c r="G40" s="32" t="n">
        <v>46249</v>
      </c>
      <c r="H40" s="32" t="n">
        <v>46309</v>
      </c>
      <c r="I40" s="82" t="n">
        <v>1920</v>
      </c>
      <c r="J40" s="82" t="n">
        <v>1920</v>
      </c>
      <c r="K40" t="inlineStr">
        <is>
          <t>N</t>
        </is>
      </c>
      <c r="L40" t="inlineStr">
        <is>
          <t>개별</t>
        </is>
      </c>
      <c r="N40" t="inlineStr">
        <is>
          <t>N</t>
        </is>
      </c>
      <c r="O40" s="37">
        <f>IF($A40="","",AsOf-$H40)</f>
        <v/>
      </c>
      <c r="P40" s="37">
        <f>IF($A40="","",IF($K40="Y","-",IF($O40&gt;=30,"D+30 최종통지·선적보류",IF($O40&gt;=15,"D+15 단호한 통지",IF($O40&gt;=7,"D+7 친절한 리마인더",IF(AND($O40&gt;=-3,$O40&lt;=-1),"D-3 사전 안내","모니터링"))))))</f>
        <v/>
      </c>
      <c r="Q40" s="83">
        <f>IF($A40="","",EDATE($H40,1))</f>
        <v/>
      </c>
      <c r="R40" s="37">
        <f>IF($A40="","",$Q40-AsOf)</f>
        <v/>
      </c>
      <c r="S40" s="37">
        <f>IF($A40="","",IF(OR($K40="Y",$F40&lt;&gt;"Y",$O40&lt;=0),"",IF($R40&lt;0,"통지 기한 경과 — 즉시 확인",IF($R40&lt;=NoticeWarnDays,"통지 기한 임박 — 사람 결정",""))))</f>
        <v/>
      </c>
      <c r="T40" s="83">
        <f>IF(OR($A40="",$F40&lt;&gt;"Y"),"",IF(IF($L40="",InsuranceType,$L40)="포괄",DATE(YEAR($G40),MONTH($G40)+1,20),WORKDAY($G40,10)))</f>
        <v/>
      </c>
      <c r="U40" s="83">
        <f>IF(OR($A40="",$M40=""),"",WORKDAY($M40,10))</f>
        <v/>
      </c>
      <c r="V40" s="37">
        <f>IF($A40="","",IF($N40="Y","사기 의심: 콜백 검증 전 대금 안내 중단",""))</f>
        <v/>
      </c>
      <c r="W40" s="37">
        <f>IF($A40="","",IF(AND($K40="N",$D40&lt;&gt;"LC_SIGHT",$D40&lt;&gt;"LC_USANCE",$D40&lt;&gt;"TT_ADV"),$O40,""))</f>
        <v/>
      </c>
      <c r="X40" s="37">
        <f>IF($A40="",0,IF(AND($K40="N",$D40&lt;&gt;"LC_SIGHT",$D40&lt;&gt;"LC_USANCE",$D40&lt;&gt;"TT_ADV",$O40&gt;=30),1,0))</f>
        <v/>
      </c>
      <c r="Y40" s="37">
        <f>IF($A40="","",IF($O40&lt;=0,"미연체",IF($O40&lt;=30,"1-30",IF($O40&lt;=90,"31-90",IF($O40&lt;=180,"91-180",IF($O40&lt;=365,"181-365","365+"))))))</f>
        <v/>
      </c>
      <c r="Z40" s="37">
        <f>IF($S40="통지 기한 임박 — 사람 결정",COUNTIF($S$5:$S40,"통지 기한 임박 — 사람 결정"),"")</f>
        <v/>
      </c>
      <c r="AB40" s="37">
        <f>IF('02_Buyers'!$A37="","",'02_Buyers'!$A37)</f>
        <v/>
      </c>
      <c r="AC40" s="37">
        <f>IF($AB40="","",'02_Buyers'!$AH37)</f>
        <v/>
      </c>
      <c r="AD40" s="37">
        <f>IF($AB40="","",COUNTIFS(inv_buyer,$AB40,inv_paid,"N"))</f>
        <v/>
      </c>
      <c r="AE40" s="40">
        <f>IF($AB40="","",SUMIFS(inv_usd,inv_buyer,$AB40,inv_paid,"N"))</f>
        <v/>
      </c>
      <c r="AF40" s="37">
        <f>IF($AB40="","",_xlfn.MAXIFS(inv_nonlc_dpd,inv_buyer,$AB40))</f>
        <v/>
      </c>
      <c r="AG40" s="37">
        <f>IF($AB40="","",COUNTIFS(inv_buyer,$AB40,inv_hold30,1))</f>
        <v/>
      </c>
      <c r="AH40" s="37">
        <f>IF($AB40="","",IF(OR($AC40=1,$AG40&gt;0),"선적 보류",""))</f>
        <v/>
      </c>
      <c r="AI40" s="37">
        <f>IF($AH40&lt;&gt;"선적 보류","","내부 에스컬레이션: 여신 한도 동결 제안(사람 승인)")</f>
        <v/>
      </c>
      <c r="AJ40" s="37">
        <f>IF($AB40="","",COUNTIFS(inv_buyer,$AB40,inv_alert,"통지 기한 임박*"))</f>
        <v/>
      </c>
      <c r="AK40" s="40">
        <f>IF($AB40="","",'10_LimitLP'!$F40)</f>
        <v/>
      </c>
      <c r="AL40" s="84">
        <f>IF(OR($AB40="",$AK40&lt;=0),"",$AE40/$AK40)</f>
        <v/>
      </c>
      <c r="AM40" s="37">
        <f>IF($AL40="","",IF($AL40&gt;=0.8,"사용률 80%↑ — 출고 전 사전승인(제18조)",""))</f>
        <v/>
      </c>
      <c r="AN40" s="37">
        <f>IF($AB40="","",IFERROR(IF(INDEX($AU$21:$AU$40,MATCH('02_Buyers'!$S37,$AS$21:$AS$40,0))="","",INDEX($AU$21:$AU$40,MATCH('02_Buyers'!$S37,$AS$21:$AS$40,0))),""))</f>
        <v/>
      </c>
      <c r="AO40" s="37">
        <f>IF($AB40="","",IFERROR(IF(INDEX($AV$21:$AV$40,MATCH('02_Buyers'!$S37,$AS$21:$AS$40,0))="","",INDEX($AV$21:$AV$40,MATCH('02_Buyers'!$S37,$AS$21:$AS$40,0))),""))</f>
        <v/>
      </c>
      <c r="AP40" s="37">
        <f>IF(OR($AB40="",$AN40="",$AO40=""),"",IF($AN40&gt;$AO40,"국가등급 하향 — 한도 재산정",""))</f>
        <v/>
      </c>
      <c r="AQ40" s="37">
        <f>IF($AH40="선적 보류",COUNTIF($AH$5:$AH40,"선적 보류"),"")</f>
        <v/>
      </c>
      <c r="AS40" s="5" t="inlineStr">
        <is>
          <t>NGA</t>
        </is>
      </c>
      <c r="AT40" s="5" t="inlineStr">
        <is>
          <t>나이지리아</t>
        </is>
      </c>
      <c r="AU40" s="70" t="n">
        <v>6</v>
      </c>
      <c r="AV40" s="70" t="n">
        <v>6</v>
      </c>
      <c r="AW40" s="7">
        <f>IF(OR(AU40="",AV40=""),"",IF(AU40&gt;AV40,"하향",IF(AU40&lt;AV40,"상향","")))</f>
        <v/>
      </c>
    </row>
    <row r="41">
      <c r="A41" t="inlineStr">
        <is>
          <t>INV-2608-0144</t>
        </is>
      </c>
      <c r="B41" t="inlineStr">
        <is>
          <t>B026</t>
        </is>
      </c>
      <c r="C41" t="inlineStr">
        <is>
          <t>THA</t>
        </is>
      </c>
      <c r="D41" t="inlineStr">
        <is>
          <t>OA</t>
        </is>
      </c>
      <c r="E41" t="inlineStr">
        <is>
          <t>USD</t>
        </is>
      </c>
      <c r="F41" t="inlineStr">
        <is>
          <t>Y</t>
        </is>
      </c>
      <c r="G41" s="32" t="n">
        <v>46264</v>
      </c>
      <c r="H41" s="32" t="n">
        <v>46324</v>
      </c>
      <c r="I41" s="82" t="n">
        <v>2940</v>
      </c>
      <c r="J41" s="82" t="n">
        <v>2940</v>
      </c>
      <c r="K41" t="inlineStr">
        <is>
          <t>N</t>
        </is>
      </c>
      <c r="L41" t="inlineStr">
        <is>
          <t>개별</t>
        </is>
      </c>
      <c r="N41" t="inlineStr">
        <is>
          <t>N</t>
        </is>
      </c>
      <c r="O41" s="37">
        <f>IF($A41="","",AsOf-$H41)</f>
        <v/>
      </c>
      <c r="P41" s="37">
        <f>IF($A41="","",IF($K41="Y","-",IF($O41&gt;=30,"D+30 최종통지·선적보류",IF($O41&gt;=15,"D+15 단호한 통지",IF($O41&gt;=7,"D+7 친절한 리마인더",IF(AND($O41&gt;=-3,$O41&lt;=-1),"D-3 사전 안내","모니터링"))))))</f>
        <v/>
      </c>
      <c r="Q41" s="83">
        <f>IF($A41="","",EDATE($H41,1))</f>
        <v/>
      </c>
      <c r="R41" s="37">
        <f>IF($A41="","",$Q41-AsOf)</f>
        <v/>
      </c>
      <c r="S41" s="37">
        <f>IF($A41="","",IF(OR($K41="Y",$F41&lt;&gt;"Y",$O41&lt;=0),"",IF($R41&lt;0,"통지 기한 경과 — 즉시 확인",IF($R41&lt;=NoticeWarnDays,"통지 기한 임박 — 사람 결정",""))))</f>
        <v/>
      </c>
      <c r="T41" s="83">
        <f>IF(OR($A41="",$F41&lt;&gt;"Y"),"",IF(IF($L41="",InsuranceType,$L41)="포괄",DATE(YEAR($G41),MONTH($G41)+1,20),WORKDAY($G41,10)))</f>
        <v/>
      </c>
      <c r="U41" s="83">
        <f>IF(OR($A41="",$M41=""),"",WORKDAY($M41,10))</f>
        <v/>
      </c>
      <c r="V41" s="37">
        <f>IF($A41="","",IF($N41="Y","사기 의심: 콜백 검증 전 대금 안내 중단",""))</f>
        <v/>
      </c>
      <c r="W41" s="37">
        <f>IF($A41="","",IF(AND($K41="N",$D41&lt;&gt;"LC_SIGHT",$D41&lt;&gt;"LC_USANCE",$D41&lt;&gt;"TT_ADV"),$O41,""))</f>
        <v/>
      </c>
      <c r="X41" s="37">
        <f>IF($A41="",0,IF(AND($K41="N",$D41&lt;&gt;"LC_SIGHT",$D41&lt;&gt;"LC_USANCE",$D41&lt;&gt;"TT_ADV",$O41&gt;=30),1,0))</f>
        <v/>
      </c>
      <c r="Y41" s="37">
        <f>IF($A41="","",IF($O41&lt;=0,"미연체",IF($O41&lt;=30,"1-30",IF($O41&lt;=90,"31-90",IF($O41&lt;=180,"91-180",IF($O41&lt;=365,"181-365","365+"))))))</f>
        <v/>
      </c>
      <c r="Z41" s="37">
        <f>IF($S41="통지 기한 임박 — 사람 결정",COUNTIF($S$5:$S41,"통지 기한 임박 — 사람 결정"),"")</f>
        <v/>
      </c>
      <c r="AB41" s="37">
        <f>IF('02_Buyers'!$A38="","",'02_Buyers'!$A38)</f>
        <v/>
      </c>
      <c r="AC41" s="37">
        <f>IF($AB41="","",'02_Buyers'!$AH38)</f>
        <v/>
      </c>
      <c r="AD41" s="37">
        <f>IF($AB41="","",COUNTIFS(inv_buyer,$AB41,inv_paid,"N"))</f>
        <v/>
      </c>
      <c r="AE41" s="40">
        <f>IF($AB41="","",SUMIFS(inv_usd,inv_buyer,$AB41,inv_paid,"N"))</f>
        <v/>
      </c>
      <c r="AF41" s="37">
        <f>IF($AB41="","",_xlfn.MAXIFS(inv_nonlc_dpd,inv_buyer,$AB41))</f>
        <v/>
      </c>
      <c r="AG41" s="37">
        <f>IF($AB41="","",COUNTIFS(inv_buyer,$AB41,inv_hold30,1))</f>
        <v/>
      </c>
      <c r="AH41" s="37">
        <f>IF($AB41="","",IF(OR($AC41=1,$AG41&gt;0),"선적 보류",""))</f>
        <v/>
      </c>
      <c r="AI41" s="37">
        <f>IF($AH41&lt;&gt;"선적 보류","","내부 에스컬레이션: 여신 한도 동결 제안(사람 승인)")</f>
        <v/>
      </c>
      <c r="AJ41" s="37">
        <f>IF($AB41="","",COUNTIFS(inv_buyer,$AB41,inv_alert,"통지 기한 임박*"))</f>
        <v/>
      </c>
      <c r="AK41" s="40">
        <f>IF($AB41="","",'10_LimitLP'!$F41)</f>
        <v/>
      </c>
      <c r="AL41" s="84">
        <f>IF(OR($AB41="",$AK41&lt;=0),"",$AE41/$AK41)</f>
        <v/>
      </c>
      <c r="AM41" s="37">
        <f>IF($AL41="","",IF($AL41&gt;=0.8,"사용률 80%↑ — 출고 전 사전승인(제18조)",""))</f>
        <v/>
      </c>
      <c r="AN41" s="37">
        <f>IF($AB41="","",IFERROR(IF(INDEX($AU$21:$AU$40,MATCH('02_Buyers'!$S38,$AS$21:$AS$40,0))="","",INDEX($AU$21:$AU$40,MATCH('02_Buyers'!$S38,$AS$21:$AS$40,0))),""))</f>
        <v/>
      </c>
      <c r="AO41" s="37">
        <f>IF($AB41="","",IFERROR(IF(INDEX($AV$21:$AV$40,MATCH('02_Buyers'!$S38,$AS$21:$AS$40,0))="","",INDEX($AV$21:$AV$40,MATCH('02_Buyers'!$S38,$AS$21:$AS$40,0))),""))</f>
        <v/>
      </c>
      <c r="AP41" s="37">
        <f>IF(OR($AB41="",$AN41="",$AO41=""),"",IF($AN41&gt;$AO41,"국가등급 하향 — 한도 재산정",""))</f>
        <v/>
      </c>
      <c r="AQ41" s="37">
        <f>IF($AH41="선적 보류",COUNTIF($AH$5:$AH41,"선적 보류"),"")</f>
        <v/>
      </c>
    </row>
    <row r="42">
      <c r="A42" t="inlineStr">
        <is>
          <t>INV-2607-0164</t>
        </is>
      </c>
      <c r="B42" t="inlineStr">
        <is>
          <t>B028</t>
        </is>
      </c>
      <c r="C42" t="inlineStr">
        <is>
          <t>JPN</t>
        </is>
      </c>
      <c r="D42" t="inlineStr">
        <is>
          <t>OA</t>
        </is>
      </c>
      <c r="E42" t="inlineStr">
        <is>
          <t>JPY</t>
        </is>
      </c>
      <c r="F42" t="inlineStr">
        <is>
          <t>Y</t>
        </is>
      </c>
      <c r="G42" s="32" t="n">
        <v>46230</v>
      </c>
      <c r="H42" s="32" t="n">
        <v>46320</v>
      </c>
      <c r="I42" s="82" t="n">
        <v>1104000</v>
      </c>
      <c r="J42" s="82" t="n">
        <v>7023.8</v>
      </c>
      <c r="K42" t="inlineStr">
        <is>
          <t>N</t>
        </is>
      </c>
      <c r="L42" t="inlineStr">
        <is>
          <t>개별</t>
        </is>
      </c>
      <c r="N42" t="inlineStr">
        <is>
          <t>N</t>
        </is>
      </c>
      <c r="O42" s="37">
        <f>IF($A42="","",AsOf-$H42)</f>
        <v/>
      </c>
      <c r="P42" s="37">
        <f>IF($A42="","",IF($K42="Y","-",IF($O42&gt;=30,"D+30 최종통지·선적보류",IF($O42&gt;=15,"D+15 단호한 통지",IF($O42&gt;=7,"D+7 친절한 리마인더",IF(AND($O42&gt;=-3,$O42&lt;=-1),"D-3 사전 안내","모니터링"))))))</f>
        <v/>
      </c>
      <c r="Q42" s="83">
        <f>IF($A42="","",EDATE($H42,1))</f>
        <v/>
      </c>
      <c r="R42" s="37">
        <f>IF($A42="","",$Q42-AsOf)</f>
        <v/>
      </c>
      <c r="S42" s="37">
        <f>IF($A42="","",IF(OR($K42="Y",$F42&lt;&gt;"Y",$O42&lt;=0),"",IF($R42&lt;0,"통지 기한 경과 — 즉시 확인",IF($R42&lt;=NoticeWarnDays,"통지 기한 임박 — 사람 결정",""))))</f>
        <v/>
      </c>
      <c r="T42" s="83">
        <f>IF(OR($A42="",$F42&lt;&gt;"Y"),"",IF(IF($L42="",InsuranceType,$L42)="포괄",DATE(YEAR($G42),MONTH($G42)+1,20),WORKDAY($G42,10)))</f>
        <v/>
      </c>
      <c r="U42" s="83">
        <f>IF(OR($A42="",$M42=""),"",WORKDAY($M42,10))</f>
        <v/>
      </c>
      <c r="V42" s="37">
        <f>IF($A42="","",IF($N42="Y","사기 의심: 콜백 검증 전 대금 안내 중단",""))</f>
        <v/>
      </c>
      <c r="W42" s="37">
        <f>IF($A42="","",IF(AND($K42="N",$D42&lt;&gt;"LC_SIGHT",$D42&lt;&gt;"LC_USANCE",$D42&lt;&gt;"TT_ADV"),$O42,""))</f>
        <v/>
      </c>
      <c r="X42" s="37">
        <f>IF($A42="",0,IF(AND($K42="N",$D42&lt;&gt;"LC_SIGHT",$D42&lt;&gt;"LC_USANCE",$D42&lt;&gt;"TT_ADV",$O42&gt;=30),1,0))</f>
        <v/>
      </c>
      <c r="Y42" s="37">
        <f>IF($A42="","",IF($O42&lt;=0,"미연체",IF($O42&lt;=30,"1-30",IF($O42&lt;=90,"31-90",IF($O42&lt;=180,"91-180",IF($O42&lt;=365,"181-365","365+"))))))</f>
        <v/>
      </c>
      <c r="Z42" s="37">
        <f>IF($S42="통지 기한 임박 — 사람 결정",COUNTIF($S$5:$S42,"통지 기한 임박 — 사람 결정"),"")</f>
        <v/>
      </c>
      <c r="AB42" s="37">
        <f>IF('02_Buyers'!$A39="","",'02_Buyers'!$A39)</f>
        <v/>
      </c>
      <c r="AC42" s="37">
        <f>IF($AB42="","",'02_Buyers'!$AH39)</f>
        <v/>
      </c>
      <c r="AD42" s="37">
        <f>IF($AB42="","",COUNTIFS(inv_buyer,$AB42,inv_paid,"N"))</f>
        <v/>
      </c>
      <c r="AE42" s="40">
        <f>IF($AB42="","",SUMIFS(inv_usd,inv_buyer,$AB42,inv_paid,"N"))</f>
        <v/>
      </c>
      <c r="AF42" s="37">
        <f>IF($AB42="","",_xlfn.MAXIFS(inv_nonlc_dpd,inv_buyer,$AB42))</f>
        <v/>
      </c>
      <c r="AG42" s="37">
        <f>IF($AB42="","",COUNTIFS(inv_buyer,$AB42,inv_hold30,1))</f>
        <v/>
      </c>
      <c r="AH42" s="37">
        <f>IF($AB42="","",IF(OR($AC42=1,$AG42&gt;0),"선적 보류",""))</f>
        <v/>
      </c>
      <c r="AI42" s="37">
        <f>IF($AH42&lt;&gt;"선적 보류","","내부 에스컬레이션: 여신 한도 동결 제안(사람 승인)")</f>
        <v/>
      </c>
      <c r="AJ42" s="37">
        <f>IF($AB42="","",COUNTIFS(inv_buyer,$AB42,inv_alert,"통지 기한 임박*"))</f>
        <v/>
      </c>
      <c r="AK42" s="40">
        <f>IF($AB42="","",'10_LimitLP'!$F42)</f>
        <v/>
      </c>
      <c r="AL42" s="84">
        <f>IF(OR($AB42="",$AK42&lt;=0),"",$AE42/$AK42)</f>
        <v/>
      </c>
      <c r="AM42" s="37">
        <f>IF($AL42="","",IF($AL42&gt;=0.8,"사용률 80%↑ — 출고 전 사전승인(제18조)",""))</f>
        <v/>
      </c>
      <c r="AN42" s="37">
        <f>IF($AB42="","",IFERROR(IF(INDEX($AU$21:$AU$40,MATCH('02_Buyers'!$S39,$AS$21:$AS$40,0))="","",INDEX($AU$21:$AU$40,MATCH('02_Buyers'!$S39,$AS$21:$AS$40,0))),""))</f>
        <v/>
      </c>
      <c r="AO42" s="37">
        <f>IF($AB42="","",IFERROR(IF(INDEX($AV$21:$AV$40,MATCH('02_Buyers'!$S39,$AS$21:$AS$40,0))="","",INDEX($AV$21:$AV$40,MATCH('02_Buyers'!$S39,$AS$21:$AS$40,0))),""))</f>
        <v/>
      </c>
      <c r="AP42" s="37">
        <f>IF(OR($AB42="",$AN42="",$AO42=""),"",IF($AN42&gt;$AO42,"국가등급 하향 — 한도 재산정",""))</f>
        <v/>
      </c>
      <c r="AQ42" s="37">
        <f>IF($AH42="선적 보류",COUNTIF($AH$5:$AH42,"선적 보류"),"")</f>
        <v/>
      </c>
    </row>
    <row r="43">
      <c r="A43" t="inlineStr">
        <is>
          <t>INV-2608-0003</t>
        </is>
      </c>
      <c r="B43" t="inlineStr">
        <is>
          <t>B028</t>
        </is>
      </c>
      <c r="C43" t="inlineStr">
        <is>
          <t>JPN</t>
        </is>
      </c>
      <c r="D43" t="inlineStr">
        <is>
          <t>OA</t>
        </is>
      </c>
      <c r="E43" t="inlineStr">
        <is>
          <t>JPY</t>
        </is>
      </c>
      <c r="F43" t="inlineStr">
        <is>
          <t>Y</t>
        </is>
      </c>
      <c r="G43" s="32" t="n">
        <v>46235</v>
      </c>
      <c r="H43" s="32" t="n">
        <v>46325</v>
      </c>
      <c r="I43" s="82" t="n">
        <v>2647000</v>
      </c>
      <c r="J43" s="82" t="n">
        <v>16840.57</v>
      </c>
      <c r="K43" t="inlineStr">
        <is>
          <t>N</t>
        </is>
      </c>
      <c r="L43" t="inlineStr">
        <is>
          <t>개별</t>
        </is>
      </c>
      <c r="N43" t="inlineStr">
        <is>
          <t>N</t>
        </is>
      </c>
      <c r="O43" s="37">
        <f>IF($A43="","",AsOf-$H43)</f>
        <v/>
      </c>
      <c r="P43" s="37">
        <f>IF($A43="","",IF($K43="Y","-",IF($O43&gt;=30,"D+30 최종통지·선적보류",IF($O43&gt;=15,"D+15 단호한 통지",IF($O43&gt;=7,"D+7 친절한 리마인더",IF(AND($O43&gt;=-3,$O43&lt;=-1),"D-3 사전 안내","모니터링"))))))</f>
        <v/>
      </c>
      <c r="Q43" s="83">
        <f>IF($A43="","",EDATE($H43,1))</f>
        <v/>
      </c>
      <c r="R43" s="37">
        <f>IF($A43="","",$Q43-AsOf)</f>
        <v/>
      </c>
      <c r="S43" s="37">
        <f>IF($A43="","",IF(OR($K43="Y",$F43&lt;&gt;"Y",$O43&lt;=0),"",IF($R43&lt;0,"통지 기한 경과 — 즉시 확인",IF($R43&lt;=NoticeWarnDays,"통지 기한 임박 — 사람 결정",""))))</f>
        <v/>
      </c>
      <c r="T43" s="83">
        <f>IF(OR($A43="",$F43&lt;&gt;"Y"),"",IF(IF($L43="",InsuranceType,$L43)="포괄",DATE(YEAR($G43),MONTH($G43)+1,20),WORKDAY($G43,10)))</f>
        <v/>
      </c>
      <c r="U43" s="83">
        <f>IF(OR($A43="",$M43=""),"",WORKDAY($M43,10))</f>
        <v/>
      </c>
      <c r="V43" s="37">
        <f>IF($A43="","",IF($N43="Y","사기 의심: 콜백 검증 전 대금 안내 중단",""))</f>
        <v/>
      </c>
      <c r="W43" s="37">
        <f>IF($A43="","",IF(AND($K43="N",$D43&lt;&gt;"LC_SIGHT",$D43&lt;&gt;"LC_USANCE",$D43&lt;&gt;"TT_ADV"),$O43,""))</f>
        <v/>
      </c>
      <c r="X43" s="37">
        <f>IF($A43="",0,IF(AND($K43="N",$D43&lt;&gt;"LC_SIGHT",$D43&lt;&gt;"LC_USANCE",$D43&lt;&gt;"TT_ADV",$O43&gt;=30),1,0))</f>
        <v/>
      </c>
      <c r="Y43" s="37">
        <f>IF($A43="","",IF($O43&lt;=0,"미연체",IF($O43&lt;=30,"1-30",IF($O43&lt;=90,"31-90",IF($O43&lt;=180,"91-180",IF($O43&lt;=365,"181-365","365+"))))))</f>
        <v/>
      </c>
      <c r="Z43" s="37">
        <f>IF($S43="통지 기한 임박 — 사람 결정",COUNTIF($S$5:$S43,"통지 기한 임박 — 사람 결정"),"")</f>
        <v/>
      </c>
      <c r="AB43" s="37">
        <f>IF('02_Buyers'!$A40="","",'02_Buyers'!$A40)</f>
        <v/>
      </c>
      <c r="AC43" s="37">
        <f>IF($AB43="","",'02_Buyers'!$AH40)</f>
        <v/>
      </c>
      <c r="AD43" s="37">
        <f>IF($AB43="","",COUNTIFS(inv_buyer,$AB43,inv_paid,"N"))</f>
        <v/>
      </c>
      <c r="AE43" s="40">
        <f>IF($AB43="","",SUMIFS(inv_usd,inv_buyer,$AB43,inv_paid,"N"))</f>
        <v/>
      </c>
      <c r="AF43" s="37">
        <f>IF($AB43="","",_xlfn.MAXIFS(inv_nonlc_dpd,inv_buyer,$AB43))</f>
        <v/>
      </c>
      <c r="AG43" s="37">
        <f>IF($AB43="","",COUNTIFS(inv_buyer,$AB43,inv_hold30,1))</f>
        <v/>
      </c>
      <c r="AH43" s="37">
        <f>IF($AB43="","",IF(OR($AC43=1,$AG43&gt;0),"선적 보류",""))</f>
        <v/>
      </c>
      <c r="AI43" s="37">
        <f>IF($AH43&lt;&gt;"선적 보류","","내부 에스컬레이션: 여신 한도 동결 제안(사람 승인)")</f>
        <v/>
      </c>
      <c r="AJ43" s="37">
        <f>IF($AB43="","",COUNTIFS(inv_buyer,$AB43,inv_alert,"통지 기한 임박*"))</f>
        <v/>
      </c>
      <c r="AK43" s="40">
        <f>IF($AB43="","",'10_LimitLP'!$F43)</f>
        <v/>
      </c>
      <c r="AL43" s="84">
        <f>IF(OR($AB43="",$AK43&lt;=0),"",$AE43/$AK43)</f>
        <v/>
      </c>
      <c r="AM43" s="37">
        <f>IF($AL43="","",IF($AL43&gt;=0.8,"사용률 80%↑ — 출고 전 사전승인(제18조)",""))</f>
        <v/>
      </c>
      <c r="AN43" s="37">
        <f>IF($AB43="","",IFERROR(IF(INDEX($AU$21:$AU$40,MATCH('02_Buyers'!$S40,$AS$21:$AS$40,0))="","",INDEX($AU$21:$AU$40,MATCH('02_Buyers'!$S40,$AS$21:$AS$40,0))),""))</f>
        <v/>
      </c>
      <c r="AO43" s="37">
        <f>IF($AB43="","",IFERROR(IF(INDEX($AV$21:$AV$40,MATCH('02_Buyers'!$S40,$AS$21:$AS$40,0))="","",INDEX($AV$21:$AV$40,MATCH('02_Buyers'!$S40,$AS$21:$AS$40,0))),""))</f>
        <v/>
      </c>
      <c r="AP43" s="37">
        <f>IF(OR($AB43="",$AN43="",$AO43=""),"",IF($AN43&gt;$AO43,"국가등급 하향 — 한도 재산정",""))</f>
        <v/>
      </c>
      <c r="AQ43" s="37">
        <f>IF($AH43="선적 보류",COUNTIF($AH$5:$AH43,"선적 보류"),"")</f>
        <v/>
      </c>
    </row>
    <row r="44">
      <c r="A44" t="inlineStr">
        <is>
          <t>INV-2608-0004</t>
        </is>
      </c>
      <c r="B44" t="inlineStr">
        <is>
          <t>B028</t>
        </is>
      </c>
      <c r="C44" t="inlineStr">
        <is>
          <t>JPN</t>
        </is>
      </c>
      <c r="D44" t="inlineStr">
        <is>
          <t>OA</t>
        </is>
      </c>
      <c r="E44" t="inlineStr">
        <is>
          <t>JPY</t>
        </is>
      </c>
      <c r="F44" t="inlineStr">
        <is>
          <t>Y</t>
        </is>
      </c>
      <c r="G44" s="32" t="n">
        <v>46235</v>
      </c>
      <c r="H44" s="32" t="n">
        <v>46325</v>
      </c>
      <c r="I44" s="82" t="n">
        <v>1851000</v>
      </c>
      <c r="J44" s="82" t="n">
        <v>11776.31</v>
      </c>
      <c r="K44" t="inlineStr">
        <is>
          <t>N</t>
        </is>
      </c>
      <c r="L44" t="inlineStr">
        <is>
          <t>개별</t>
        </is>
      </c>
      <c r="N44" t="inlineStr">
        <is>
          <t>N</t>
        </is>
      </c>
      <c r="O44" s="37">
        <f>IF($A44="","",AsOf-$H44)</f>
        <v/>
      </c>
      <c r="P44" s="37">
        <f>IF($A44="","",IF($K44="Y","-",IF($O44&gt;=30,"D+30 최종통지·선적보류",IF($O44&gt;=15,"D+15 단호한 통지",IF($O44&gt;=7,"D+7 친절한 리마인더",IF(AND($O44&gt;=-3,$O44&lt;=-1),"D-3 사전 안내","모니터링"))))))</f>
        <v/>
      </c>
      <c r="Q44" s="83">
        <f>IF($A44="","",EDATE($H44,1))</f>
        <v/>
      </c>
      <c r="R44" s="37">
        <f>IF($A44="","",$Q44-AsOf)</f>
        <v/>
      </c>
      <c r="S44" s="37">
        <f>IF($A44="","",IF(OR($K44="Y",$F44&lt;&gt;"Y",$O44&lt;=0),"",IF($R44&lt;0,"통지 기한 경과 — 즉시 확인",IF($R44&lt;=NoticeWarnDays,"통지 기한 임박 — 사람 결정",""))))</f>
        <v/>
      </c>
      <c r="T44" s="83">
        <f>IF(OR($A44="",$F44&lt;&gt;"Y"),"",IF(IF($L44="",InsuranceType,$L44)="포괄",DATE(YEAR($G44),MONTH($G44)+1,20),WORKDAY($G44,10)))</f>
        <v/>
      </c>
      <c r="U44" s="83">
        <f>IF(OR($A44="",$M44=""),"",WORKDAY($M44,10))</f>
        <v/>
      </c>
      <c r="V44" s="37">
        <f>IF($A44="","",IF($N44="Y","사기 의심: 콜백 검증 전 대금 안내 중단",""))</f>
        <v/>
      </c>
      <c r="W44" s="37">
        <f>IF($A44="","",IF(AND($K44="N",$D44&lt;&gt;"LC_SIGHT",$D44&lt;&gt;"LC_USANCE",$D44&lt;&gt;"TT_ADV"),$O44,""))</f>
        <v/>
      </c>
      <c r="X44" s="37">
        <f>IF($A44="",0,IF(AND($K44="N",$D44&lt;&gt;"LC_SIGHT",$D44&lt;&gt;"LC_USANCE",$D44&lt;&gt;"TT_ADV",$O44&gt;=30),1,0))</f>
        <v/>
      </c>
      <c r="Y44" s="37">
        <f>IF($A44="","",IF($O44&lt;=0,"미연체",IF($O44&lt;=30,"1-30",IF($O44&lt;=90,"31-90",IF($O44&lt;=180,"91-180",IF($O44&lt;=365,"181-365","365+"))))))</f>
        <v/>
      </c>
      <c r="Z44" s="37">
        <f>IF($S44="통지 기한 임박 — 사람 결정",COUNTIF($S$5:$S44,"통지 기한 임박 — 사람 결정"),"")</f>
        <v/>
      </c>
      <c r="AB44" s="37">
        <f>IF('02_Buyers'!$A41="","",'02_Buyers'!$A41)</f>
        <v/>
      </c>
      <c r="AC44" s="37">
        <f>IF($AB44="","",'02_Buyers'!$AH41)</f>
        <v/>
      </c>
      <c r="AD44" s="37">
        <f>IF($AB44="","",COUNTIFS(inv_buyer,$AB44,inv_paid,"N"))</f>
        <v/>
      </c>
      <c r="AE44" s="40">
        <f>IF($AB44="","",SUMIFS(inv_usd,inv_buyer,$AB44,inv_paid,"N"))</f>
        <v/>
      </c>
      <c r="AF44" s="37">
        <f>IF($AB44="","",_xlfn.MAXIFS(inv_nonlc_dpd,inv_buyer,$AB44))</f>
        <v/>
      </c>
      <c r="AG44" s="37">
        <f>IF($AB44="","",COUNTIFS(inv_buyer,$AB44,inv_hold30,1))</f>
        <v/>
      </c>
      <c r="AH44" s="37">
        <f>IF($AB44="","",IF(OR($AC44=1,$AG44&gt;0),"선적 보류",""))</f>
        <v/>
      </c>
      <c r="AI44" s="37">
        <f>IF($AH44&lt;&gt;"선적 보류","","내부 에스컬레이션: 여신 한도 동결 제안(사람 승인)")</f>
        <v/>
      </c>
      <c r="AJ44" s="37">
        <f>IF($AB44="","",COUNTIFS(inv_buyer,$AB44,inv_alert,"통지 기한 임박*"))</f>
        <v/>
      </c>
      <c r="AK44" s="40">
        <f>IF($AB44="","",'10_LimitLP'!$F44)</f>
        <v/>
      </c>
      <c r="AL44" s="84">
        <f>IF(OR($AB44="",$AK44&lt;=0),"",$AE44/$AK44)</f>
        <v/>
      </c>
      <c r="AM44" s="37">
        <f>IF($AL44="","",IF($AL44&gt;=0.8,"사용률 80%↑ — 출고 전 사전승인(제18조)",""))</f>
        <v/>
      </c>
      <c r="AN44" s="37">
        <f>IF($AB44="","",IFERROR(IF(INDEX($AU$21:$AU$40,MATCH('02_Buyers'!$S41,$AS$21:$AS$40,0))="","",INDEX($AU$21:$AU$40,MATCH('02_Buyers'!$S41,$AS$21:$AS$40,0))),""))</f>
        <v/>
      </c>
      <c r="AO44" s="37">
        <f>IF($AB44="","",IFERROR(IF(INDEX($AV$21:$AV$40,MATCH('02_Buyers'!$S41,$AS$21:$AS$40,0))="","",INDEX($AV$21:$AV$40,MATCH('02_Buyers'!$S41,$AS$21:$AS$40,0))),""))</f>
        <v/>
      </c>
      <c r="AP44" s="37">
        <f>IF(OR($AB44="",$AN44="",$AO44=""),"",IF($AN44&gt;$AO44,"국가등급 하향 — 한도 재산정",""))</f>
        <v/>
      </c>
      <c r="AQ44" s="37">
        <f>IF($AH44="선적 보류",COUNTIF($AH$5:$AH44,"선적 보류"),"")</f>
        <v/>
      </c>
    </row>
    <row r="45">
      <c r="A45" t="inlineStr">
        <is>
          <t>INV-2608-0027</t>
        </is>
      </c>
      <c r="B45" t="inlineStr">
        <is>
          <t>B028</t>
        </is>
      </c>
      <c r="C45" t="inlineStr">
        <is>
          <t>JPN</t>
        </is>
      </c>
      <c r="D45" t="inlineStr">
        <is>
          <t>OA</t>
        </is>
      </c>
      <c r="E45" t="inlineStr">
        <is>
          <t>JPY</t>
        </is>
      </c>
      <c r="F45" t="inlineStr">
        <is>
          <t>Y</t>
        </is>
      </c>
      <c r="G45" s="32" t="n">
        <v>46241</v>
      </c>
      <c r="H45" s="32" t="n">
        <v>46331</v>
      </c>
      <c r="I45" s="82" t="n">
        <v>14706000</v>
      </c>
      <c r="J45" s="82" t="n">
        <v>93561.56</v>
      </c>
      <c r="K45" t="inlineStr">
        <is>
          <t>N</t>
        </is>
      </c>
      <c r="L45" t="inlineStr">
        <is>
          <t>개별</t>
        </is>
      </c>
      <c r="N45" t="inlineStr">
        <is>
          <t>N</t>
        </is>
      </c>
      <c r="O45" s="37">
        <f>IF($A45="","",AsOf-$H45)</f>
        <v/>
      </c>
      <c r="P45" s="37">
        <f>IF($A45="","",IF($K45="Y","-",IF($O45&gt;=30,"D+30 최종통지·선적보류",IF($O45&gt;=15,"D+15 단호한 통지",IF($O45&gt;=7,"D+7 친절한 리마인더",IF(AND($O45&gt;=-3,$O45&lt;=-1),"D-3 사전 안내","모니터링"))))))</f>
        <v/>
      </c>
      <c r="Q45" s="83">
        <f>IF($A45="","",EDATE($H45,1))</f>
        <v/>
      </c>
      <c r="R45" s="37">
        <f>IF($A45="","",$Q45-AsOf)</f>
        <v/>
      </c>
      <c r="S45" s="37">
        <f>IF($A45="","",IF(OR($K45="Y",$F45&lt;&gt;"Y",$O45&lt;=0),"",IF($R45&lt;0,"통지 기한 경과 — 즉시 확인",IF($R45&lt;=NoticeWarnDays,"통지 기한 임박 — 사람 결정",""))))</f>
        <v/>
      </c>
      <c r="T45" s="83">
        <f>IF(OR($A45="",$F45&lt;&gt;"Y"),"",IF(IF($L45="",InsuranceType,$L45)="포괄",DATE(YEAR($G45),MONTH($G45)+1,20),WORKDAY($G45,10)))</f>
        <v/>
      </c>
      <c r="U45" s="83">
        <f>IF(OR($A45="",$M45=""),"",WORKDAY($M45,10))</f>
        <v/>
      </c>
      <c r="V45" s="37">
        <f>IF($A45="","",IF($N45="Y","사기 의심: 콜백 검증 전 대금 안내 중단",""))</f>
        <v/>
      </c>
      <c r="W45" s="37">
        <f>IF($A45="","",IF(AND($K45="N",$D45&lt;&gt;"LC_SIGHT",$D45&lt;&gt;"LC_USANCE",$D45&lt;&gt;"TT_ADV"),$O45,""))</f>
        <v/>
      </c>
      <c r="X45" s="37">
        <f>IF($A45="",0,IF(AND($K45="N",$D45&lt;&gt;"LC_SIGHT",$D45&lt;&gt;"LC_USANCE",$D45&lt;&gt;"TT_ADV",$O45&gt;=30),1,0))</f>
        <v/>
      </c>
      <c r="Y45" s="37">
        <f>IF($A45="","",IF($O45&lt;=0,"미연체",IF($O45&lt;=30,"1-30",IF($O45&lt;=90,"31-90",IF($O45&lt;=180,"91-180",IF($O45&lt;=365,"181-365","365+"))))))</f>
        <v/>
      </c>
      <c r="Z45" s="37">
        <f>IF($S45="통지 기한 임박 — 사람 결정",COUNTIF($S$5:$S45,"통지 기한 임박 — 사람 결정"),"")</f>
        <v/>
      </c>
      <c r="AB45" s="37">
        <f>IF('02_Buyers'!$A42="","",'02_Buyers'!$A42)</f>
        <v/>
      </c>
      <c r="AC45" s="37">
        <f>IF($AB45="","",'02_Buyers'!$AH42)</f>
        <v/>
      </c>
      <c r="AD45" s="37">
        <f>IF($AB45="","",COUNTIFS(inv_buyer,$AB45,inv_paid,"N"))</f>
        <v/>
      </c>
      <c r="AE45" s="40">
        <f>IF($AB45="","",SUMIFS(inv_usd,inv_buyer,$AB45,inv_paid,"N"))</f>
        <v/>
      </c>
      <c r="AF45" s="37">
        <f>IF($AB45="","",_xlfn.MAXIFS(inv_nonlc_dpd,inv_buyer,$AB45))</f>
        <v/>
      </c>
      <c r="AG45" s="37">
        <f>IF($AB45="","",COUNTIFS(inv_buyer,$AB45,inv_hold30,1))</f>
        <v/>
      </c>
      <c r="AH45" s="37">
        <f>IF($AB45="","",IF(OR($AC45=1,$AG45&gt;0),"선적 보류",""))</f>
        <v/>
      </c>
      <c r="AI45" s="37">
        <f>IF($AH45&lt;&gt;"선적 보류","","내부 에스컬레이션: 여신 한도 동결 제안(사람 승인)")</f>
        <v/>
      </c>
      <c r="AJ45" s="37">
        <f>IF($AB45="","",COUNTIFS(inv_buyer,$AB45,inv_alert,"통지 기한 임박*"))</f>
        <v/>
      </c>
      <c r="AK45" s="40">
        <f>IF($AB45="","",'10_LimitLP'!$F45)</f>
        <v/>
      </c>
      <c r="AL45" s="84">
        <f>IF(OR($AB45="",$AK45&lt;=0),"",$AE45/$AK45)</f>
        <v/>
      </c>
      <c r="AM45" s="37">
        <f>IF($AL45="","",IF($AL45&gt;=0.8,"사용률 80%↑ — 출고 전 사전승인(제18조)",""))</f>
        <v/>
      </c>
      <c r="AN45" s="37">
        <f>IF($AB45="","",IFERROR(IF(INDEX($AU$21:$AU$40,MATCH('02_Buyers'!$S42,$AS$21:$AS$40,0))="","",INDEX($AU$21:$AU$40,MATCH('02_Buyers'!$S42,$AS$21:$AS$40,0))),""))</f>
        <v/>
      </c>
      <c r="AO45" s="37">
        <f>IF($AB45="","",IFERROR(IF(INDEX($AV$21:$AV$40,MATCH('02_Buyers'!$S42,$AS$21:$AS$40,0))="","",INDEX($AV$21:$AV$40,MATCH('02_Buyers'!$S42,$AS$21:$AS$40,0))),""))</f>
        <v/>
      </c>
      <c r="AP45" s="37">
        <f>IF(OR($AB45="",$AN45="",$AO45=""),"",IF($AN45&gt;$AO45,"국가등급 하향 — 한도 재산정",""))</f>
        <v/>
      </c>
      <c r="AQ45" s="37">
        <f>IF($AH45="선적 보류",COUNTIF($AH$5:$AH45,"선적 보류"),"")</f>
        <v/>
      </c>
    </row>
    <row r="46">
      <c r="A46" t="inlineStr">
        <is>
          <t>INV-2608-0028</t>
        </is>
      </c>
      <c r="B46" t="inlineStr">
        <is>
          <t>B028</t>
        </is>
      </c>
      <c r="C46" t="inlineStr">
        <is>
          <t>JPN</t>
        </is>
      </c>
      <c r="D46" t="inlineStr">
        <is>
          <t>OA</t>
        </is>
      </c>
      <c r="E46" t="inlineStr">
        <is>
          <t>JPY</t>
        </is>
      </c>
      <c r="F46" t="inlineStr">
        <is>
          <t>Y</t>
        </is>
      </c>
      <c r="G46" s="32" t="n">
        <v>46241</v>
      </c>
      <c r="H46" s="32" t="n">
        <v>46331</v>
      </c>
      <c r="I46" s="82" t="n">
        <v>858000</v>
      </c>
      <c r="J46" s="82" t="n">
        <v>5458.71</v>
      </c>
      <c r="K46" t="inlineStr">
        <is>
          <t>N</t>
        </is>
      </c>
      <c r="L46" t="inlineStr">
        <is>
          <t>개별</t>
        </is>
      </c>
      <c r="N46" t="inlineStr">
        <is>
          <t>N</t>
        </is>
      </c>
      <c r="O46" s="37">
        <f>IF($A46="","",AsOf-$H46)</f>
        <v/>
      </c>
      <c r="P46" s="37">
        <f>IF($A46="","",IF($K46="Y","-",IF($O46&gt;=30,"D+30 최종통지·선적보류",IF($O46&gt;=15,"D+15 단호한 통지",IF($O46&gt;=7,"D+7 친절한 리마인더",IF(AND($O46&gt;=-3,$O46&lt;=-1),"D-3 사전 안내","모니터링"))))))</f>
        <v/>
      </c>
      <c r="Q46" s="83">
        <f>IF($A46="","",EDATE($H46,1))</f>
        <v/>
      </c>
      <c r="R46" s="37">
        <f>IF($A46="","",$Q46-AsOf)</f>
        <v/>
      </c>
      <c r="S46" s="37">
        <f>IF($A46="","",IF(OR($K46="Y",$F46&lt;&gt;"Y",$O46&lt;=0),"",IF($R46&lt;0,"통지 기한 경과 — 즉시 확인",IF($R46&lt;=NoticeWarnDays,"통지 기한 임박 — 사람 결정",""))))</f>
        <v/>
      </c>
      <c r="T46" s="83">
        <f>IF(OR($A46="",$F46&lt;&gt;"Y"),"",IF(IF($L46="",InsuranceType,$L46)="포괄",DATE(YEAR($G46),MONTH($G46)+1,20),WORKDAY($G46,10)))</f>
        <v/>
      </c>
      <c r="U46" s="83">
        <f>IF(OR($A46="",$M46=""),"",WORKDAY($M46,10))</f>
        <v/>
      </c>
      <c r="V46" s="37">
        <f>IF($A46="","",IF($N46="Y","사기 의심: 콜백 검증 전 대금 안내 중단",""))</f>
        <v/>
      </c>
      <c r="W46" s="37">
        <f>IF($A46="","",IF(AND($K46="N",$D46&lt;&gt;"LC_SIGHT",$D46&lt;&gt;"LC_USANCE",$D46&lt;&gt;"TT_ADV"),$O46,""))</f>
        <v/>
      </c>
      <c r="X46" s="37">
        <f>IF($A46="",0,IF(AND($K46="N",$D46&lt;&gt;"LC_SIGHT",$D46&lt;&gt;"LC_USANCE",$D46&lt;&gt;"TT_ADV",$O46&gt;=30),1,0))</f>
        <v/>
      </c>
      <c r="Y46" s="37">
        <f>IF($A46="","",IF($O46&lt;=0,"미연체",IF($O46&lt;=30,"1-30",IF($O46&lt;=90,"31-90",IF($O46&lt;=180,"91-180",IF($O46&lt;=365,"181-365","365+"))))))</f>
        <v/>
      </c>
      <c r="Z46" s="37">
        <f>IF($S46="통지 기한 임박 — 사람 결정",COUNTIF($S$5:$S46,"통지 기한 임박 — 사람 결정"),"")</f>
        <v/>
      </c>
      <c r="AB46" s="37">
        <f>IF('02_Buyers'!$A43="","",'02_Buyers'!$A43)</f>
        <v/>
      </c>
      <c r="AC46" s="37">
        <f>IF($AB46="","",'02_Buyers'!$AH43)</f>
        <v/>
      </c>
      <c r="AD46" s="37">
        <f>IF($AB46="","",COUNTIFS(inv_buyer,$AB46,inv_paid,"N"))</f>
        <v/>
      </c>
      <c r="AE46" s="40">
        <f>IF($AB46="","",SUMIFS(inv_usd,inv_buyer,$AB46,inv_paid,"N"))</f>
        <v/>
      </c>
      <c r="AF46" s="37">
        <f>IF($AB46="","",_xlfn.MAXIFS(inv_nonlc_dpd,inv_buyer,$AB46))</f>
        <v/>
      </c>
      <c r="AG46" s="37">
        <f>IF($AB46="","",COUNTIFS(inv_buyer,$AB46,inv_hold30,1))</f>
        <v/>
      </c>
      <c r="AH46" s="37">
        <f>IF($AB46="","",IF(OR($AC46=1,$AG46&gt;0),"선적 보류",""))</f>
        <v/>
      </c>
      <c r="AI46" s="37">
        <f>IF($AH46&lt;&gt;"선적 보류","","내부 에스컬레이션: 여신 한도 동결 제안(사람 승인)")</f>
        <v/>
      </c>
      <c r="AJ46" s="37">
        <f>IF($AB46="","",COUNTIFS(inv_buyer,$AB46,inv_alert,"통지 기한 임박*"))</f>
        <v/>
      </c>
      <c r="AK46" s="40">
        <f>IF($AB46="","",'10_LimitLP'!$F46)</f>
        <v/>
      </c>
      <c r="AL46" s="84">
        <f>IF(OR($AB46="",$AK46&lt;=0),"",$AE46/$AK46)</f>
        <v/>
      </c>
      <c r="AM46" s="37">
        <f>IF($AL46="","",IF($AL46&gt;=0.8,"사용률 80%↑ — 출고 전 사전승인(제18조)",""))</f>
        <v/>
      </c>
      <c r="AN46" s="37">
        <f>IF($AB46="","",IFERROR(IF(INDEX($AU$21:$AU$40,MATCH('02_Buyers'!$S43,$AS$21:$AS$40,0))="","",INDEX($AU$21:$AU$40,MATCH('02_Buyers'!$S43,$AS$21:$AS$40,0))),""))</f>
        <v/>
      </c>
      <c r="AO46" s="37">
        <f>IF($AB46="","",IFERROR(IF(INDEX($AV$21:$AV$40,MATCH('02_Buyers'!$S43,$AS$21:$AS$40,0))="","",INDEX($AV$21:$AV$40,MATCH('02_Buyers'!$S43,$AS$21:$AS$40,0))),""))</f>
        <v/>
      </c>
      <c r="AP46" s="37">
        <f>IF(OR($AB46="",$AN46="",$AO46=""),"",IF($AN46&gt;$AO46,"국가등급 하향 — 한도 재산정",""))</f>
        <v/>
      </c>
      <c r="AQ46" s="37">
        <f>IF($AH46="선적 보류",COUNTIF($AH$5:$AH46,"선적 보류"),"")</f>
        <v/>
      </c>
    </row>
    <row r="47">
      <c r="A47" t="inlineStr">
        <is>
          <t>INV-2608-0103</t>
        </is>
      </c>
      <c r="B47" t="inlineStr">
        <is>
          <t>B028</t>
        </is>
      </c>
      <c r="C47" t="inlineStr">
        <is>
          <t>JPN</t>
        </is>
      </c>
      <c r="D47" t="inlineStr">
        <is>
          <t>OA</t>
        </is>
      </c>
      <c r="E47" t="inlineStr">
        <is>
          <t>JPY</t>
        </is>
      </c>
      <c r="F47" t="inlineStr">
        <is>
          <t>Y</t>
        </is>
      </c>
      <c r="G47" s="32" t="n">
        <v>46256</v>
      </c>
      <c r="H47" s="32" t="n">
        <v>46346</v>
      </c>
      <c r="I47" s="82" t="n">
        <v>1465000</v>
      </c>
      <c r="J47" s="82" t="n">
        <v>9320.530000000001</v>
      </c>
      <c r="K47" t="inlineStr">
        <is>
          <t>N</t>
        </is>
      </c>
      <c r="L47" t="inlineStr">
        <is>
          <t>개별</t>
        </is>
      </c>
      <c r="N47" t="inlineStr">
        <is>
          <t>N</t>
        </is>
      </c>
      <c r="O47" s="37">
        <f>IF($A47="","",AsOf-$H47)</f>
        <v/>
      </c>
      <c r="P47" s="37">
        <f>IF($A47="","",IF($K47="Y","-",IF($O47&gt;=30,"D+30 최종통지·선적보류",IF($O47&gt;=15,"D+15 단호한 통지",IF($O47&gt;=7,"D+7 친절한 리마인더",IF(AND($O47&gt;=-3,$O47&lt;=-1),"D-3 사전 안내","모니터링"))))))</f>
        <v/>
      </c>
      <c r="Q47" s="83">
        <f>IF($A47="","",EDATE($H47,1))</f>
        <v/>
      </c>
      <c r="R47" s="37">
        <f>IF($A47="","",$Q47-AsOf)</f>
        <v/>
      </c>
      <c r="S47" s="37">
        <f>IF($A47="","",IF(OR($K47="Y",$F47&lt;&gt;"Y",$O47&lt;=0),"",IF($R47&lt;0,"통지 기한 경과 — 즉시 확인",IF($R47&lt;=NoticeWarnDays,"통지 기한 임박 — 사람 결정",""))))</f>
        <v/>
      </c>
      <c r="T47" s="83">
        <f>IF(OR($A47="",$F47&lt;&gt;"Y"),"",IF(IF($L47="",InsuranceType,$L47)="포괄",DATE(YEAR($G47),MONTH($G47)+1,20),WORKDAY($G47,10)))</f>
        <v/>
      </c>
      <c r="U47" s="83">
        <f>IF(OR($A47="",$M47=""),"",WORKDAY($M47,10))</f>
        <v/>
      </c>
      <c r="V47" s="37">
        <f>IF($A47="","",IF($N47="Y","사기 의심: 콜백 검증 전 대금 안내 중단",""))</f>
        <v/>
      </c>
      <c r="W47" s="37">
        <f>IF($A47="","",IF(AND($K47="N",$D47&lt;&gt;"LC_SIGHT",$D47&lt;&gt;"LC_USANCE",$D47&lt;&gt;"TT_ADV"),$O47,""))</f>
        <v/>
      </c>
      <c r="X47" s="37">
        <f>IF($A47="",0,IF(AND($K47="N",$D47&lt;&gt;"LC_SIGHT",$D47&lt;&gt;"LC_USANCE",$D47&lt;&gt;"TT_ADV",$O47&gt;=30),1,0))</f>
        <v/>
      </c>
      <c r="Y47" s="37">
        <f>IF($A47="","",IF($O47&lt;=0,"미연체",IF($O47&lt;=30,"1-30",IF($O47&lt;=90,"31-90",IF($O47&lt;=180,"91-180",IF($O47&lt;=365,"181-365","365+"))))))</f>
        <v/>
      </c>
      <c r="Z47" s="37">
        <f>IF($S47="통지 기한 임박 — 사람 결정",COUNTIF($S$5:$S47,"통지 기한 임박 — 사람 결정"),"")</f>
        <v/>
      </c>
      <c r="AB47" s="37">
        <f>IF('02_Buyers'!$A44="","",'02_Buyers'!$A44)</f>
        <v/>
      </c>
      <c r="AC47" s="37">
        <f>IF($AB47="","",'02_Buyers'!$AH44)</f>
        <v/>
      </c>
      <c r="AD47" s="37">
        <f>IF($AB47="","",COUNTIFS(inv_buyer,$AB47,inv_paid,"N"))</f>
        <v/>
      </c>
      <c r="AE47" s="40">
        <f>IF($AB47="","",SUMIFS(inv_usd,inv_buyer,$AB47,inv_paid,"N"))</f>
        <v/>
      </c>
      <c r="AF47" s="37">
        <f>IF($AB47="","",_xlfn.MAXIFS(inv_nonlc_dpd,inv_buyer,$AB47))</f>
        <v/>
      </c>
      <c r="AG47" s="37">
        <f>IF($AB47="","",COUNTIFS(inv_buyer,$AB47,inv_hold30,1))</f>
        <v/>
      </c>
      <c r="AH47" s="37">
        <f>IF($AB47="","",IF(OR($AC47=1,$AG47&gt;0),"선적 보류",""))</f>
        <v/>
      </c>
      <c r="AI47" s="37">
        <f>IF($AH47&lt;&gt;"선적 보류","","내부 에스컬레이션: 여신 한도 동결 제안(사람 승인)")</f>
        <v/>
      </c>
      <c r="AJ47" s="37">
        <f>IF($AB47="","",COUNTIFS(inv_buyer,$AB47,inv_alert,"통지 기한 임박*"))</f>
        <v/>
      </c>
      <c r="AK47" s="40">
        <f>IF($AB47="","",'10_LimitLP'!$F47)</f>
        <v/>
      </c>
      <c r="AL47" s="84">
        <f>IF(OR($AB47="",$AK47&lt;=0),"",$AE47/$AK47)</f>
        <v/>
      </c>
      <c r="AM47" s="37">
        <f>IF($AL47="","",IF($AL47&gt;=0.8,"사용률 80%↑ — 출고 전 사전승인(제18조)",""))</f>
        <v/>
      </c>
      <c r="AN47" s="37">
        <f>IF($AB47="","",IFERROR(IF(INDEX($AU$21:$AU$40,MATCH('02_Buyers'!$S44,$AS$21:$AS$40,0))="","",INDEX($AU$21:$AU$40,MATCH('02_Buyers'!$S44,$AS$21:$AS$40,0))),""))</f>
        <v/>
      </c>
      <c r="AO47" s="37">
        <f>IF($AB47="","",IFERROR(IF(INDEX($AV$21:$AV$40,MATCH('02_Buyers'!$S44,$AS$21:$AS$40,0))="","",INDEX($AV$21:$AV$40,MATCH('02_Buyers'!$S44,$AS$21:$AS$40,0))),""))</f>
        <v/>
      </c>
      <c r="AP47" s="37">
        <f>IF(OR($AB47="",$AN47="",$AO47=""),"",IF($AN47&gt;$AO47,"국가등급 하향 — 한도 재산정",""))</f>
        <v/>
      </c>
      <c r="AQ47" s="37">
        <f>IF($AH47="선적 보류",COUNTIF($AH$5:$AH47,"선적 보류"),"")</f>
        <v/>
      </c>
    </row>
    <row r="48">
      <c r="A48" t="inlineStr">
        <is>
          <t>INV-2608-0112</t>
        </is>
      </c>
      <c r="B48" t="inlineStr">
        <is>
          <t>B028</t>
        </is>
      </c>
      <c r="C48" t="inlineStr">
        <is>
          <t>JPN</t>
        </is>
      </c>
      <c r="D48" t="inlineStr">
        <is>
          <t>OA</t>
        </is>
      </c>
      <c r="E48" t="inlineStr">
        <is>
          <t>JPY</t>
        </is>
      </c>
      <c r="F48" t="inlineStr">
        <is>
          <t>Y</t>
        </is>
      </c>
      <c r="G48" s="32" t="n">
        <v>46257</v>
      </c>
      <c r="H48" s="32" t="n">
        <v>46347</v>
      </c>
      <c r="I48" s="82" t="n">
        <v>4600000</v>
      </c>
      <c r="J48" s="82" t="n">
        <v>29265.82</v>
      </c>
      <c r="K48" t="inlineStr">
        <is>
          <t>N</t>
        </is>
      </c>
      <c r="L48" t="inlineStr">
        <is>
          <t>개별</t>
        </is>
      </c>
      <c r="N48" t="inlineStr">
        <is>
          <t>N</t>
        </is>
      </c>
      <c r="O48" s="37">
        <f>IF($A48="","",AsOf-$H48)</f>
        <v/>
      </c>
      <c r="P48" s="37">
        <f>IF($A48="","",IF($K48="Y","-",IF($O48&gt;=30,"D+30 최종통지·선적보류",IF($O48&gt;=15,"D+15 단호한 통지",IF($O48&gt;=7,"D+7 친절한 리마인더",IF(AND($O48&gt;=-3,$O48&lt;=-1),"D-3 사전 안내","모니터링"))))))</f>
        <v/>
      </c>
      <c r="Q48" s="83">
        <f>IF($A48="","",EDATE($H48,1))</f>
        <v/>
      </c>
      <c r="R48" s="37">
        <f>IF($A48="","",$Q48-AsOf)</f>
        <v/>
      </c>
      <c r="S48" s="37">
        <f>IF($A48="","",IF(OR($K48="Y",$F48&lt;&gt;"Y",$O48&lt;=0),"",IF($R48&lt;0,"통지 기한 경과 — 즉시 확인",IF($R48&lt;=NoticeWarnDays,"통지 기한 임박 — 사람 결정",""))))</f>
        <v/>
      </c>
      <c r="T48" s="83">
        <f>IF(OR($A48="",$F48&lt;&gt;"Y"),"",IF(IF($L48="",InsuranceType,$L48)="포괄",DATE(YEAR($G48),MONTH($G48)+1,20),WORKDAY($G48,10)))</f>
        <v/>
      </c>
      <c r="U48" s="83">
        <f>IF(OR($A48="",$M48=""),"",WORKDAY($M48,10))</f>
        <v/>
      </c>
      <c r="V48" s="37">
        <f>IF($A48="","",IF($N48="Y","사기 의심: 콜백 검증 전 대금 안내 중단",""))</f>
        <v/>
      </c>
      <c r="W48" s="37">
        <f>IF($A48="","",IF(AND($K48="N",$D48&lt;&gt;"LC_SIGHT",$D48&lt;&gt;"LC_USANCE",$D48&lt;&gt;"TT_ADV"),$O48,""))</f>
        <v/>
      </c>
      <c r="X48" s="37">
        <f>IF($A48="",0,IF(AND($K48="N",$D48&lt;&gt;"LC_SIGHT",$D48&lt;&gt;"LC_USANCE",$D48&lt;&gt;"TT_ADV",$O48&gt;=30),1,0))</f>
        <v/>
      </c>
      <c r="Y48" s="37">
        <f>IF($A48="","",IF($O48&lt;=0,"미연체",IF($O48&lt;=30,"1-30",IF($O48&lt;=90,"31-90",IF($O48&lt;=180,"91-180",IF($O48&lt;=365,"181-365","365+"))))))</f>
        <v/>
      </c>
      <c r="Z48" s="37">
        <f>IF($S48="통지 기한 임박 — 사람 결정",COUNTIF($S$5:$S48,"통지 기한 임박 — 사람 결정"),"")</f>
        <v/>
      </c>
      <c r="AB48" s="37">
        <f>IF('02_Buyers'!$A45="","",'02_Buyers'!$A45)</f>
        <v/>
      </c>
      <c r="AC48" s="37">
        <f>IF($AB48="","",'02_Buyers'!$AH45)</f>
        <v/>
      </c>
      <c r="AD48" s="37">
        <f>IF($AB48="","",COUNTIFS(inv_buyer,$AB48,inv_paid,"N"))</f>
        <v/>
      </c>
      <c r="AE48" s="40">
        <f>IF($AB48="","",SUMIFS(inv_usd,inv_buyer,$AB48,inv_paid,"N"))</f>
        <v/>
      </c>
      <c r="AF48" s="37">
        <f>IF($AB48="","",_xlfn.MAXIFS(inv_nonlc_dpd,inv_buyer,$AB48))</f>
        <v/>
      </c>
      <c r="AG48" s="37">
        <f>IF($AB48="","",COUNTIFS(inv_buyer,$AB48,inv_hold30,1))</f>
        <v/>
      </c>
      <c r="AH48" s="37">
        <f>IF($AB48="","",IF(OR($AC48=1,$AG48&gt;0),"선적 보류",""))</f>
        <v/>
      </c>
      <c r="AI48" s="37">
        <f>IF($AH48&lt;&gt;"선적 보류","","내부 에스컬레이션: 여신 한도 동결 제안(사람 승인)")</f>
        <v/>
      </c>
      <c r="AJ48" s="37">
        <f>IF($AB48="","",COUNTIFS(inv_buyer,$AB48,inv_alert,"통지 기한 임박*"))</f>
        <v/>
      </c>
      <c r="AK48" s="40">
        <f>IF($AB48="","",'10_LimitLP'!$F48)</f>
        <v/>
      </c>
      <c r="AL48" s="84">
        <f>IF(OR($AB48="",$AK48&lt;=0),"",$AE48/$AK48)</f>
        <v/>
      </c>
      <c r="AM48" s="37">
        <f>IF($AL48="","",IF($AL48&gt;=0.8,"사용률 80%↑ — 출고 전 사전승인(제18조)",""))</f>
        <v/>
      </c>
      <c r="AN48" s="37">
        <f>IF($AB48="","",IFERROR(IF(INDEX($AU$21:$AU$40,MATCH('02_Buyers'!$S45,$AS$21:$AS$40,0))="","",INDEX($AU$21:$AU$40,MATCH('02_Buyers'!$S45,$AS$21:$AS$40,0))),""))</f>
        <v/>
      </c>
      <c r="AO48" s="37">
        <f>IF($AB48="","",IFERROR(IF(INDEX($AV$21:$AV$40,MATCH('02_Buyers'!$S45,$AS$21:$AS$40,0))="","",INDEX($AV$21:$AV$40,MATCH('02_Buyers'!$S45,$AS$21:$AS$40,0))),""))</f>
        <v/>
      </c>
      <c r="AP48" s="37">
        <f>IF(OR($AB48="",$AN48="",$AO48=""),"",IF($AN48&gt;$AO48,"국가등급 하향 — 한도 재산정",""))</f>
        <v/>
      </c>
      <c r="AQ48" s="37">
        <f>IF($AH48="선적 보류",COUNTIF($AH$5:$AH48,"선적 보류"),"")</f>
        <v/>
      </c>
    </row>
    <row r="49">
      <c r="A49" t="inlineStr">
        <is>
          <t>INV-2608-0118</t>
        </is>
      </c>
      <c r="B49" t="inlineStr">
        <is>
          <t>B028</t>
        </is>
      </c>
      <c r="C49" t="inlineStr">
        <is>
          <t>JPN</t>
        </is>
      </c>
      <c r="D49" t="inlineStr">
        <is>
          <t>OA</t>
        </is>
      </c>
      <c r="E49" t="inlineStr">
        <is>
          <t>JPY</t>
        </is>
      </c>
      <c r="F49" t="inlineStr">
        <is>
          <t>Y</t>
        </is>
      </c>
      <c r="G49" s="32" t="n">
        <v>46258</v>
      </c>
      <c r="H49" s="32" t="n">
        <v>46348</v>
      </c>
      <c r="I49" s="82" t="n">
        <v>829000</v>
      </c>
      <c r="J49" s="82" t="n">
        <v>5274.21</v>
      </c>
      <c r="K49" t="inlineStr">
        <is>
          <t>N</t>
        </is>
      </c>
      <c r="L49" t="inlineStr">
        <is>
          <t>개별</t>
        </is>
      </c>
      <c r="N49" t="inlineStr">
        <is>
          <t>N</t>
        </is>
      </c>
      <c r="O49" s="37">
        <f>IF($A49="","",AsOf-$H49)</f>
        <v/>
      </c>
      <c r="P49" s="37">
        <f>IF($A49="","",IF($K49="Y","-",IF($O49&gt;=30,"D+30 최종통지·선적보류",IF($O49&gt;=15,"D+15 단호한 통지",IF($O49&gt;=7,"D+7 친절한 리마인더",IF(AND($O49&gt;=-3,$O49&lt;=-1),"D-3 사전 안내","모니터링"))))))</f>
        <v/>
      </c>
      <c r="Q49" s="83">
        <f>IF($A49="","",EDATE($H49,1))</f>
        <v/>
      </c>
      <c r="R49" s="37">
        <f>IF($A49="","",$Q49-AsOf)</f>
        <v/>
      </c>
      <c r="S49" s="37">
        <f>IF($A49="","",IF(OR($K49="Y",$F49&lt;&gt;"Y",$O49&lt;=0),"",IF($R49&lt;0,"통지 기한 경과 — 즉시 확인",IF($R49&lt;=NoticeWarnDays,"통지 기한 임박 — 사람 결정",""))))</f>
        <v/>
      </c>
      <c r="T49" s="83">
        <f>IF(OR($A49="",$F49&lt;&gt;"Y"),"",IF(IF($L49="",InsuranceType,$L49)="포괄",DATE(YEAR($G49),MONTH($G49)+1,20),WORKDAY($G49,10)))</f>
        <v/>
      </c>
      <c r="U49" s="83">
        <f>IF(OR($A49="",$M49=""),"",WORKDAY($M49,10))</f>
        <v/>
      </c>
      <c r="V49" s="37">
        <f>IF($A49="","",IF($N49="Y","사기 의심: 콜백 검증 전 대금 안내 중단",""))</f>
        <v/>
      </c>
      <c r="W49" s="37">
        <f>IF($A49="","",IF(AND($K49="N",$D49&lt;&gt;"LC_SIGHT",$D49&lt;&gt;"LC_USANCE",$D49&lt;&gt;"TT_ADV"),$O49,""))</f>
        <v/>
      </c>
      <c r="X49" s="37">
        <f>IF($A49="",0,IF(AND($K49="N",$D49&lt;&gt;"LC_SIGHT",$D49&lt;&gt;"LC_USANCE",$D49&lt;&gt;"TT_ADV",$O49&gt;=30),1,0))</f>
        <v/>
      </c>
      <c r="Y49" s="37">
        <f>IF($A49="","",IF($O49&lt;=0,"미연체",IF($O49&lt;=30,"1-30",IF($O49&lt;=90,"31-90",IF($O49&lt;=180,"91-180",IF($O49&lt;=365,"181-365","365+"))))))</f>
        <v/>
      </c>
      <c r="Z49" s="37">
        <f>IF($S49="통지 기한 임박 — 사람 결정",COUNTIF($S$5:$S49,"통지 기한 임박 — 사람 결정"),"")</f>
        <v/>
      </c>
      <c r="AB49" s="37">
        <f>IF('02_Buyers'!$A46="","",'02_Buyers'!$A46)</f>
        <v/>
      </c>
      <c r="AC49" s="37">
        <f>IF($AB49="","",'02_Buyers'!$AH46)</f>
        <v/>
      </c>
      <c r="AD49" s="37">
        <f>IF($AB49="","",COUNTIFS(inv_buyer,$AB49,inv_paid,"N"))</f>
        <v/>
      </c>
      <c r="AE49" s="40">
        <f>IF($AB49="","",SUMIFS(inv_usd,inv_buyer,$AB49,inv_paid,"N"))</f>
        <v/>
      </c>
      <c r="AF49" s="37">
        <f>IF($AB49="","",_xlfn.MAXIFS(inv_nonlc_dpd,inv_buyer,$AB49))</f>
        <v/>
      </c>
      <c r="AG49" s="37">
        <f>IF($AB49="","",COUNTIFS(inv_buyer,$AB49,inv_hold30,1))</f>
        <v/>
      </c>
      <c r="AH49" s="37">
        <f>IF($AB49="","",IF(OR($AC49=1,$AG49&gt;0),"선적 보류",""))</f>
        <v/>
      </c>
      <c r="AI49" s="37">
        <f>IF($AH49&lt;&gt;"선적 보류","","내부 에스컬레이션: 여신 한도 동결 제안(사람 승인)")</f>
        <v/>
      </c>
      <c r="AJ49" s="37">
        <f>IF($AB49="","",COUNTIFS(inv_buyer,$AB49,inv_alert,"통지 기한 임박*"))</f>
        <v/>
      </c>
      <c r="AK49" s="40">
        <f>IF($AB49="","",'10_LimitLP'!$F49)</f>
        <v/>
      </c>
      <c r="AL49" s="84">
        <f>IF(OR($AB49="",$AK49&lt;=0),"",$AE49/$AK49)</f>
        <v/>
      </c>
      <c r="AM49" s="37">
        <f>IF($AL49="","",IF($AL49&gt;=0.8,"사용률 80%↑ — 출고 전 사전승인(제18조)",""))</f>
        <v/>
      </c>
      <c r="AN49" s="37">
        <f>IF($AB49="","",IFERROR(IF(INDEX($AU$21:$AU$40,MATCH('02_Buyers'!$S46,$AS$21:$AS$40,0))="","",INDEX($AU$21:$AU$40,MATCH('02_Buyers'!$S46,$AS$21:$AS$40,0))),""))</f>
        <v/>
      </c>
      <c r="AO49" s="37">
        <f>IF($AB49="","",IFERROR(IF(INDEX($AV$21:$AV$40,MATCH('02_Buyers'!$S46,$AS$21:$AS$40,0))="","",INDEX($AV$21:$AV$40,MATCH('02_Buyers'!$S46,$AS$21:$AS$40,0))),""))</f>
        <v/>
      </c>
      <c r="AP49" s="37">
        <f>IF(OR($AB49="",$AN49="",$AO49=""),"",IF($AN49&gt;$AO49,"국가등급 하향 — 한도 재산정",""))</f>
        <v/>
      </c>
      <c r="AQ49" s="37">
        <f>IF($AH49="선적 보류",COUNTIF($AH$5:$AH49,"선적 보류"),"")</f>
        <v/>
      </c>
    </row>
    <row r="50">
      <c r="A50" t="inlineStr">
        <is>
          <t>INV-2609-0041</t>
        </is>
      </c>
      <c r="B50" t="inlineStr">
        <is>
          <t>B028</t>
        </is>
      </c>
      <c r="C50" t="inlineStr">
        <is>
          <t>JPN</t>
        </is>
      </c>
      <c r="D50" t="inlineStr">
        <is>
          <t>OA</t>
        </is>
      </c>
      <c r="E50" t="inlineStr">
        <is>
          <t>JPY</t>
        </is>
      </c>
      <c r="F50" t="inlineStr">
        <is>
          <t>Y</t>
        </is>
      </c>
      <c r="G50" s="32" t="n">
        <v>46272</v>
      </c>
      <c r="H50" s="32" t="n">
        <v>46362</v>
      </c>
      <c r="I50" s="82" t="n">
        <v>3286000</v>
      </c>
      <c r="J50" s="82" t="n">
        <v>20905.98</v>
      </c>
      <c r="K50" t="inlineStr">
        <is>
          <t>N</t>
        </is>
      </c>
      <c r="L50" t="inlineStr">
        <is>
          <t>개별</t>
        </is>
      </c>
      <c r="N50" t="inlineStr">
        <is>
          <t>N</t>
        </is>
      </c>
      <c r="O50" s="37">
        <f>IF($A50="","",AsOf-$H50)</f>
        <v/>
      </c>
      <c r="P50" s="37">
        <f>IF($A50="","",IF($K50="Y","-",IF($O50&gt;=30,"D+30 최종통지·선적보류",IF($O50&gt;=15,"D+15 단호한 통지",IF($O50&gt;=7,"D+7 친절한 리마인더",IF(AND($O50&gt;=-3,$O50&lt;=-1),"D-3 사전 안내","모니터링"))))))</f>
        <v/>
      </c>
      <c r="Q50" s="83">
        <f>IF($A50="","",EDATE($H50,1))</f>
        <v/>
      </c>
      <c r="R50" s="37">
        <f>IF($A50="","",$Q50-AsOf)</f>
        <v/>
      </c>
      <c r="S50" s="37">
        <f>IF($A50="","",IF(OR($K50="Y",$F50&lt;&gt;"Y",$O50&lt;=0),"",IF($R50&lt;0,"통지 기한 경과 — 즉시 확인",IF($R50&lt;=NoticeWarnDays,"통지 기한 임박 — 사람 결정",""))))</f>
        <v/>
      </c>
      <c r="T50" s="83">
        <f>IF(OR($A50="",$F50&lt;&gt;"Y"),"",IF(IF($L50="",InsuranceType,$L50)="포괄",DATE(YEAR($G50),MONTH($G50)+1,20),WORKDAY($G50,10)))</f>
        <v/>
      </c>
      <c r="U50" s="83">
        <f>IF(OR($A50="",$M50=""),"",WORKDAY($M50,10))</f>
        <v/>
      </c>
      <c r="V50" s="37">
        <f>IF($A50="","",IF($N50="Y","사기 의심: 콜백 검증 전 대금 안내 중단",""))</f>
        <v/>
      </c>
      <c r="W50" s="37">
        <f>IF($A50="","",IF(AND($K50="N",$D50&lt;&gt;"LC_SIGHT",$D50&lt;&gt;"LC_USANCE",$D50&lt;&gt;"TT_ADV"),$O50,""))</f>
        <v/>
      </c>
      <c r="X50" s="37">
        <f>IF($A50="",0,IF(AND($K50="N",$D50&lt;&gt;"LC_SIGHT",$D50&lt;&gt;"LC_USANCE",$D50&lt;&gt;"TT_ADV",$O50&gt;=30),1,0))</f>
        <v/>
      </c>
      <c r="Y50" s="37">
        <f>IF($A50="","",IF($O50&lt;=0,"미연체",IF($O50&lt;=30,"1-30",IF($O50&lt;=90,"31-90",IF($O50&lt;=180,"91-180",IF($O50&lt;=365,"181-365","365+"))))))</f>
        <v/>
      </c>
      <c r="Z50" s="37">
        <f>IF($S50="통지 기한 임박 — 사람 결정",COUNTIF($S$5:$S50,"통지 기한 임박 — 사람 결정"),"")</f>
        <v/>
      </c>
      <c r="AB50" s="37">
        <f>IF('02_Buyers'!$A47="","",'02_Buyers'!$A47)</f>
        <v/>
      </c>
      <c r="AC50" s="37">
        <f>IF($AB50="","",'02_Buyers'!$AH47)</f>
        <v/>
      </c>
      <c r="AD50" s="37">
        <f>IF($AB50="","",COUNTIFS(inv_buyer,$AB50,inv_paid,"N"))</f>
        <v/>
      </c>
      <c r="AE50" s="40">
        <f>IF($AB50="","",SUMIFS(inv_usd,inv_buyer,$AB50,inv_paid,"N"))</f>
        <v/>
      </c>
      <c r="AF50" s="37">
        <f>IF($AB50="","",_xlfn.MAXIFS(inv_nonlc_dpd,inv_buyer,$AB50))</f>
        <v/>
      </c>
      <c r="AG50" s="37">
        <f>IF($AB50="","",COUNTIFS(inv_buyer,$AB50,inv_hold30,1))</f>
        <v/>
      </c>
      <c r="AH50" s="37">
        <f>IF($AB50="","",IF(OR($AC50=1,$AG50&gt;0),"선적 보류",""))</f>
        <v/>
      </c>
      <c r="AI50" s="37">
        <f>IF($AH50&lt;&gt;"선적 보류","","내부 에스컬레이션: 여신 한도 동결 제안(사람 승인)")</f>
        <v/>
      </c>
      <c r="AJ50" s="37">
        <f>IF($AB50="","",COUNTIFS(inv_buyer,$AB50,inv_alert,"통지 기한 임박*"))</f>
        <v/>
      </c>
      <c r="AK50" s="40">
        <f>IF($AB50="","",'10_LimitLP'!$F50)</f>
        <v/>
      </c>
      <c r="AL50" s="84">
        <f>IF(OR($AB50="",$AK50&lt;=0),"",$AE50/$AK50)</f>
        <v/>
      </c>
      <c r="AM50" s="37">
        <f>IF($AL50="","",IF($AL50&gt;=0.8,"사용률 80%↑ — 출고 전 사전승인(제18조)",""))</f>
        <v/>
      </c>
      <c r="AN50" s="37">
        <f>IF($AB50="","",IFERROR(IF(INDEX($AU$21:$AU$40,MATCH('02_Buyers'!$S47,$AS$21:$AS$40,0))="","",INDEX($AU$21:$AU$40,MATCH('02_Buyers'!$S47,$AS$21:$AS$40,0))),""))</f>
        <v/>
      </c>
      <c r="AO50" s="37">
        <f>IF($AB50="","",IFERROR(IF(INDEX($AV$21:$AV$40,MATCH('02_Buyers'!$S47,$AS$21:$AS$40,0))="","",INDEX($AV$21:$AV$40,MATCH('02_Buyers'!$S47,$AS$21:$AS$40,0))),""))</f>
        <v/>
      </c>
      <c r="AP50" s="37">
        <f>IF(OR($AB50="",$AN50="",$AO50=""),"",IF($AN50&gt;$AO50,"국가등급 하향 — 한도 재산정",""))</f>
        <v/>
      </c>
      <c r="AQ50" s="37">
        <f>IF($AH50="선적 보류",COUNTIF($AH$5:$AH50,"선적 보류"),"")</f>
        <v/>
      </c>
    </row>
    <row r="51">
      <c r="A51" t="inlineStr">
        <is>
          <t>INV-2609-0050</t>
        </is>
      </c>
      <c r="B51" t="inlineStr">
        <is>
          <t>B028</t>
        </is>
      </c>
      <c r="C51" t="inlineStr">
        <is>
          <t>JPN</t>
        </is>
      </c>
      <c r="D51" t="inlineStr">
        <is>
          <t>OA</t>
        </is>
      </c>
      <c r="E51" t="inlineStr">
        <is>
          <t>JPY</t>
        </is>
      </c>
      <c r="F51" t="inlineStr">
        <is>
          <t>Y</t>
        </is>
      </c>
      <c r="G51" s="32" t="n">
        <v>46274</v>
      </c>
      <c r="H51" s="32" t="n">
        <v>46364</v>
      </c>
      <c r="I51" s="82" t="n">
        <v>1730000</v>
      </c>
      <c r="J51" s="82" t="n">
        <v>11006.49</v>
      </c>
      <c r="K51" t="inlineStr">
        <is>
          <t>N</t>
        </is>
      </c>
      <c r="L51" t="inlineStr">
        <is>
          <t>개별</t>
        </is>
      </c>
      <c r="N51" t="inlineStr">
        <is>
          <t>N</t>
        </is>
      </c>
      <c r="O51" s="37">
        <f>IF($A51="","",AsOf-$H51)</f>
        <v/>
      </c>
      <c r="P51" s="37">
        <f>IF($A51="","",IF($K51="Y","-",IF($O51&gt;=30,"D+30 최종통지·선적보류",IF($O51&gt;=15,"D+15 단호한 통지",IF($O51&gt;=7,"D+7 친절한 리마인더",IF(AND($O51&gt;=-3,$O51&lt;=-1),"D-3 사전 안내","모니터링"))))))</f>
        <v/>
      </c>
      <c r="Q51" s="83">
        <f>IF($A51="","",EDATE($H51,1))</f>
        <v/>
      </c>
      <c r="R51" s="37">
        <f>IF($A51="","",$Q51-AsOf)</f>
        <v/>
      </c>
      <c r="S51" s="37">
        <f>IF($A51="","",IF(OR($K51="Y",$F51&lt;&gt;"Y",$O51&lt;=0),"",IF($R51&lt;0,"통지 기한 경과 — 즉시 확인",IF($R51&lt;=NoticeWarnDays,"통지 기한 임박 — 사람 결정",""))))</f>
        <v/>
      </c>
      <c r="T51" s="83">
        <f>IF(OR($A51="",$F51&lt;&gt;"Y"),"",IF(IF($L51="",InsuranceType,$L51)="포괄",DATE(YEAR($G51),MONTH($G51)+1,20),WORKDAY($G51,10)))</f>
        <v/>
      </c>
      <c r="U51" s="83">
        <f>IF(OR($A51="",$M51=""),"",WORKDAY($M51,10))</f>
        <v/>
      </c>
      <c r="V51" s="37">
        <f>IF($A51="","",IF($N51="Y","사기 의심: 콜백 검증 전 대금 안내 중단",""))</f>
        <v/>
      </c>
      <c r="W51" s="37">
        <f>IF($A51="","",IF(AND($K51="N",$D51&lt;&gt;"LC_SIGHT",$D51&lt;&gt;"LC_USANCE",$D51&lt;&gt;"TT_ADV"),$O51,""))</f>
        <v/>
      </c>
      <c r="X51" s="37">
        <f>IF($A51="",0,IF(AND($K51="N",$D51&lt;&gt;"LC_SIGHT",$D51&lt;&gt;"LC_USANCE",$D51&lt;&gt;"TT_ADV",$O51&gt;=30),1,0))</f>
        <v/>
      </c>
      <c r="Y51" s="37">
        <f>IF($A51="","",IF($O51&lt;=0,"미연체",IF($O51&lt;=30,"1-30",IF($O51&lt;=90,"31-90",IF($O51&lt;=180,"91-180",IF($O51&lt;=365,"181-365","365+"))))))</f>
        <v/>
      </c>
      <c r="Z51" s="37">
        <f>IF($S51="통지 기한 임박 — 사람 결정",COUNTIF($S$5:$S51,"통지 기한 임박 — 사람 결정"),"")</f>
        <v/>
      </c>
      <c r="AB51" s="37">
        <f>IF('02_Buyers'!$A48="","",'02_Buyers'!$A48)</f>
        <v/>
      </c>
      <c r="AC51" s="37">
        <f>IF($AB51="","",'02_Buyers'!$AH48)</f>
        <v/>
      </c>
      <c r="AD51" s="37">
        <f>IF($AB51="","",COUNTIFS(inv_buyer,$AB51,inv_paid,"N"))</f>
        <v/>
      </c>
      <c r="AE51" s="40">
        <f>IF($AB51="","",SUMIFS(inv_usd,inv_buyer,$AB51,inv_paid,"N"))</f>
        <v/>
      </c>
      <c r="AF51" s="37">
        <f>IF($AB51="","",_xlfn.MAXIFS(inv_nonlc_dpd,inv_buyer,$AB51))</f>
        <v/>
      </c>
      <c r="AG51" s="37">
        <f>IF($AB51="","",COUNTIFS(inv_buyer,$AB51,inv_hold30,1))</f>
        <v/>
      </c>
      <c r="AH51" s="37">
        <f>IF($AB51="","",IF(OR($AC51=1,$AG51&gt;0),"선적 보류",""))</f>
        <v/>
      </c>
      <c r="AI51" s="37">
        <f>IF($AH51&lt;&gt;"선적 보류","","내부 에스컬레이션: 여신 한도 동결 제안(사람 승인)")</f>
        <v/>
      </c>
      <c r="AJ51" s="37">
        <f>IF($AB51="","",COUNTIFS(inv_buyer,$AB51,inv_alert,"통지 기한 임박*"))</f>
        <v/>
      </c>
      <c r="AK51" s="40">
        <f>IF($AB51="","",'10_LimitLP'!$F51)</f>
        <v/>
      </c>
      <c r="AL51" s="84">
        <f>IF(OR($AB51="",$AK51&lt;=0),"",$AE51/$AK51)</f>
        <v/>
      </c>
      <c r="AM51" s="37">
        <f>IF($AL51="","",IF($AL51&gt;=0.8,"사용률 80%↑ — 출고 전 사전승인(제18조)",""))</f>
        <v/>
      </c>
      <c r="AN51" s="37">
        <f>IF($AB51="","",IFERROR(IF(INDEX($AU$21:$AU$40,MATCH('02_Buyers'!$S48,$AS$21:$AS$40,0))="","",INDEX($AU$21:$AU$40,MATCH('02_Buyers'!$S48,$AS$21:$AS$40,0))),""))</f>
        <v/>
      </c>
      <c r="AO51" s="37">
        <f>IF($AB51="","",IFERROR(IF(INDEX($AV$21:$AV$40,MATCH('02_Buyers'!$S48,$AS$21:$AS$40,0))="","",INDEX($AV$21:$AV$40,MATCH('02_Buyers'!$S48,$AS$21:$AS$40,0))),""))</f>
        <v/>
      </c>
      <c r="AP51" s="37">
        <f>IF(OR($AB51="",$AN51="",$AO51=""),"",IF($AN51&gt;$AO51,"국가등급 하향 — 한도 재산정",""))</f>
        <v/>
      </c>
      <c r="AQ51" s="37">
        <f>IF($AH51="선적 보류",COUNTIF($AH$5:$AH51,"선적 보류"),"")</f>
        <v/>
      </c>
    </row>
    <row r="52">
      <c r="A52" t="inlineStr">
        <is>
          <t>INV-2609-0069</t>
        </is>
      </c>
      <c r="B52" t="inlineStr">
        <is>
          <t>B028</t>
        </is>
      </c>
      <c r="C52" t="inlineStr">
        <is>
          <t>JPN</t>
        </is>
      </c>
      <c r="D52" t="inlineStr">
        <is>
          <t>OA</t>
        </is>
      </c>
      <c r="E52" t="inlineStr">
        <is>
          <t>JPY</t>
        </is>
      </c>
      <c r="F52" t="inlineStr">
        <is>
          <t>Y</t>
        </is>
      </c>
      <c r="G52" s="32" t="n">
        <v>46278</v>
      </c>
      <c r="H52" s="32" t="n">
        <v>46368</v>
      </c>
      <c r="I52" s="82" t="n">
        <v>1483000</v>
      </c>
      <c r="J52" s="82" t="n">
        <v>9435.049999999999</v>
      </c>
      <c r="K52" t="inlineStr">
        <is>
          <t>N</t>
        </is>
      </c>
      <c r="L52" t="inlineStr">
        <is>
          <t>개별</t>
        </is>
      </c>
      <c r="N52" t="inlineStr">
        <is>
          <t>N</t>
        </is>
      </c>
      <c r="O52" s="37">
        <f>IF($A52="","",AsOf-$H52)</f>
        <v/>
      </c>
      <c r="P52" s="37">
        <f>IF($A52="","",IF($K52="Y","-",IF($O52&gt;=30,"D+30 최종통지·선적보류",IF($O52&gt;=15,"D+15 단호한 통지",IF($O52&gt;=7,"D+7 친절한 리마인더",IF(AND($O52&gt;=-3,$O52&lt;=-1),"D-3 사전 안내","모니터링"))))))</f>
        <v/>
      </c>
      <c r="Q52" s="83">
        <f>IF($A52="","",EDATE($H52,1))</f>
        <v/>
      </c>
      <c r="R52" s="37">
        <f>IF($A52="","",$Q52-AsOf)</f>
        <v/>
      </c>
      <c r="S52" s="37">
        <f>IF($A52="","",IF(OR($K52="Y",$F52&lt;&gt;"Y",$O52&lt;=0),"",IF($R52&lt;0,"통지 기한 경과 — 즉시 확인",IF($R52&lt;=NoticeWarnDays,"통지 기한 임박 — 사람 결정",""))))</f>
        <v/>
      </c>
      <c r="T52" s="83">
        <f>IF(OR($A52="",$F52&lt;&gt;"Y"),"",IF(IF($L52="",InsuranceType,$L52)="포괄",DATE(YEAR($G52),MONTH($G52)+1,20),WORKDAY($G52,10)))</f>
        <v/>
      </c>
      <c r="U52" s="83">
        <f>IF(OR($A52="",$M52=""),"",WORKDAY($M52,10))</f>
        <v/>
      </c>
      <c r="V52" s="37">
        <f>IF($A52="","",IF($N52="Y","사기 의심: 콜백 검증 전 대금 안내 중단",""))</f>
        <v/>
      </c>
      <c r="W52" s="37">
        <f>IF($A52="","",IF(AND($K52="N",$D52&lt;&gt;"LC_SIGHT",$D52&lt;&gt;"LC_USANCE",$D52&lt;&gt;"TT_ADV"),$O52,""))</f>
        <v/>
      </c>
      <c r="X52" s="37">
        <f>IF($A52="",0,IF(AND($K52="N",$D52&lt;&gt;"LC_SIGHT",$D52&lt;&gt;"LC_USANCE",$D52&lt;&gt;"TT_ADV",$O52&gt;=30),1,0))</f>
        <v/>
      </c>
      <c r="Y52" s="37">
        <f>IF($A52="","",IF($O52&lt;=0,"미연체",IF($O52&lt;=30,"1-30",IF($O52&lt;=90,"31-90",IF($O52&lt;=180,"91-180",IF($O52&lt;=365,"181-365","365+"))))))</f>
        <v/>
      </c>
      <c r="Z52" s="37">
        <f>IF($S52="통지 기한 임박 — 사람 결정",COUNTIF($S$5:$S52,"통지 기한 임박 — 사람 결정"),"")</f>
        <v/>
      </c>
      <c r="AB52" s="37">
        <f>IF('02_Buyers'!$A49="","",'02_Buyers'!$A49)</f>
        <v/>
      </c>
      <c r="AC52" s="37">
        <f>IF($AB52="","",'02_Buyers'!$AH49)</f>
        <v/>
      </c>
      <c r="AD52" s="37">
        <f>IF($AB52="","",COUNTIFS(inv_buyer,$AB52,inv_paid,"N"))</f>
        <v/>
      </c>
      <c r="AE52" s="40">
        <f>IF($AB52="","",SUMIFS(inv_usd,inv_buyer,$AB52,inv_paid,"N"))</f>
        <v/>
      </c>
      <c r="AF52" s="37">
        <f>IF($AB52="","",_xlfn.MAXIFS(inv_nonlc_dpd,inv_buyer,$AB52))</f>
        <v/>
      </c>
      <c r="AG52" s="37">
        <f>IF($AB52="","",COUNTIFS(inv_buyer,$AB52,inv_hold30,1))</f>
        <v/>
      </c>
      <c r="AH52" s="37">
        <f>IF($AB52="","",IF(OR($AC52=1,$AG52&gt;0),"선적 보류",""))</f>
        <v/>
      </c>
      <c r="AI52" s="37">
        <f>IF($AH52&lt;&gt;"선적 보류","","내부 에스컬레이션: 여신 한도 동결 제안(사람 승인)")</f>
        <v/>
      </c>
      <c r="AJ52" s="37">
        <f>IF($AB52="","",COUNTIFS(inv_buyer,$AB52,inv_alert,"통지 기한 임박*"))</f>
        <v/>
      </c>
      <c r="AK52" s="40">
        <f>IF($AB52="","",'10_LimitLP'!$F52)</f>
        <v/>
      </c>
      <c r="AL52" s="84">
        <f>IF(OR($AB52="",$AK52&lt;=0),"",$AE52/$AK52)</f>
        <v/>
      </c>
      <c r="AM52" s="37">
        <f>IF($AL52="","",IF($AL52&gt;=0.8,"사용률 80%↑ — 출고 전 사전승인(제18조)",""))</f>
        <v/>
      </c>
      <c r="AN52" s="37">
        <f>IF($AB52="","",IFERROR(IF(INDEX($AU$21:$AU$40,MATCH('02_Buyers'!$S49,$AS$21:$AS$40,0))="","",INDEX($AU$21:$AU$40,MATCH('02_Buyers'!$S49,$AS$21:$AS$40,0))),""))</f>
        <v/>
      </c>
      <c r="AO52" s="37">
        <f>IF($AB52="","",IFERROR(IF(INDEX($AV$21:$AV$40,MATCH('02_Buyers'!$S49,$AS$21:$AS$40,0))="","",INDEX($AV$21:$AV$40,MATCH('02_Buyers'!$S49,$AS$21:$AS$40,0))),""))</f>
        <v/>
      </c>
      <c r="AP52" s="37">
        <f>IF(OR($AB52="",$AN52="",$AO52=""),"",IF($AN52&gt;$AO52,"국가등급 하향 — 한도 재산정",""))</f>
        <v/>
      </c>
      <c r="AQ52" s="37">
        <f>IF($AH52="선적 보류",COUNTIF($AH$5:$AH52,"선적 보류"),"")</f>
        <v/>
      </c>
    </row>
    <row r="53">
      <c r="A53" t="inlineStr">
        <is>
          <t>INV-2609-0093</t>
        </is>
      </c>
      <c r="B53" t="inlineStr">
        <is>
          <t>B028</t>
        </is>
      </c>
      <c r="C53" t="inlineStr">
        <is>
          <t>JPN</t>
        </is>
      </c>
      <c r="D53" t="inlineStr">
        <is>
          <t>OA</t>
        </is>
      </c>
      <c r="E53" t="inlineStr">
        <is>
          <t>JPY</t>
        </is>
      </c>
      <c r="F53" t="inlineStr">
        <is>
          <t>Y</t>
        </is>
      </c>
      <c r="G53" s="32" t="n">
        <v>46283</v>
      </c>
      <c r="H53" s="32" t="n">
        <v>46373</v>
      </c>
      <c r="I53" s="82" t="n">
        <v>932000</v>
      </c>
      <c r="J53" s="82" t="n">
        <v>5929.51</v>
      </c>
      <c r="K53" t="inlineStr">
        <is>
          <t>N</t>
        </is>
      </c>
      <c r="L53" t="inlineStr">
        <is>
          <t>개별</t>
        </is>
      </c>
      <c r="N53" t="inlineStr">
        <is>
          <t>N</t>
        </is>
      </c>
      <c r="O53" s="37">
        <f>IF($A53="","",AsOf-$H53)</f>
        <v/>
      </c>
      <c r="P53" s="37">
        <f>IF($A53="","",IF($K53="Y","-",IF($O53&gt;=30,"D+30 최종통지·선적보류",IF($O53&gt;=15,"D+15 단호한 통지",IF($O53&gt;=7,"D+7 친절한 리마인더",IF(AND($O53&gt;=-3,$O53&lt;=-1),"D-3 사전 안내","모니터링"))))))</f>
        <v/>
      </c>
      <c r="Q53" s="83">
        <f>IF($A53="","",EDATE($H53,1))</f>
        <v/>
      </c>
      <c r="R53" s="37">
        <f>IF($A53="","",$Q53-AsOf)</f>
        <v/>
      </c>
      <c r="S53" s="37">
        <f>IF($A53="","",IF(OR($K53="Y",$F53&lt;&gt;"Y",$O53&lt;=0),"",IF($R53&lt;0,"통지 기한 경과 — 즉시 확인",IF($R53&lt;=NoticeWarnDays,"통지 기한 임박 — 사람 결정",""))))</f>
        <v/>
      </c>
      <c r="T53" s="83">
        <f>IF(OR($A53="",$F53&lt;&gt;"Y"),"",IF(IF($L53="",InsuranceType,$L53)="포괄",DATE(YEAR($G53),MONTH($G53)+1,20),WORKDAY($G53,10)))</f>
        <v/>
      </c>
      <c r="U53" s="83">
        <f>IF(OR($A53="",$M53=""),"",WORKDAY($M53,10))</f>
        <v/>
      </c>
      <c r="V53" s="37">
        <f>IF($A53="","",IF($N53="Y","사기 의심: 콜백 검증 전 대금 안내 중단",""))</f>
        <v/>
      </c>
      <c r="W53" s="37">
        <f>IF($A53="","",IF(AND($K53="N",$D53&lt;&gt;"LC_SIGHT",$D53&lt;&gt;"LC_USANCE",$D53&lt;&gt;"TT_ADV"),$O53,""))</f>
        <v/>
      </c>
      <c r="X53" s="37">
        <f>IF($A53="",0,IF(AND($K53="N",$D53&lt;&gt;"LC_SIGHT",$D53&lt;&gt;"LC_USANCE",$D53&lt;&gt;"TT_ADV",$O53&gt;=30),1,0))</f>
        <v/>
      </c>
      <c r="Y53" s="37">
        <f>IF($A53="","",IF($O53&lt;=0,"미연체",IF($O53&lt;=30,"1-30",IF($O53&lt;=90,"31-90",IF($O53&lt;=180,"91-180",IF($O53&lt;=365,"181-365","365+"))))))</f>
        <v/>
      </c>
      <c r="Z53" s="37">
        <f>IF($S53="통지 기한 임박 — 사람 결정",COUNTIF($S$5:$S53,"통지 기한 임박 — 사람 결정"),"")</f>
        <v/>
      </c>
      <c r="AB53" s="37">
        <f>IF('02_Buyers'!$A50="","",'02_Buyers'!$A50)</f>
        <v/>
      </c>
      <c r="AC53" s="37">
        <f>IF($AB53="","",'02_Buyers'!$AH50)</f>
        <v/>
      </c>
      <c r="AD53" s="37">
        <f>IF($AB53="","",COUNTIFS(inv_buyer,$AB53,inv_paid,"N"))</f>
        <v/>
      </c>
      <c r="AE53" s="40">
        <f>IF($AB53="","",SUMIFS(inv_usd,inv_buyer,$AB53,inv_paid,"N"))</f>
        <v/>
      </c>
      <c r="AF53" s="37">
        <f>IF($AB53="","",_xlfn.MAXIFS(inv_nonlc_dpd,inv_buyer,$AB53))</f>
        <v/>
      </c>
      <c r="AG53" s="37">
        <f>IF($AB53="","",COUNTIFS(inv_buyer,$AB53,inv_hold30,1))</f>
        <v/>
      </c>
      <c r="AH53" s="37">
        <f>IF($AB53="","",IF(OR($AC53=1,$AG53&gt;0),"선적 보류",""))</f>
        <v/>
      </c>
      <c r="AI53" s="37">
        <f>IF($AH53&lt;&gt;"선적 보류","","내부 에스컬레이션: 여신 한도 동결 제안(사람 승인)")</f>
        <v/>
      </c>
      <c r="AJ53" s="37">
        <f>IF($AB53="","",COUNTIFS(inv_buyer,$AB53,inv_alert,"통지 기한 임박*"))</f>
        <v/>
      </c>
      <c r="AK53" s="40">
        <f>IF($AB53="","",'10_LimitLP'!$F53)</f>
        <v/>
      </c>
      <c r="AL53" s="84">
        <f>IF(OR($AB53="",$AK53&lt;=0),"",$AE53/$AK53)</f>
        <v/>
      </c>
      <c r="AM53" s="37">
        <f>IF($AL53="","",IF($AL53&gt;=0.8,"사용률 80%↑ — 출고 전 사전승인(제18조)",""))</f>
        <v/>
      </c>
      <c r="AN53" s="37">
        <f>IF($AB53="","",IFERROR(IF(INDEX($AU$21:$AU$40,MATCH('02_Buyers'!$S50,$AS$21:$AS$40,0))="","",INDEX($AU$21:$AU$40,MATCH('02_Buyers'!$S50,$AS$21:$AS$40,0))),""))</f>
        <v/>
      </c>
      <c r="AO53" s="37">
        <f>IF($AB53="","",IFERROR(IF(INDEX($AV$21:$AV$40,MATCH('02_Buyers'!$S50,$AS$21:$AS$40,0))="","",INDEX($AV$21:$AV$40,MATCH('02_Buyers'!$S50,$AS$21:$AS$40,0))),""))</f>
        <v/>
      </c>
      <c r="AP53" s="37">
        <f>IF(OR($AB53="",$AN53="",$AO53=""),"",IF($AN53&gt;$AO53,"국가등급 하향 — 한도 재산정",""))</f>
        <v/>
      </c>
      <c r="AQ53" s="37">
        <f>IF($AH53="선적 보류",COUNTIF($AH$5:$AH53,"선적 보류"),"")</f>
        <v/>
      </c>
    </row>
    <row r="54">
      <c r="A54" t="inlineStr">
        <is>
          <t>INV-2608-0113</t>
        </is>
      </c>
      <c r="B54" t="inlineStr">
        <is>
          <t>B029</t>
        </is>
      </c>
      <c r="C54" t="inlineStr">
        <is>
          <t>CHN</t>
        </is>
      </c>
      <c r="D54" t="inlineStr">
        <is>
          <t>OA</t>
        </is>
      </c>
      <c r="E54" t="inlineStr">
        <is>
          <t>USD</t>
        </is>
      </c>
      <c r="F54" t="inlineStr">
        <is>
          <t>Y</t>
        </is>
      </c>
      <c r="G54" s="32" t="n">
        <v>46257</v>
      </c>
      <c r="H54" s="32" t="n">
        <v>46317</v>
      </c>
      <c r="I54" s="82" t="n">
        <v>14450</v>
      </c>
      <c r="J54" s="82" t="n">
        <v>14450</v>
      </c>
      <c r="K54" t="inlineStr">
        <is>
          <t>N</t>
        </is>
      </c>
      <c r="L54" t="inlineStr">
        <is>
          <t>개별</t>
        </is>
      </c>
      <c r="N54" t="inlineStr">
        <is>
          <t>N</t>
        </is>
      </c>
      <c r="O54" s="37">
        <f>IF($A54="","",AsOf-$H54)</f>
        <v/>
      </c>
      <c r="P54" s="37">
        <f>IF($A54="","",IF($K54="Y","-",IF($O54&gt;=30,"D+30 최종통지·선적보류",IF($O54&gt;=15,"D+15 단호한 통지",IF($O54&gt;=7,"D+7 친절한 리마인더",IF(AND($O54&gt;=-3,$O54&lt;=-1),"D-3 사전 안내","모니터링"))))))</f>
        <v/>
      </c>
      <c r="Q54" s="83">
        <f>IF($A54="","",EDATE($H54,1))</f>
        <v/>
      </c>
      <c r="R54" s="37">
        <f>IF($A54="","",$Q54-AsOf)</f>
        <v/>
      </c>
      <c r="S54" s="37">
        <f>IF($A54="","",IF(OR($K54="Y",$F54&lt;&gt;"Y",$O54&lt;=0),"",IF($R54&lt;0,"통지 기한 경과 — 즉시 확인",IF($R54&lt;=NoticeWarnDays,"통지 기한 임박 — 사람 결정",""))))</f>
        <v/>
      </c>
      <c r="T54" s="83">
        <f>IF(OR($A54="",$F54&lt;&gt;"Y"),"",IF(IF($L54="",InsuranceType,$L54)="포괄",DATE(YEAR($G54),MONTH($G54)+1,20),WORKDAY($G54,10)))</f>
        <v/>
      </c>
      <c r="U54" s="83">
        <f>IF(OR($A54="",$M54=""),"",WORKDAY($M54,10))</f>
        <v/>
      </c>
      <c r="V54" s="37">
        <f>IF($A54="","",IF($N54="Y","사기 의심: 콜백 검증 전 대금 안내 중단",""))</f>
        <v/>
      </c>
      <c r="W54" s="37">
        <f>IF($A54="","",IF(AND($K54="N",$D54&lt;&gt;"LC_SIGHT",$D54&lt;&gt;"LC_USANCE",$D54&lt;&gt;"TT_ADV"),$O54,""))</f>
        <v/>
      </c>
      <c r="X54" s="37">
        <f>IF($A54="",0,IF(AND($K54="N",$D54&lt;&gt;"LC_SIGHT",$D54&lt;&gt;"LC_USANCE",$D54&lt;&gt;"TT_ADV",$O54&gt;=30),1,0))</f>
        <v/>
      </c>
      <c r="Y54" s="37">
        <f>IF($A54="","",IF($O54&lt;=0,"미연체",IF($O54&lt;=30,"1-30",IF($O54&lt;=90,"31-90",IF($O54&lt;=180,"91-180",IF($O54&lt;=365,"181-365","365+"))))))</f>
        <v/>
      </c>
      <c r="Z54" s="37">
        <f>IF($S54="통지 기한 임박 — 사람 결정",COUNTIF($S$5:$S54,"통지 기한 임박 — 사람 결정"),"")</f>
        <v/>
      </c>
      <c r="AB54" s="37">
        <f>IF('02_Buyers'!$A51="","",'02_Buyers'!$A51)</f>
        <v/>
      </c>
      <c r="AC54" s="37">
        <f>IF($AB54="","",'02_Buyers'!$AH51)</f>
        <v/>
      </c>
      <c r="AD54" s="37">
        <f>IF($AB54="","",COUNTIFS(inv_buyer,$AB54,inv_paid,"N"))</f>
        <v/>
      </c>
      <c r="AE54" s="40">
        <f>IF($AB54="","",SUMIFS(inv_usd,inv_buyer,$AB54,inv_paid,"N"))</f>
        <v/>
      </c>
      <c r="AF54" s="37">
        <f>IF($AB54="","",_xlfn.MAXIFS(inv_nonlc_dpd,inv_buyer,$AB54))</f>
        <v/>
      </c>
      <c r="AG54" s="37">
        <f>IF($AB54="","",COUNTIFS(inv_buyer,$AB54,inv_hold30,1))</f>
        <v/>
      </c>
      <c r="AH54" s="37">
        <f>IF($AB54="","",IF(OR($AC54=1,$AG54&gt;0),"선적 보류",""))</f>
        <v/>
      </c>
      <c r="AI54" s="37">
        <f>IF($AH54&lt;&gt;"선적 보류","","내부 에스컬레이션: 여신 한도 동결 제안(사람 승인)")</f>
        <v/>
      </c>
      <c r="AJ54" s="37">
        <f>IF($AB54="","",COUNTIFS(inv_buyer,$AB54,inv_alert,"통지 기한 임박*"))</f>
        <v/>
      </c>
      <c r="AK54" s="40">
        <f>IF($AB54="","",'10_LimitLP'!$F54)</f>
        <v/>
      </c>
      <c r="AL54" s="84">
        <f>IF(OR($AB54="",$AK54&lt;=0),"",$AE54/$AK54)</f>
        <v/>
      </c>
      <c r="AM54" s="37">
        <f>IF($AL54="","",IF($AL54&gt;=0.8,"사용률 80%↑ — 출고 전 사전승인(제18조)",""))</f>
        <v/>
      </c>
      <c r="AN54" s="37">
        <f>IF($AB54="","",IFERROR(IF(INDEX($AU$21:$AU$40,MATCH('02_Buyers'!$S51,$AS$21:$AS$40,0))="","",INDEX($AU$21:$AU$40,MATCH('02_Buyers'!$S51,$AS$21:$AS$40,0))),""))</f>
        <v/>
      </c>
      <c r="AO54" s="37">
        <f>IF($AB54="","",IFERROR(IF(INDEX($AV$21:$AV$40,MATCH('02_Buyers'!$S51,$AS$21:$AS$40,0))="","",INDEX($AV$21:$AV$40,MATCH('02_Buyers'!$S51,$AS$21:$AS$40,0))),""))</f>
        <v/>
      </c>
      <c r="AP54" s="37">
        <f>IF(OR($AB54="",$AN54="",$AO54=""),"",IF($AN54&gt;$AO54,"국가등급 하향 — 한도 재산정",""))</f>
        <v/>
      </c>
      <c r="AQ54" s="37">
        <f>IF($AH54="선적 보류",COUNTIF($AH$5:$AH54,"선적 보류"),"")</f>
        <v/>
      </c>
    </row>
    <row r="55">
      <c r="A55" t="inlineStr">
        <is>
          <t>INV-2609-0042</t>
        </is>
      </c>
      <c r="B55" t="inlineStr">
        <is>
          <t>B029</t>
        </is>
      </c>
      <c r="C55" t="inlineStr">
        <is>
          <t>CHN</t>
        </is>
      </c>
      <c r="D55" t="inlineStr">
        <is>
          <t>OA</t>
        </is>
      </c>
      <c r="E55" t="inlineStr">
        <is>
          <t>USD</t>
        </is>
      </c>
      <c r="F55" t="inlineStr">
        <is>
          <t>Y</t>
        </is>
      </c>
      <c r="G55" s="32" t="n">
        <v>46272</v>
      </c>
      <c r="H55" s="32" t="n">
        <v>46332</v>
      </c>
      <c r="I55" s="82" t="n">
        <v>19490</v>
      </c>
      <c r="J55" s="82" t="n">
        <v>19490</v>
      </c>
      <c r="K55" t="inlineStr">
        <is>
          <t>N</t>
        </is>
      </c>
      <c r="L55" t="inlineStr">
        <is>
          <t>개별</t>
        </is>
      </c>
      <c r="N55" t="inlineStr">
        <is>
          <t>N</t>
        </is>
      </c>
      <c r="O55" s="37">
        <f>IF($A55="","",AsOf-$H55)</f>
        <v/>
      </c>
      <c r="P55" s="37">
        <f>IF($A55="","",IF($K55="Y","-",IF($O55&gt;=30,"D+30 최종통지·선적보류",IF($O55&gt;=15,"D+15 단호한 통지",IF($O55&gt;=7,"D+7 친절한 리마인더",IF(AND($O55&gt;=-3,$O55&lt;=-1),"D-3 사전 안내","모니터링"))))))</f>
        <v/>
      </c>
      <c r="Q55" s="83">
        <f>IF($A55="","",EDATE($H55,1))</f>
        <v/>
      </c>
      <c r="R55" s="37">
        <f>IF($A55="","",$Q55-AsOf)</f>
        <v/>
      </c>
      <c r="S55" s="37">
        <f>IF($A55="","",IF(OR($K55="Y",$F55&lt;&gt;"Y",$O55&lt;=0),"",IF($R55&lt;0,"통지 기한 경과 — 즉시 확인",IF($R55&lt;=NoticeWarnDays,"통지 기한 임박 — 사람 결정",""))))</f>
        <v/>
      </c>
      <c r="T55" s="83">
        <f>IF(OR($A55="",$F55&lt;&gt;"Y"),"",IF(IF($L55="",InsuranceType,$L55)="포괄",DATE(YEAR($G55),MONTH($G55)+1,20),WORKDAY($G55,10)))</f>
        <v/>
      </c>
      <c r="U55" s="83">
        <f>IF(OR($A55="",$M55=""),"",WORKDAY($M55,10))</f>
        <v/>
      </c>
      <c r="V55" s="37">
        <f>IF($A55="","",IF($N55="Y","사기 의심: 콜백 검증 전 대금 안내 중단",""))</f>
        <v/>
      </c>
      <c r="W55" s="37">
        <f>IF($A55="","",IF(AND($K55="N",$D55&lt;&gt;"LC_SIGHT",$D55&lt;&gt;"LC_USANCE",$D55&lt;&gt;"TT_ADV"),$O55,""))</f>
        <v/>
      </c>
      <c r="X55" s="37">
        <f>IF($A55="",0,IF(AND($K55="N",$D55&lt;&gt;"LC_SIGHT",$D55&lt;&gt;"LC_USANCE",$D55&lt;&gt;"TT_ADV",$O55&gt;=30),1,0))</f>
        <v/>
      </c>
      <c r="Y55" s="37">
        <f>IF($A55="","",IF($O55&lt;=0,"미연체",IF($O55&lt;=30,"1-30",IF($O55&lt;=90,"31-90",IF($O55&lt;=180,"91-180",IF($O55&lt;=365,"181-365","365+"))))))</f>
        <v/>
      </c>
      <c r="Z55" s="37">
        <f>IF($S55="통지 기한 임박 — 사람 결정",COUNTIF($S$5:$S55,"통지 기한 임박 — 사람 결정"),"")</f>
        <v/>
      </c>
      <c r="AB55" s="37">
        <f>IF('02_Buyers'!$A52="","",'02_Buyers'!$A52)</f>
        <v/>
      </c>
      <c r="AC55" s="37">
        <f>IF($AB55="","",'02_Buyers'!$AH52)</f>
        <v/>
      </c>
      <c r="AD55" s="37">
        <f>IF($AB55="","",COUNTIFS(inv_buyer,$AB55,inv_paid,"N"))</f>
        <v/>
      </c>
      <c r="AE55" s="40">
        <f>IF($AB55="","",SUMIFS(inv_usd,inv_buyer,$AB55,inv_paid,"N"))</f>
        <v/>
      </c>
      <c r="AF55" s="37">
        <f>IF($AB55="","",_xlfn.MAXIFS(inv_nonlc_dpd,inv_buyer,$AB55))</f>
        <v/>
      </c>
      <c r="AG55" s="37">
        <f>IF($AB55="","",COUNTIFS(inv_buyer,$AB55,inv_hold30,1))</f>
        <v/>
      </c>
      <c r="AH55" s="37">
        <f>IF($AB55="","",IF(OR($AC55=1,$AG55&gt;0),"선적 보류",""))</f>
        <v/>
      </c>
      <c r="AI55" s="37">
        <f>IF($AH55&lt;&gt;"선적 보류","","내부 에스컬레이션: 여신 한도 동결 제안(사람 승인)")</f>
        <v/>
      </c>
      <c r="AJ55" s="37">
        <f>IF($AB55="","",COUNTIFS(inv_buyer,$AB55,inv_alert,"통지 기한 임박*"))</f>
        <v/>
      </c>
      <c r="AK55" s="40">
        <f>IF($AB55="","",'10_LimitLP'!$F55)</f>
        <v/>
      </c>
      <c r="AL55" s="84">
        <f>IF(OR($AB55="",$AK55&lt;=0),"",$AE55/$AK55)</f>
        <v/>
      </c>
      <c r="AM55" s="37">
        <f>IF($AL55="","",IF($AL55&gt;=0.8,"사용률 80%↑ — 출고 전 사전승인(제18조)",""))</f>
        <v/>
      </c>
      <c r="AN55" s="37">
        <f>IF($AB55="","",IFERROR(IF(INDEX($AU$21:$AU$40,MATCH('02_Buyers'!$S52,$AS$21:$AS$40,0))="","",INDEX($AU$21:$AU$40,MATCH('02_Buyers'!$S52,$AS$21:$AS$40,0))),""))</f>
        <v/>
      </c>
      <c r="AO55" s="37">
        <f>IF($AB55="","",IFERROR(IF(INDEX($AV$21:$AV$40,MATCH('02_Buyers'!$S52,$AS$21:$AS$40,0))="","",INDEX($AV$21:$AV$40,MATCH('02_Buyers'!$S52,$AS$21:$AS$40,0))),""))</f>
        <v/>
      </c>
      <c r="AP55" s="37">
        <f>IF(OR($AB55="",$AN55="",$AO55=""),"",IF($AN55&gt;$AO55,"국가등급 하향 — 한도 재산정",""))</f>
        <v/>
      </c>
      <c r="AQ55" s="37">
        <f>IF($AH55="선적 보류",COUNTIF($AH$5:$AH55,"선적 보류"),"")</f>
        <v/>
      </c>
    </row>
    <row r="56">
      <c r="A56" t="inlineStr">
        <is>
          <t>INV-2609-0061</t>
        </is>
      </c>
      <c r="B56" t="inlineStr">
        <is>
          <t>B029</t>
        </is>
      </c>
      <c r="C56" t="inlineStr">
        <is>
          <t>CHN</t>
        </is>
      </c>
      <c r="D56" t="inlineStr">
        <is>
          <t>OA</t>
        </is>
      </c>
      <c r="E56" t="inlineStr">
        <is>
          <t>USD</t>
        </is>
      </c>
      <c r="F56" t="inlineStr">
        <is>
          <t>Y</t>
        </is>
      </c>
      <c r="G56" s="32" t="n">
        <v>46277</v>
      </c>
      <c r="H56" s="32" t="n">
        <v>46337</v>
      </c>
      <c r="I56" s="82" t="n">
        <v>11090</v>
      </c>
      <c r="J56" s="82" t="n">
        <v>11090</v>
      </c>
      <c r="K56" t="inlineStr">
        <is>
          <t>N</t>
        </is>
      </c>
      <c r="L56" t="inlineStr">
        <is>
          <t>개별</t>
        </is>
      </c>
      <c r="N56" t="inlineStr">
        <is>
          <t>N</t>
        </is>
      </c>
      <c r="O56" s="37">
        <f>IF($A56="","",AsOf-$H56)</f>
        <v/>
      </c>
      <c r="P56" s="37">
        <f>IF($A56="","",IF($K56="Y","-",IF($O56&gt;=30,"D+30 최종통지·선적보류",IF($O56&gt;=15,"D+15 단호한 통지",IF($O56&gt;=7,"D+7 친절한 리마인더",IF(AND($O56&gt;=-3,$O56&lt;=-1),"D-3 사전 안내","모니터링"))))))</f>
        <v/>
      </c>
      <c r="Q56" s="83">
        <f>IF($A56="","",EDATE($H56,1))</f>
        <v/>
      </c>
      <c r="R56" s="37">
        <f>IF($A56="","",$Q56-AsOf)</f>
        <v/>
      </c>
      <c r="S56" s="37">
        <f>IF($A56="","",IF(OR($K56="Y",$F56&lt;&gt;"Y",$O56&lt;=0),"",IF($R56&lt;0,"통지 기한 경과 — 즉시 확인",IF($R56&lt;=NoticeWarnDays,"통지 기한 임박 — 사람 결정",""))))</f>
        <v/>
      </c>
      <c r="T56" s="83">
        <f>IF(OR($A56="",$F56&lt;&gt;"Y"),"",IF(IF($L56="",InsuranceType,$L56)="포괄",DATE(YEAR($G56),MONTH($G56)+1,20),WORKDAY($G56,10)))</f>
        <v/>
      </c>
      <c r="U56" s="83">
        <f>IF(OR($A56="",$M56=""),"",WORKDAY($M56,10))</f>
        <v/>
      </c>
      <c r="V56" s="37">
        <f>IF($A56="","",IF($N56="Y","사기 의심: 콜백 검증 전 대금 안내 중단",""))</f>
        <v/>
      </c>
      <c r="W56" s="37">
        <f>IF($A56="","",IF(AND($K56="N",$D56&lt;&gt;"LC_SIGHT",$D56&lt;&gt;"LC_USANCE",$D56&lt;&gt;"TT_ADV"),$O56,""))</f>
        <v/>
      </c>
      <c r="X56" s="37">
        <f>IF($A56="",0,IF(AND($K56="N",$D56&lt;&gt;"LC_SIGHT",$D56&lt;&gt;"LC_USANCE",$D56&lt;&gt;"TT_ADV",$O56&gt;=30),1,0))</f>
        <v/>
      </c>
      <c r="Y56" s="37">
        <f>IF($A56="","",IF($O56&lt;=0,"미연체",IF($O56&lt;=30,"1-30",IF($O56&lt;=90,"31-90",IF($O56&lt;=180,"91-180",IF($O56&lt;=365,"181-365","365+"))))))</f>
        <v/>
      </c>
      <c r="Z56" s="37">
        <f>IF($S56="통지 기한 임박 — 사람 결정",COUNTIF($S$5:$S56,"통지 기한 임박 — 사람 결정"),"")</f>
        <v/>
      </c>
      <c r="AB56" s="37">
        <f>IF('02_Buyers'!$A53="","",'02_Buyers'!$A53)</f>
        <v/>
      </c>
      <c r="AC56" s="37">
        <f>IF($AB56="","",'02_Buyers'!$AH53)</f>
        <v/>
      </c>
      <c r="AD56" s="37">
        <f>IF($AB56="","",COUNTIFS(inv_buyer,$AB56,inv_paid,"N"))</f>
        <v/>
      </c>
      <c r="AE56" s="40">
        <f>IF($AB56="","",SUMIFS(inv_usd,inv_buyer,$AB56,inv_paid,"N"))</f>
        <v/>
      </c>
      <c r="AF56" s="37">
        <f>IF($AB56="","",_xlfn.MAXIFS(inv_nonlc_dpd,inv_buyer,$AB56))</f>
        <v/>
      </c>
      <c r="AG56" s="37">
        <f>IF($AB56="","",COUNTIFS(inv_buyer,$AB56,inv_hold30,1))</f>
        <v/>
      </c>
      <c r="AH56" s="37">
        <f>IF($AB56="","",IF(OR($AC56=1,$AG56&gt;0),"선적 보류",""))</f>
        <v/>
      </c>
      <c r="AI56" s="37">
        <f>IF($AH56&lt;&gt;"선적 보류","","내부 에스컬레이션: 여신 한도 동결 제안(사람 승인)")</f>
        <v/>
      </c>
      <c r="AJ56" s="37">
        <f>IF($AB56="","",COUNTIFS(inv_buyer,$AB56,inv_alert,"통지 기한 임박*"))</f>
        <v/>
      </c>
      <c r="AK56" s="40">
        <f>IF($AB56="","",'10_LimitLP'!$F56)</f>
        <v/>
      </c>
      <c r="AL56" s="84">
        <f>IF(OR($AB56="",$AK56&lt;=0),"",$AE56/$AK56)</f>
        <v/>
      </c>
      <c r="AM56" s="37">
        <f>IF($AL56="","",IF($AL56&gt;=0.8,"사용률 80%↑ — 출고 전 사전승인(제18조)",""))</f>
        <v/>
      </c>
      <c r="AN56" s="37">
        <f>IF($AB56="","",IFERROR(IF(INDEX($AU$21:$AU$40,MATCH('02_Buyers'!$S53,$AS$21:$AS$40,0))="","",INDEX($AU$21:$AU$40,MATCH('02_Buyers'!$S53,$AS$21:$AS$40,0))),""))</f>
        <v/>
      </c>
      <c r="AO56" s="37">
        <f>IF($AB56="","",IFERROR(IF(INDEX($AV$21:$AV$40,MATCH('02_Buyers'!$S53,$AS$21:$AS$40,0))="","",INDEX($AV$21:$AV$40,MATCH('02_Buyers'!$S53,$AS$21:$AS$40,0))),""))</f>
        <v/>
      </c>
      <c r="AP56" s="37">
        <f>IF(OR($AB56="",$AN56="",$AO56=""),"",IF($AN56&gt;$AO56,"국가등급 하향 — 한도 재산정",""))</f>
        <v/>
      </c>
      <c r="AQ56" s="37">
        <f>IF($AH56="선적 보류",COUNTIF($AH$5:$AH56,"선적 보류"),"")</f>
        <v/>
      </c>
    </row>
    <row r="57">
      <c r="A57" t="inlineStr">
        <is>
          <t>INV-2609-0090</t>
        </is>
      </c>
      <c r="B57" t="inlineStr">
        <is>
          <t>B029</t>
        </is>
      </c>
      <c r="C57" t="inlineStr">
        <is>
          <t>CHN</t>
        </is>
      </c>
      <c r="D57" t="inlineStr">
        <is>
          <t>OA</t>
        </is>
      </c>
      <c r="E57" t="inlineStr">
        <is>
          <t>USD</t>
        </is>
      </c>
      <c r="F57" t="inlineStr">
        <is>
          <t>Y</t>
        </is>
      </c>
      <c r="G57" s="32" t="n">
        <v>46282</v>
      </c>
      <c r="H57" s="32" t="n">
        <v>46342</v>
      </c>
      <c r="I57" s="82" t="n">
        <v>10550</v>
      </c>
      <c r="J57" s="82" t="n">
        <v>10550</v>
      </c>
      <c r="K57" t="inlineStr">
        <is>
          <t>N</t>
        </is>
      </c>
      <c r="L57" t="inlineStr">
        <is>
          <t>개별</t>
        </is>
      </c>
      <c r="N57" t="inlineStr">
        <is>
          <t>N</t>
        </is>
      </c>
      <c r="O57" s="37">
        <f>IF($A57="","",AsOf-$H57)</f>
        <v/>
      </c>
      <c r="P57" s="37">
        <f>IF($A57="","",IF($K57="Y","-",IF($O57&gt;=30,"D+30 최종통지·선적보류",IF($O57&gt;=15,"D+15 단호한 통지",IF($O57&gt;=7,"D+7 친절한 리마인더",IF(AND($O57&gt;=-3,$O57&lt;=-1),"D-3 사전 안내","모니터링"))))))</f>
        <v/>
      </c>
      <c r="Q57" s="83">
        <f>IF($A57="","",EDATE($H57,1))</f>
        <v/>
      </c>
      <c r="R57" s="37">
        <f>IF($A57="","",$Q57-AsOf)</f>
        <v/>
      </c>
      <c r="S57" s="37">
        <f>IF($A57="","",IF(OR($K57="Y",$F57&lt;&gt;"Y",$O57&lt;=0),"",IF($R57&lt;0,"통지 기한 경과 — 즉시 확인",IF($R57&lt;=NoticeWarnDays,"통지 기한 임박 — 사람 결정",""))))</f>
        <v/>
      </c>
      <c r="T57" s="83">
        <f>IF(OR($A57="",$F57&lt;&gt;"Y"),"",IF(IF($L57="",InsuranceType,$L57)="포괄",DATE(YEAR($G57),MONTH($G57)+1,20),WORKDAY($G57,10)))</f>
        <v/>
      </c>
      <c r="U57" s="83">
        <f>IF(OR($A57="",$M57=""),"",WORKDAY($M57,10))</f>
        <v/>
      </c>
      <c r="V57" s="37">
        <f>IF($A57="","",IF($N57="Y","사기 의심: 콜백 검증 전 대금 안내 중단",""))</f>
        <v/>
      </c>
      <c r="W57" s="37">
        <f>IF($A57="","",IF(AND($K57="N",$D57&lt;&gt;"LC_SIGHT",$D57&lt;&gt;"LC_USANCE",$D57&lt;&gt;"TT_ADV"),$O57,""))</f>
        <v/>
      </c>
      <c r="X57" s="37">
        <f>IF($A57="",0,IF(AND($K57="N",$D57&lt;&gt;"LC_SIGHT",$D57&lt;&gt;"LC_USANCE",$D57&lt;&gt;"TT_ADV",$O57&gt;=30),1,0))</f>
        <v/>
      </c>
      <c r="Y57" s="37">
        <f>IF($A57="","",IF($O57&lt;=0,"미연체",IF($O57&lt;=30,"1-30",IF($O57&lt;=90,"31-90",IF($O57&lt;=180,"91-180",IF($O57&lt;=365,"181-365","365+"))))))</f>
        <v/>
      </c>
      <c r="Z57" s="37">
        <f>IF($S57="통지 기한 임박 — 사람 결정",COUNTIF($S$5:$S57,"통지 기한 임박 — 사람 결정"),"")</f>
        <v/>
      </c>
      <c r="AB57" s="37">
        <f>IF('02_Buyers'!$A54="","",'02_Buyers'!$A54)</f>
        <v/>
      </c>
      <c r="AC57" s="37">
        <f>IF($AB57="","",'02_Buyers'!$AH54)</f>
        <v/>
      </c>
      <c r="AD57" s="37">
        <f>IF($AB57="","",COUNTIFS(inv_buyer,$AB57,inv_paid,"N"))</f>
        <v/>
      </c>
      <c r="AE57" s="40">
        <f>IF($AB57="","",SUMIFS(inv_usd,inv_buyer,$AB57,inv_paid,"N"))</f>
        <v/>
      </c>
      <c r="AF57" s="37">
        <f>IF($AB57="","",_xlfn.MAXIFS(inv_nonlc_dpd,inv_buyer,$AB57))</f>
        <v/>
      </c>
      <c r="AG57" s="37">
        <f>IF($AB57="","",COUNTIFS(inv_buyer,$AB57,inv_hold30,1))</f>
        <v/>
      </c>
      <c r="AH57" s="37">
        <f>IF($AB57="","",IF(OR($AC57=1,$AG57&gt;0),"선적 보류",""))</f>
        <v/>
      </c>
      <c r="AI57" s="37">
        <f>IF($AH57&lt;&gt;"선적 보류","","내부 에스컬레이션: 여신 한도 동결 제안(사람 승인)")</f>
        <v/>
      </c>
      <c r="AJ57" s="37">
        <f>IF($AB57="","",COUNTIFS(inv_buyer,$AB57,inv_alert,"통지 기한 임박*"))</f>
        <v/>
      </c>
      <c r="AK57" s="40">
        <f>IF($AB57="","",'10_LimitLP'!$F57)</f>
        <v/>
      </c>
      <c r="AL57" s="84">
        <f>IF(OR($AB57="",$AK57&lt;=0),"",$AE57/$AK57)</f>
        <v/>
      </c>
      <c r="AM57" s="37">
        <f>IF($AL57="","",IF($AL57&gt;=0.8,"사용률 80%↑ — 출고 전 사전승인(제18조)",""))</f>
        <v/>
      </c>
      <c r="AN57" s="37">
        <f>IF($AB57="","",IFERROR(IF(INDEX($AU$21:$AU$40,MATCH('02_Buyers'!$S54,$AS$21:$AS$40,0))="","",INDEX($AU$21:$AU$40,MATCH('02_Buyers'!$S54,$AS$21:$AS$40,0))),""))</f>
        <v/>
      </c>
      <c r="AO57" s="37">
        <f>IF($AB57="","",IFERROR(IF(INDEX($AV$21:$AV$40,MATCH('02_Buyers'!$S54,$AS$21:$AS$40,0))="","",INDEX($AV$21:$AV$40,MATCH('02_Buyers'!$S54,$AS$21:$AS$40,0))),""))</f>
        <v/>
      </c>
      <c r="AP57" s="37">
        <f>IF(OR($AB57="",$AN57="",$AO57=""),"",IF($AN57&gt;$AO57,"국가등급 하향 — 한도 재산정",""))</f>
        <v/>
      </c>
      <c r="AQ57" s="37">
        <f>IF($AH57="선적 보류",COUNTIF($AH$5:$AH57,"선적 보류"),"")</f>
        <v/>
      </c>
    </row>
    <row r="58">
      <c r="A58" t="inlineStr">
        <is>
          <t>INV-2609-0136</t>
        </is>
      </c>
      <c r="B58" t="inlineStr">
        <is>
          <t>B029</t>
        </is>
      </c>
      <c r="C58" t="inlineStr">
        <is>
          <t>CHN</t>
        </is>
      </c>
      <c r="D58" t="inlineStr">
        <is>
          <t>OA</t>
        </is>
      </c>
      <c r="E58" t="inlineStr">
        <is>
          <t>USD</t>
        </is>
      </c>
      <c r="F58" t="inlineStr">
        <is>
          <t>Y</t>
        </is>
      </c>
      <c r="G58" s="32" t="n">
        <v>46291</v>
      </c>
      <c r="H58" s="32" t="n">
        <v>46351</v>
      </c>
      <c r="I58" s="82" t="n">
        <v>33360</v>
      </c>
      <c r="J58" s="82" t="n">
        <v>33360</v>
      </c>
      <c r="K58" t="inlineStr">
        <is>
          <t>N</t>
        </is>
      </c>
      <c r="L58" t="inlineStr">
        <is>
          <t>개별</t>
        </is>
      </c>
      <c r="N58" t="inlineStr">
        <is>
          <t>N</t>
        </is>
      </c>
      <c r="O58" s="37">
        <f>IF($A58="","",AsOf-$H58)</f>
        <v/>
      </c>
      <c r="P58" s="37">
        <f>IF($A58="","",IF($K58="Y","-",IF($O58&gt;=30,"D+30 최종통지·선적보류",IF($O58&gt;=15,"D+15 단호한 통지",IF($O58&gt;=7,"D+7 친절한 리마인더",IF(AND($O58&gt;=-3,$O58&lt;=-1),"D-3 사전 안내","모니터링"))))))</f>
        <v/>
      </c>
      <c r="Q58" s="83">
        <f>IF($A58="","",EDATE($H58,1))</f>
        <v/>
      </c>
      <c r="R58" s="37">
        <f>IF($A58="","",$Q58-AsOf)</f>
        <v/>
      </c>
      <c r="S58" s="37">
        <f>IF($A58="","",IF(OR($K58="Y",$F58&lt;&gt;"Y",$O58&lt;=0),"",IF($R58&lt;0,"통지 기한 경과 — 즉시 확인",IF($R58&lt;=NoticeWarnDays,"통지 기한 임박 — 사람 결정",""))))</f>
        <v/>
      </c>
      <c r="T58" s="83">
        <f>IF(OR($A58="",$F58&lt;&gt;"Y"),"",IF(IF($L58="",InsuranceType,$L58)="포괄",DATE(YEAR($G58),MONTH($G58)+1,20),WORKDAY($G58,10)))</f>
        <v/>
      </c>
      <c r="U58" s="83">
        <f>IF(OR($A58="",$M58=""),"",WORKDAY($M58,10))</f>
        <v/>
      </c>
      <c r="V58" s="37">
        <f>IF($A58="","",IF($N58="Y","사기 의심: 콜백 검증 전 대금 안내 중단",""))</f>
        <v/>
      </c>
      <c r="W58" s="37">
        <f>IF($A58="","",IF(AND($K58="N",$D58&lt;&gt;"LC_SIGHT",$D58&lt;&gt;"LC_USANCE",$D58&lt;&gt;"TT_ADV"),$O58,""))</f>
        <v/>
      </c>
      <c r="X58" s="37">
        <f>IF($A58="",0,IF(AND($K58="N",$D58&lt;&gt;"LC_SIGHT",$D58&lt;&gt;"LC_USANCE",$D58&lt;&gt;"TT_ADV",$O58&gt;=30),1,0))</f>
        <v/>
      </c>
      <c r="Y58" s="37">
        <f>IF($A58="","",IF($O58&lt;=0,"미연체",IF($O58&lt;=30,"1-30",IF($O58&lt;=90,"31-90",IF($O58&lt;=180,"91-180",IF($O58&lt;=365,"181-365","365+"))))))</f>
        <v/>
      </c>
      <c r="Z58" s="37">
        <f>IF($S58="통지 기한 임박 — 사람 결정",COUNTIF($S$5:$S58,"통지 기한 임박 — 사람 결정"),"")</f>
        <v/>
      </c>
      <c r="AB58" s="37">
        <f>IF('02_Buyers'!$A55="","",'02_Buyers'!$A55)</f>
        <v/>
      </c>
      <c r="AC58" s="37">
        <f>IF($AB58="","",'02_Buyers'!$AH55)</f>
        <v/>
      </c>
      <c r="AD58" s="37">
        <f>IF($AB58="","",COUNTIFS(inv_buyer,$AB58,inv_paid,"N"))</f>
        <v/>
      </c>
      <c r="AE58" s="40">
        <f>IF($AB58="","",SUMIFS(inv_usd,inv_buyer,$AB58,inv_paid,"N"))</f>
        <v/>
      </c>
      <c r="AF58" s="37">
        <f>IF($AB58="","",_xlfn.MAXIFS(inv_nonlc_dpd,inv_buyer,$AB58))</f>
        <v/>
      </c>
      <c r="AG58" s="37">
        <f>IF($AB58="","",COUNTIFS(inv_buyer,$AB58,inv_hold30,1))</f>
        <v/>
      </c>
      <c r="AH58" s="37">
        <f>IF($AB58="","",IF(OR($AC58=1,$AG58&gt;0),"선적 보류",""))</f>
        <v/>
      </c>
      <c r="AI58" s="37">
        <f>IF($AH58&lt;&gt;"선적 보류","","내부 에스컬레이션: 여신 한도 동결 제안(사람 승인)")</f>
        <v/>
      </c>
      <c r="AJ58" s="37">
        <f>IF($AB58="","",COUNTIFS(inv_buyer,$AB58,inv_alert,"통지 기한 임박*"))</f>
        <v/>
      </c>
      <c r="AK58" s="40">
        <f>IF($AB58="","",'10_LimitLP'!$F58)</f>
        <v/>
      </c>
      <c r="AL58" s="84">
        <f>IF(OR($AB58="",$AK58&lt;=0),"",$AE58/$AK58)</f>
        <v/>
      </c>
      <c r="AM58" s="37">
        <f>IF($AL58="","",IF($AL58&gt;=0.8,"사용률 80%↑ — 출고 전 사전승인(제18조)",""))</f>
        <v/>
      </c>
      <c r="AN58" s="37">
        <f>IF($AB58="","",IFERROR(IF(INDEX($AU$21:$AU$40,MATCH('02_Buyers'!$S55,$AS$21:$AS$40,0))="","",INDEX($AU$21:$AU$40,MATCH('02_Buyers'!$S55,$AS$21:$AS$40,0))),""))</f>
        <v/>
      </c>
      <c r="AO58" s="37">
        <f>IF($AB58="","",IFERROR(IF(INDEX($AV$21:$AV$40,MATCH('02_Buyers'!$S55,$AS$21:$AS$40,0))="","",INDEX($AV$21:$AV$40,MATCH('02_Buyers'!$S55,$AS$21:$AS$40,0))),""))</f>
        <v/>
      </c>
      <c r="AP58" s="37">
        <f>IF(OR($AB58="",$AN58="",$AO58=""),"",IF($AN58&gt;$AO58,"국가등급 하향 — 한도 재산정",""))</f>
        <v/>
      </c>
      <c r="AQ58" s="37">
        <f>IF($AH58="선적 보류",COUNTIF($AH$5:$AH58,"선적 보류"),"")</f>
        <v/>
      </c>
    </row>
    <row r="59">
      <c r="A59" t="inlineStr">
        <is>
          <t>INV-2606-0120</t>
        </is>
      </c>
      <c r="B59" t="inlineStr">
        <is>
          <t>B031</t>
        </is>
      </c>
      <c r="C59" t="inlineStr">
        <is>
          <t>MEX</t>
        </is>
      </c>
      <c r="D59" t="inlineStr">
        <is>
          <t>OA</t>
        </is>
      </c>
      <c r="E59" t="inlineStr">
        <is>
          <t>USD</t>
        </is>
      </c>
      <c r="F59" t="inlineStr">
        <is>
          <t>Y</t>
        </is>
      </c>
      <c r="G59" s="32" t="n">
        <v>46199</v>
      </c>
      <c r="H59" s="32" t="n">
        <v>46259</v>
      </c>
      <c r="I59" s="82" t="n">
        <v>3520</v>
      </c>
      <c r="J59" s="82" t="n">
        <v>3520</v>
      </c>
      <c r="K59" t="inlineStr">
        <is>
          <t>N</t>
        </is>
      </c>
      <c r="L59" t="inlineStr">
        <is>
          <t>개별</t>
        </is>
      </c>
      <c r="N59" t="inlineStr">
        <is>
          <t>N</t>
        </is>
      </c>
      <c r="O59" s="37">
        <f>IF($A59="","",AsOf-$H59)</f>
        <v/>
      </c>
      <c r="P59" s="37">
        <f>IF($A59="","",IF($K59="Y","-",IF($O59&gt;=30,"D+30 최종통지·선적보류",IF($O59&gt;=15,"D+15 단호한 통지",IF($O59&gt;=7,"D+7 친절한 리마인더",IF(AND($O59&gt;=-3,$O59&lt;=-1),"D-3 사전 안내","모니터링"))))))</f>
        <v/>
      </c>
      <c r="Q59" s="83">
        <f>IF($A59="","",EDATE($H59,1))</f>
        <v/>
      </c>
      <c r="R59" s="37">
        <f>IF($A59="","",$Q59-AsOf)</f>
        <v/>
      </c>
      <c r="S59" s="37">
        <f>IF($A59="","",IF(OR($K59="Y",$F59&lt;&gt;"Y",$O59&lt;=0),"",IF($R59&lt;0,"통지 기한 경과 — 즉시 확인",IF($R59&lt;=NoticeWarnDays,"통지 기한 임박 — 사람 결정",""))))</f>
        <v/>
      </c>
      <c r="T59" s="83">
        <f>IF(OR($A59="",$F59&lt;&gt;"Y"),"",IF(IF($L59="",InsuranceType,$L59)="포괄",DATE(YEAR($G59),MONTH($G59)+1,20),WORKDAY($G59,10)))</f>
        <v/>
      </c>
      <c r="U59" s="83">
        <f>IF(OR($A59="",$M59=""),"",WORKDAY($M59,10))</f>
        <v/>
      </c>
      <c r="V59" s="37">
        <f>IF($A59="","",IF($N59="Y","사기 의심: 콜백 검증 전 대금 안내 중단",""))</f>
        <v/>
      </c>
      <c r="W59" s="37">
        <f>IF($A59="","",IF(AND($K59="N",$D59&lt;&gt;"LC_SIGHT",$D59&lt;&gt;"LC_USANCE",$D59&lt;&gt;"TT_ADV"),$O59,""))</f>
        <v/>
      </c>
      <c r="X59" s="37">
        <f>IF($A59="",0,IF(AND($K59="N",$D59&lt;&gt;"LC_SIGHT",$D59&lt;&gt;"LC_USANCE",$D59&lt;&gt;"TT_ADV",$O59&gt;=30),1,0))</f>
        <v/>
      </c>
      <c r="Y59" s="37">
        <f>IF($A59="","",IF($O59&lt;=0,"미연체",IF($O59&lt;=30,"1-30",IF($O59&lt;=90,"31-90",IF($O59&lt;=180,"91-180",IF($O59&lt;=365,"181-365","365+"))))))</f>
        <v/>
      </c>
      <c r="Z59" s="37">
        <f>IF($S59="통지 기한 임박 — 사람 결정",COUNTIF($S$5:$S59,"통지 기한 임박 — 사람 결정"),"")</f>
        <v/>
      </c>
      <c r="AB59" s="37">
        <f>IF('02_Buyers'!$A56="","",'02_Buyers'!$A56)</f>
        <v/>
      </c>
      <c r="AC59" s="37">
        <f>IF($AB59="","",'02_Buyers'!$AH56)</f>
        <v/>
      </c>
      <c r="AD59" s="37">
        <f>IF($AB59="","",COUNTIFS(inv_buyer,$AB59,inv_paid,"N"))</f>
        <v/>
      </c>
      <c r="AE59" s="40">
        <f>IF($AB59="","",SUMIFS(inv_usd,inv_buyer,$AB59,inv_paid,"N"))</f>
        <v/>
      </c>
      <c r="AF59" s="37">
        <f>IF($AB59="","",_xlfn.MAXIFS(inv_nonlc_dpd,inv_buyer,$AB59))</f>
        <v/>
      </c>
      <c r="AG59" s="37">
        <f>IF($AB59="","",COUNTIFS(inv_buyer,$AB59,inv_hold30,1))</f>
        <v/>
      </c>
      <c r="AH59" s="37">
        <f>IF($AB59="","",IF(OR($AC59=1,$AG59&gt;0),"선적 보류",""))</f>
        <v/>
      </c>
      <c r="AI59" s="37">
        <f>IF($AH59&lt;&gt;"선적 보류","","내부 에스컬레이션: 여신 한도 동결 제안(사람 승인)")</f>
        <v/>
      </c>
      <c r="AJ59" s="37">
        <f>IF($AB59="","",COUNTIFS(inv_buyer,$AB59,inv_alert,"통지 기한 임박*"))</f>
        <v/>
      </c>
      <c r="AK59" s="40">
        <f>IF($AB59="","",'10_LimitLP'!$F59)</f>
        <v/>
      </c>
      <c r="AL59" s="84">
        <f>IF(OR($AB59="",$AK59&lt;=0),"",$AE59/$AK59)</f>
        <v/>
      </c>
      <c r="AM59" s="37">
        <f>IF($AL59="","",IF($AL59&gt;=0.8,"사용률 80%↑ — 출고 전 사전승인(제18조)",""))</f>
        <v/>
      </c>
      <c r="AN59" s="37">
        <f>IF($AB59="","",IFERROR(IF(INDEX($AU$21:$AU$40,MATCH('02_Buyers'!$S56,$AS$21:$AS$40,0))="","",INDEX($AU$21:$AU$40,MATCH('02_Buyers'!$S56,$AS$21:$AS$40,0))),""))</f>
        <v/>
      </c>
      <c r="AO59" s="37">
        <f>IF($AB59="","",IFERROR(IF(INDEX($AV$21:$AV$40,MATCH('02_Buyers'!$S56,$AS$21:$AS$40,0))="","",INDEX($AV$21:$AV$40,MATCH('02_Buyers'!$S56,$AS$21:$AS$40,0))),""))</f>
        <v/>
      </c>
      <c r="AP59" s="37">
        <f>IF(OR($AB59="",$AN59="",$AO59=""),"",IF($AN59&gt;$AO59,"국가등급 하향 — 한도 재산정",""))</f>
        <v/>
      </c>
      <c r="AQ59" s="37">
        <f>IF($AH59="선적 보류",COUNTIF($AH$5:$AH59,"선적 보류"),"")</f>
        <v/>
      </c>
    </row>
    <row r="60">
      <c r="A60" t="inlineStr">
        <is>
          <t>INV-2607-0015</t>
        </is>
      </c>
      <c r="B60" t="inlineStr">
        <is>
          <t>B031</t>
        </is>
      </c>
      <c r="C60" t="inlineStr">
        <is>
          <t>MEX</t>
        </is>
      </c>
      <c r="D60" t="inlineStr">
        <is>
          <t>OA</t>
        </is>
      </c>
      <c r="E60" t="inlineStr">
        <is>
          <t>USD</t>
        </is>
      </c>
      <c r="F60" t="inlineStr">
        <is>
          <t>Y</t>
        </is>
      </c>
      <c r="G60" s="32" t="n">
        <v>46207</v>
      </c>
      <c r="H60" s="32" t="n">
        <v>46267</v>
      </c>
      <c r="I60" s="82" t="n">
        <v>15680</v>
      </c>
      <c r="J60" s="82" t="n">
        <v>15680</v>
      </c>
      <c r="K60" t="inlineStr">
        <is>
          <t>N</t>
        </is>
      </c>
      <c r="L60" t="inlineStr">
        <is>
          <t>개별</t>
        </is>
      </c>
      <c r="N60" t="inlineStr">
        <is>
          <t>N</t>
        </is>
      </c>
      <c r="O60" s="37">
        <f>IF($A60="","",AsOf-$H60)</f>
        <v/>
      </c>
      <c r="P60" s="37">
        <f>IF($A60="","",IF($K60="Y","-",IF($O60&gt;=30,"D+30 최종통지·선적보류",IF($O60&gt;=15,"D+15 단호한 통지",IF($O60&gt;=7,"D+7 친절한 리마인더",IF(AND($O60&gt;=-3,$O60&lt;=-1),"D-3 사전 안내","모니터링"))))))</f>
        <v/>
      </c>
      <c r="Q60" s="83">
        <f>IF($A60="","",EDATE($H60,1))</f>
        <v/>
      </c>
      <c r="R60" s="37">
        <f>IF($A60="","",$Q60-AsOf)</f>
        <v/>
      </c>
      <c r="S60" s="37">
        <f>IF($A60="","",IF(OR($K60="Y",$F60&lt;&gt;"Y",$O60&lt;=0),"",IF($R60&lt;0,"통지 기한 경과 — 즉시 확인",IF($R60&lt;=NoticeWarnDays,"통지 기한 임박 — 사람 결정",""))))</f>
        <v/>
      </c>
      <c r="T60" s="83">
        <f>IF(OR($A60="",$F60&lt;&gt;"Y"),"",IF(IF($L60="",InsuranceType,$L60)="포괄",DATE(YEAR($G60),MONTH($G60)+1,20),WORKDAY($G60,10)))</f>
        <v/>
      </c>
      <c r="U60" s="83">
        <f>IF(OR($A60="",$M60=""),"",WORKDAY($M60,10))</f>
        <v/>
      </c>
      <c r="V60" s="37">
        <f>IF($A60="","",IF($N60="Y","사기 의심: 콜백 검증 전 대금 안내 중단",""))</f>
        <v/>
      </c>
      <c r="W60" s="37">
        <f>IF($A60="","",IF(AND($K60="N",$D60&lt;&gt;"LC_SIGHT",$D60&lt;&gt;"LC_USANCE",$D60&lt;&gt;"TT_ADV"),$O60,""))</f>
        <v/>
      </c>
      <c r="X60" s="37">
        <f>IF($A60="",0,IF(AND($K60="N",$D60&lt;&gt;"LC_SIGHT",$D60&lt;&gt;"LC_USANCE",$D60&lt;&gt;"TT_ADV",$O60&gt;=30),1,0))</f>
        <v/>
      </c>
      <c r="Y60" s="37">
        <f>IF($A60="","",IF($O60&lt;=0,"미연체",IF($O60&lt;=30,"1-30",IF($O60&lt;=90,"31-90",IF($O60&lt;=180,"91-180",IF($O60&lt;=365,"181-365","365+"))))))</f>
        <v/>
      </c>
      <c r="Z60" s="37">
        <f>IF($S60="통지 기한 임박 — 사람 결정",COUNTIF($S$5:$S60,"통지 기한 임박 — 사람 결정"),"")</f>
        <v/>
      </c>
      <c r="AB60" s="37">
        <f>IF('02_Buyers'!$A57="","",'02_Buyers'!$A57)</f>
        <v/>
      </c>
      <c r="AC60" s="37">
        <f>IF($AB60="","",'02_Buyers'!$AH57)</f>
        <v/>
      </c>
      <c r="AD60" s="37">
        <f>IF($AB60="","",COUNTIFS(inv_buyer,$AB60,inv_paid,"N"))</f>
        <v/>
      </c>
      <c r="AE60" s="40">
        <f>IF($AB60="","",SUMIFS(inv_usd,inv_buyer,$AB60,inv_paid,"N"))</f>
        <v/>
      </c>
      <c r="AF60" s="37">
        <f>IF($AB60="","",_xlfn.MAXIFS(inv_nonlc_dpd,inv_buyer,$AB60))</f>
        <v/>
      </c>
      <c r="AG60" s="37">
        <f>IF($AB60="","",COUNTIFS(inv_buyer,$AB60,inv_hold30,1))</f>
        <v/>
      </c>
      <c r="AH60" s="37">
        <f>IF($AB60="","",IF(OR($AC60=1,$AG60&gt;0),"선적 보류",""))</f>
        <v/>
      </c>
      <c r="AI60" s="37">
        <f>IF($AH60&lt;&gt;"선적 보류","","내부 에스컬레이션: 여신 한도 동결 제안(사람 승인)")</f>
        <v/>
      </c>
      <c r="AJ60" s="37">
        <f>IF($AB60="","",COUNTIFS(inv_buyer,$AB60,inv_alert,"통지 기한 임박*"))</f>
        <v/>
      </c>
      <c r="AK60" s="40">
        <f>IF($AB60="","",'10_LimitLP'!$F60)</f>
        <v/>
      </c>
      <c r="AL60" s="84">
        <f>IF(OR($AB60="",$AK60&lt;=0),"",$AE60/$AK60)</f>
        <v/>
      </c>
      <c r="AM60" s="37">
        <f>IF($AL60="","",IF($AL60&gt;=0.8,"사용률 80%↑ — 출고 전 사전승인(제18조)",""))</f>
        <v/>
      </c>
      <c r="AN60" s="37">
        <f>IF($AB60="","",IFERROR(IF(INDEX($AU$21:$AU$40,MATCH('02_Buyers'!$S57,$AS$21:$AS$40,0))="","",INDEX($AU$21:$AU$40,MATCH('02_Buyers'!$S57,$AS$21:$AS$40,0))),""))</f>
        <v/>
      </c>
      <c r="AO60" s="37">
        <f>IF($AB60="","",IFERROR(IF(INDEX($AV$21:$AV$40,MATCH('02_Buyers'!$S57,$AS$21:$AS$40,0))="","",INDEX($AV$21:$AV$40,MATCH('02_Buyers'!$S57,$AS$21:$AS$40,0))),""))</f>
        <v/>
      </c>
      <c r="AP60" s="37">
        <f>IF(OR($AB60="",$AN60="",$AO60=""),"",IF($AN60&gt;$AO60,"국가등급 하향 — 한도 재산정",""))</f>
        <v/>
      </c>
      <c r="AQ60" s="37">
        <f>IF($AH60="선적 보류",COUNTIF($AH$5:$AH60,"선적 보류"),"")</f>
        <v/>
      </c>
    </row>
    <row r="61">
      <c r="A61" t="inlineStr">
        <is>
          <t>INV-2608-0053</t>
        </is>
      </c>
      <c r="B61" t="inlineStr">
        <is>
          <t>B031</t>
        </is>
      </c>
      <c r="C61" t="inlineStr">
        <is>
          <t>MEX</t>
        </is>
      </c>
      <c r="D61" t="inlineStr">
        <is>
          <t>OA</t>
        </is>
      </c>
      <c r="E61" t="inlineStr">
        <is>
          <t>USD</t>
        </is>
      </c>
      <c r="F61" t="inlineStr">
        <is>
          <t>Y</t>
        </is>
      </c>
      <c r="G61" s="32" t="n">
        <v>46246</v>
      </c>
      <c r="H61" s="32" t="n">
        <v>46306</v>
      </c>
      <c r="I61" s="82" t="n">
        <v>17960</v>
      </c>
      <c r="J61" s="82" t="n">
        <v>17960</v>
      </c>
      <c r="K61" t="inlineStr">
        <is>
          <t>N</t>
        </is>
      </c>
      <c r="L61" t="inlineStr">
        <is>
          <t>개별</t>
        </is>
      </c>
      <c r="N61" t="inlineStr">
        <is>
          <t>N</t>
        </is>
      </c>
      <c r="O61" s="37">
        <f>IF($A61="","",AsOf-$H61)</f>
        <v/>
      </c>
      <c r="P61" s="37">
        <f>IF($A61="","",IF($K61="Y","-",IF($O61&gt;=30,"D+30 최종통지·선적보류",IF($O61&gt;=15,"D+15 단호한 통지",IF($O61&gt;=7,"D+7 친절한 리마인더",IF(AND($O61&gt;=-3,$O61&lt;=-1),"D-3 사전 안내","모니터링"))))))</f>
        <v/>
      </c>
      <c r="Q61" s="83">
        <f>IF($A61="","",EDATE($H61,1))</f>
        <v/>
      </c>
      <c r="R61" s="37">
        <f>IF($A61="","",$Q61-AsOf)</f>
        <v/>
      </c>
      <c r="S61" s="37">
        <f>IF($A61="","",IF(OR($K61="Y",$F61&lt;&gt;"Y",$O61&lt;=0),"",IF($R61&lt;0,"통지 기한 경과 — 즉시 확인",IF($R61&lt;=NoticeWarnDays,"통지 기한 임박 — 사람 결정",""))))</f>
        <v/>
      </c>
      <c r="T61" s="83">
        <f>IF(OR($A61="",$F61&lt;&gt;"Y"),"",IF(IF($L61="",InsuranceType,$L61)="포괄",DATE(YEAR($G61),MONTH($G61)+1,20),WORKDAY($G61,10)))</f>
        <v/>
      </c>
      <c r="U61" s="83">
        <f>IF(OR($A61="",$M61=""),"",WORKDAY($M61,10))</f>
        <v/>
      </c>
      <c r="V61" s="37">
        <f>IF($A61="","",IF($N61="Y","사기 의심: 콜백 검증 전 대금 안내 중단",""))</f>
        <v/>
      </c>
      <c r="W61" s="37">
        <f>IF($A61="","",IF(AND($K61="N",$D61&lt;&gt;"LC_SIGHT",$D61&lt;&gt;"LC_USANCE",$D61&lt;&gt;"TT_ADV"),$O61,""))</f>
        <v/>
      </c>
      <c r="X61" s="37">
        <f>IF($A61="",0,IF(AND($K61="N",$D61&lt;&gt;"LC_SIGHT",$D61&lt;&gt;"LC_USANCE",$D61&lt;&gt;"TT_ADV",$O61&gt;=30),1,0))</f>
        <v/>
      </c>
      <c r="Y61" s="37">
        <f>IF($A61="","",IF($O61&lt;=0,"미연체",IF($O61&lt;=30,"1-30",IF($O61&lt;=90,"31-90",IF($O61&lt;=180,"91-180",IF($O61&lt;=365,"181-365","365+"))))))</f>
        <v/>
      </c>
      <c r="Z61" s="37">
        <f>IF($S61="통지 기한 임박 — 사람 결정",COUNTIF($S$5:$S61,"통지 기한 임박 — 사람 결정"),"")</f>
        <v/>
      </c>
      <c r="AB61" s="37">
        <f>IF('02_Buyers'!$A58="","",'02_Buyers'!$A58)</f>
        <v/>
      </c>
      <c r="AC61" s="37">
        <f>IF($AB61="","",'02_Buyers'!$AH58)</f>
        <v/>
      </c>
      <c r="AD61" s="37">
        <f>IF($AB61="","",COUNTIFS(inv_buyer,$AB61,inv_paid,"N"))</f>
        <v/>
      </c>
      <c r="AE61" s="40">
        <f>IF($AB61="","",SUMIFS(inv_usd,inv_buyer,$AB61,inv_paid,"N"))</f>
        <v/>
      </c>
      <c r="AF61" s="37">
        <f>IF($AB61="","",_xlfn.MAXIFS(inv_nonlc_dpd,inv_buyer,$AB61))</f>
        <v/>
      </c>
      <c r="AG61" s="37">
        <f>IF($AB61="","",COUNTIFS(inv_buyer,$AB61,inv_hold30,1))</f>
        <v/>
      </c>
      <c r="AH61" s="37">
        <f>IF($AB61="","",IF(OR($AC61=1,$AG61&gt;0),"선적 보류",""))</f>
        <v/>
      </c>
      <c r="AI61" s="37">
        <f>IF($AH61&lt;&gt;"선적 보류","","내부 에스컬레이션: 여신 한도 동결 제안(사람 승인)")</f>
        <v/>
      </c>
      <c r="AJ61" s="37">
        <f>IF($AB61="","",COUNTIFS(inv_buyer,$AB61,inv_alert,"통지 기한 임박*"))</f>
        <v/>
      </c>
      <c r="AK61" s="40">
        <f>IF($AB61="","",'10_LimitLP'!$F61)</f>
        <v/>
      </c>
      <c r="AL61" s="84">
        <f>IF(OR($AB61="",$AK61&lt;=0),"",$AE61/$AK61)</f>
        <v/>
      </c>
      <c r="AM61" s="37">
        <f>IF($AL61="","",IF($AL61&gt;=0.8,"사용률 80%↑ — 출고 전 사전승인(제18조)",""))</f>
        <v/>
      </c>
      <c r="AN61" s="37">
        <f>IF($AB61="","",IFERROR(IF(INDEX($AU$21:$AU$40,MATCH('02_Buyers'!$S58,$AS$21:$AS$40,0))="","",INDEX($AU$21:$AU$40,MATCH('02_Buyers'!$S58,$AS$21:$AS$40,0))),""))</f>
        <v/>
      </c>
      <c r="AO61" s="37">
        <f>IF($AB61="","",IFERROR(IF(INDEX($AV$21:$AV$40,MATCH('02_Buyers'!$S58,$AS$21:$AS$40,0))="","",INDEX($AV$21:$AV$40,MATCH('02_Buyers'!$S58,$AS$21:$AS$40,0))),""))</f>
        <v/>
      </c>
      <c r="AP61" s="37">
        <f>IF(OR($AB61="",$AN61="",$AO61=""),"",IF($AN61&gt;$AO61,"국가등급 하향 — 한도 재산정",""))</f>
        <v/>
      </c>
      <c r="AQ61" s="37">
        <f>IF($AH61="선적 보류",COUNTIF($AH$5:$AH61,"선적 보류"),"")</f>
        <v/>
      </c>
    </row>
    <row r="62">
      <c r="A62" t="inlineStr">
        <is>
          <t>INV-2608-0114</t>
        </is>
      </c>
      <c r="B62" t="inlineStr">
        <is>
          <t>B031</t>
        </is>
      </c>
      <c r="C62" t="inlineStr">
        <is>
          <t>MEX</t>
        </is>
      </c>
      <c r="D62" t="inlineStr">
        <is>
          <t>OA</t>
        </is>
      </c>
      <c r="E62" t="inlineStr">
        <is>
          <t>USD</t>
        </is>
      </c>
      <c r="F62" t="inlineStr">
        <is>
          <t>Y</t>
        </is>
      </c>
      <c r="G62" s="32" t="n">
        <v>46257</v>
      </c>
      <c r="H62" s="32" t="n">
        <v>46317</v>
      </c>
      <c r="I62" s="82" t="n">
        <v>6850</v>
      </c>
      <c r="J62" s="82" t="n">
        <v>6850</v>
      </c>
      <c r="K62" t="inlineStr">
        <is>
          <t>N</t>
        </is>
      </c>
      <c r="L62" t="inlineStr">
        <is>
          <t>개별</t>
        </is>
      </c>
      <c r="N62" t="inlineStr">
        <is>
          <t>N</t>
        </is>
      </c>
      <c r="O62" s="37">
        <f>IF($A62="","",AsOf-$H62)</f>
        <v/>
      </c>
      <c r="P62" s="37">
        <f>IF($A62="","",IF($K62="Y","-",IF($O62&gt;=30,"D+30 최종통지·선적보류",IF($O62&gt;=15,"D+15 단호한 통지",IF($O62&gt;=7,"D+7 친절한 리마인더",IF(AND($O62&gt;=-3,$O62&lt;=-1),"D-3 사전 안내","모니터링"))))))</f>
        <v/>
      </c>
      <c r="Q62" s="83">
        <f>IF($A62="","",EDATE($H62,1))</f>
        <v/>
      </c>
      <c r="R62" s="37">
        <f>IF($A62="","",$Q62-AsOf)</f>
        <v/>
      </c>
      <c r="S62" s="37">
        <f>IF($A62="","",IF(OR($K62="Y",$F62&lt;&gt;"Y",$O62&lt;=0),"",IF($R62&lt;0,"통지 기한 경과 — 즉시 확인",IF($R62&lt;=NoticeWarnDays,"통지 기한 임박 — 사람 결정",""))))</f>
        <v/>
      </c>
      <c r="T62" s="83">
        <f>IF(OR($A62="",$F62&lt;&gt;"Y"),"",IF(IF($L62="",InsuranceType,$L62)="포괄",DATE(YEAR($G62),MONTH($G62)+1,20),WORKDAY($G62,10)))</f>
        <v/>
      </c>
      <c r="U62" s="83">
        <f>IF(OR($A62="",$M62=""),"",WORKDAY($M62,10))</f>
        <v/>
      </c>
      <c r="V62" s="37">
        <f>IF($A62="","",IF($N62="Y","사기 의심: 콜백 검증 전 대금 안내 중단",""))</f>
        <v/>
      </c>
      <c r="W62" s="37">
        <f>IF($A62="","",IF(AND($K62="N",$D62&lt;&gt;"LC_SIGHT",$D62&lt;&gt;"LC_USANCE",$D62&lt;&gt;"TT_ADV"),$O62,""))</f>
        <v/>
      </c>
      <c r="X62" s="37">
        <f>IF($A62="",0,IF(AND($K62="N",$D62&lt;&gt;"LC_SIGHT",$D62&lt;&gt;"LC_USANCE",$D62&lt;&gt;"TT_ADV",$O62&gt;=30),1,0))</f>
        <v/>
      </c>
      <c r="Y62" s="37">
        <f>IF($A62="","",IF($O62&lt;=0,"미연체",IF($O62&lt;=30,"1-30",IF($O62&lt;=90,"31-90",IF($O62&lt;=180,"91-180",IF($O62&lt;=365,"181-365","365+"))))))</f>
        <v/>
      </c>
      <c r="Z62" s="37">
        <f>IF($S62="통지 기한 임박 — 사람 결정",COUNTIF($S$5:$S62,"통지 기한 임박 — 사람 결정"),"")</f>
        <v/>
      </c>
      <c r="AB62" s="37">
        <f>IF('02_Buyers'!$A59="","",'02_Buyers'!$A59)</f>
        <v/>
      </c>
      <c r="AC62" s="37">
        <f>IF($AB62="","",'02_Buyers'!$AH59)</f>
        <v/>
      </c>
      <c r="AD62" s="37">
        <f>IF($AB62="","",COUNTIFS(inv_buyer,$AB62,inv_paid,"N"))</f>
        <v/>
      </c>
      <c r="AE62" s="40">
        <f>IF($AB62="","",SUMIFS(inv_usd,inv_buyer,$AB62,inv_paid,"N"))</f>
        <v/>
      </c>
      <c r="AF62" s="37">
        <f>IF($AB62="","",_xlfn.MAXIFS(inv_nonlc_dpd,inv_buyer,$AB62))</f>
        <v/>
      </c>
      <c r="AG62" s="37">
        <f>IF($AB62="","",COUNTIFS(inv_buyer,$AB62,inv_hold30,1))</f>
        <v/>
      </c>
      <c r="AH62" s="37">
        <f>IF($AB62="","",IF(OR($AC62=1,$AG62&gt;0),"선적 보류",""))</f>
        <v/>
      </c>
      <c r="AI62" s="37">
        <f>IF($AH62&lt;&gt;"선적 보류","","내부 에스컬레이션: 여신 한도 동결 제안(사람 승인)")</f>
        <v/>
      </c>
      <c r="AJ62" s="37">
        <f>IF($AB62="","",COUNTIFS(inv_buyer,$AB62,inv_alert,"통지 기한 임박*"))</f>
        <v/>
      </c>
      <c r="AK62" s="40">
        <f>IF($AB62="","",'10_LimitLP'!$F62)</f>
        <v/>
      </c>
      <c r="AL62" s="84">
        <f>IF(OR($AB62="",$AK62&lt;=0),"",$AE62/$AK62)</f>
        <v/>
      </c>
      <c r="AM62" s="37">
        <f>IF($AL62="","",IF($AL62&gt;=0.8,"사용률 80%↑ — 출고 전 사전승인(제18조)",""))</f>
        <v/>
      </c>
      <c r="AN62" s="37">
        <f>IF($AB62="","",IFERROR(IF(INDEX($AU$21:$AU$40,MATCH('02_Buyers'!$S59,$AS$21:$AS$40,0))="","",INDEX($AU$21:$AU$40,MATCH('02_Buyers'!$S59,$AS$21:$AS$40,0))),""))</f>
        <v/>
      </c>
      <c r="AO62" s="37">
        <f>IF($AB62="","",IFERROR(IF(INDEX($AV$21:$AV$40,MATCH('02_Buyers'!$S59,$AS$21:$AS$40,0))="","",INDEX($AV$21:$AV$40,MATCH('02_Buyers'!$S59,$AS$21:$AS$40,0))),""))</f>
        <v/>
      </c>
      <c r="AP62" s="37">
        <f>IF(OR($AB62="",$AN62="",$AO62=""),"",IF($AN62&gt;$AO62,"국가등급 하향 — 한도 재산정",""))</f>
        <v/>
      </c>
      <c r="AQ62" s="37">
        <f>IF($AH62="선적 보류",COUNTIF($AH$5:$AH62,"선적 보류"),"")</f>
        <v/>
      </c>
    </row>
    <row r="63">
      <c r="A63" t="inlineStr">
        <is>
          <t>INV-2609-0086</t>
        </is>
      </c>
      <c r="B63" t="inlineStr">
        <is>
          <t>B031</t>
        </is>
      </c>
      <c r="C63" t="inlineStr">
        <is>
          <t>MEX</t>
        </is>
      </c>
      <c r="D63" t="inlineStr">
        <is>
          <t>OA</t>
        </is>
      </c>
      <c r="E63" t="inlineStr">
        <is>
          <t>USD</t>
        </is>
      </c>
      <c r="F63" t="inlineStr">
        <is>
          <t>Y</t>
        </is>
      </c>
      <c r="G63" s="32" t="n">
        <v>46281</v>
      </c>
      <c r="H63" s="32" t="n">
        <v>46341</v>
      </c>
      <c r="I63" s="82" t="n">
        <v>3220</v>
      </c>
      <c r="J63" s="82" t="n">
        <v>3220</v>
      </c>
      <c r="K63" t="inlineStr">
        <is>
          <t>N</t>
        </is>
      </c>
      <c r="L63" t="inlineStr">
        <is>
          <t>개별</t>
        </is>
      </c>
      <c r="N63" t="inlineStr">
        <is>
          <t>N</t>
        </is>
      </c>
      <c r="O63" s="37">
        <f>IF($A63="","",AsOf-$H63)</f>
        <v/>
      </c>
      <c r="P63" s="37">
        <f>IF($A63="","",IF($K63="Y","-",IF($O63&gt;=30,"D+30 최종통지·선적보류",IF($O63&gt;=15,"D+15 단호한 통지",IF($O63&gt;=7,"D+7 친절한 리마인더",IF(AND($O63&gt;=-3,$O63&lt;=-1),"D-3 사전 안내","모니터링"))))))</f>
        <v/>
      </c>
      <c r="Q63" s="83">
        <f>IF($A63="","",EDATE($H63,1))</f>
        <v/>
      </c>
      <c r="R63" s="37">
        <f>IF($A63="","",$Q63-AsOf)</f>
        <v/>
      </c>
      <c r="S63" s="37">
        <f>IF($A63="","",IF(OR($K63="Y",$F63&lt;&gt;"Y",$O63&lt;=0),"",IF($R63&lt;0,"통지 기한 경과 — 즉시 확인",IF($R63&lt;=NoticeWarnDays,"통지 기한 임박 — 사람 결정",""))))</f>
        <v/>
      </c>
      <c r="T63" s="83">
        <f>IF(OR($A63="",$F63&lt;&gt;"Y"),"",IF(IF($L63="",InsuranceType,$L63)="포괄",DATE(YEAR($G63),MONTH($G63)+1,20),WORKDAY($G63,10)))</f>
        <v/>
      </c>
      <c r="U63" s="83">
        <f>IF(OR($A63="",$M63=""),"",WORKDAY($M63,10))</f>
        <v/>
      </c>
      <c r="V63" s="37">
        <f>IF($A63="","",IF($N63="Y","사기 의심: 콜백 검증 전 대금 안내 중단",""))</f>
        <v/>
      </c>
      <c r="W63" s="37">
        <f>IF($A63="","",IF(AND($K63="N",$D63&lt;&gt;"LC_SIGHT",$D63&lt;&gt;"LC_USANCE",$D63&lt;&gt;"TT_ADV"),$O63,""))</f>
        <v/>
      </c>
      <c r="X63" s="37">
        <f>IF($A63="",0,IF(AND($K63="N",$D63&lt;&gt;"LC_SIGHT",$D63&lt;&gt;"LC_USANCE",$D63&lt;&gt;"TT_ADV",$O63&gt;=30),1,0))</f>
        <v/>
      </c>
      <c r="Y63" s="37">
        <f>IF($A63="","",IF($O63&lt;=0,"미연체",IF($O63&lt;=30,"1-30",IF($O63&lt;=90,"31-90",IF($O63&lt;=180,"91-180",IF($O63&lt;=365,"181-365","365+"))))))</f>
        <v/>
      </c>
      <c r="Z63" s="37">
        <f>IF($S63="통지 기한 임박 — 사람 결정",COUNTIF($S$5:$S63,"통지 기한 임박 — 사람 결정"),"")</f>
        <v/>
      </c>
      <c r="AB63" s="37">
        <f>IF('02_Buyers'!$A60="","",'02_Buyers'!$A60)</f>
        <v/>
      </c>
      <c r="AC63" s="37">
        <f>IF($AB63="","",'02_Buyers'!$AH60)</f>
        <v/>
      </c>
      <c r="AD63" s="37">
        <f>IF($AB63="","",COUNTIFS(inv_buyer,$AB63,inv_paid,"N"))</f>
        <v/>
      </c>
      <c r="AE63" s="40">
        <f>IF($AB63="","",SUMIFS(inv_usd,inv_buyer,$AB63,inv_paid,"N"))</f>
        <v/>
      </c>
      <c r="AF63" s="37">
        <f>IF($AB63="","",_xlfn.MAXIFS(inv_nonlc_dpd,inv_buyer,$AB63))</f>
        <v/>
      </c>
      <c r="AG63" s="37">
        <f>IF($AB63="","",COUNTIFS(inv_buyer,$AB63,inv_hold30,1))</f>
        <v/>
      </c>
      <c r="AH63" s="37">
        <f>IF($AB63="","",IF(OR($AC63=1,$AG63&gt;0),"선적 보류",""))</f>
        <v/>
      </c>
      <c r="AI63" s="37">
        <f>IF($AH63&lt;&gt;"선적 보류","","내부 에스컬레이션: 여신 한도 동결 제안(사람 승인)")</f>
        <v/>
      </c>
      <c r="AJ63" s="37">
        <f>IF($AB63="","",COUNTIFS(inv_buyer,$AB63,inv_alert,"통지 기한 임박*"))</f>
        <v/>
      </c>
      <c r="AK63" s="40">
        <f>IF($AB63="","",'10_LimitLP'!$F63)</f>
        <v/>
      </c>
      <c r="AL63" s="84">
        <f>IF(OR($AB63="",$AK63&lt;=0),"",$AE63/$AK63)</f>
        <v/>
      </c>
      <c r="AM63" s="37">
        <f>IF($AL63="","",IF($AL63&gt;=0.8,"사용률 80%↑ — 출고 전 사전승인(제18조)",""))</f>
        <v/>
      </c>
      <c r="AN63" s="37">
        <f>IF($AB63="","",IFERROR(IF(INDEX($AU$21:$AU$40,MATCH('02_Buyers'!$S60,$AS$21:$AS$40,0))="","",INDEX($AU$21:$AU$40,MATCH('02_Buyers'!$S60,$AS$21:$AS$40,0))),""))</f>
        <v/>
      </c>
      <c r="AO63" s="37">
        <f>IF($AB63="","",IFERROR(IF(INDEX($AV$21:$AV$40,MATCH('02_Buyers'!$S60,$AS$21:$AS$40,0))="","",INDEX($AV$21:$AV$40,MATCH('02_Buyers'!$S60,$AS$21:$AS$40,0))),""))</f>
        <v/>
      </c>
      <c r="AP63" s="37">
        <f>IF(OR($AB63="",$AN63="",$AO63=""),"",IF($AN63&gt;$AO63,"국가등급 하향 — 한도 재산정",""))</f>
        <v/>
      </c>
      <c r="AQ63" s="37">
        <f>IF($AH63="선적 보류",COUNTIF($AH$5:$AH63,"선적 보류"),"")</f>
        <v/>
      </c>
    </row>
    <row r="64">
      <c r="A64" t="inlineStr">
        <is>
          <t>INV-2609-0128</t>
        </is>
      </c>
      <c r="B64" t="inlineStr">
        <is>
          <t>B031</t>
        </is>
      </c>
      <c r="C64" t="inlineStr">
        <is>
          <t>MEX</t>
        </is>
      </c>
      <c r="D64" t="inlineStr">
        <is>
          <t>OA</t>
        </is>
      </c>
      <c r="E64" t="inlineStr">
        <is>
          <t>USD</t>
        </is>
      </c>
      <c r="F64" t="inlineStr">
        <is>
          <t>Y</t>
        </is>
      </c>
      <c r="G64" s="32" t="n">
        <v>46289</v>
      </c>
      <c r="H64" s="32" t="n">
        <v>46349</v>
      </c>
      <c r="I64" s="82" t="n">
        <v>14540</v>
      </c>
      <c r="J64" s="82" t="n">
        <v>14540</v>
      </c>
      <c r="K64" t="inlineStr">
        <is>
          <t>N</t>
        </is>
      </c>
      <c r="L64" t="inlineStr">
        <is>
          <t>개별</t>
        </is>
      </c>
      <c r="N64" t="inlineStr">
        <is>
          <t>N</t>
        </is>
      </c>
      <c r="O64" s="37">
        <f>IF($A64="","",AsOf-$H64)</f>
        <v/>
      </c>
      <c r="P64" s="37">
        <f>IF($A64="","",IF($K64="Y","-",IF($O64&gt;=30,"D+30 최종통지·선적보류",IF($O64&gt;=15,"D+15 단호한 통지",IF($O64&gt;=7,"D+7 친절한 리마인더",IF(AND($O64&gt;=-3,$O64&lt;=-1),"D-3 사전 안내","모니터링"))))))</f>
        <v/>
      </c>
      <c r="Q64" s="83">
        <f>IF($A64="","",EDATE($H64,1))</f>
        <v/>
      </c>
      <c r="R64" s="37">
        <f>IF($A64="","",$Q64-AsOf)</f>
        <v/>
      </c>
      <c r="S64" s="37">
        <f>IF($A64="","",IF(OR($K64="Y",$F64&lt;&gt;"Y",$O64&lt;=0),"",IF($R64&lt;0,"통지 기한 경과 — 즉시 확인",IF($R64&lt;=NoticeWarnDays,"통지 기한 임박 — 사람 결정",""))))</f>
        <v/>
      </c>
      <c r="T64" s="83">
        <f>IF(OR($A64="",$F64&lt;&gt;"Y"),"",IF(IF($L64="",InsuranceType,$L64)="포괄",DATE(YEAR($G64),MONTH($G64)+1,20),WORKDAY($G64,10)))</f>
        <v/>
      </c>
      <c r="U64" s="83">
        <f>IF(OR($A64="",$M64=""),"",WORKDAY($M64,10))</f>
        <v/>
      </c>
      <c r="V64" s="37">
        <f>IF($A64="","",IF($N64="Y","사기 의심: 콜백 검증 전 대금 안내 중단",""))</f>
        <v/>
      </c>
      <c r="W64" s="37">
        <f>IF($A64="","",IF(AND($K64="N",$D64&lt;&gt;"LC_SIGHT",$D64&lt;&gt;"LC_USANCE",$D64&lt;&gt;"TT_ADV"),$O64,""))</f>
        <v/>
      </c>
      <c r="X64" s="37">
        <f>IF($A64="",0,IF(AND($K64="N",$D64&lt;&gt;"LC_SIGHT",$D64&lt;&gt;"LC_USANCE",$D64&lt;&gt;"TT_ADV",$O64&gt;=30),1,0))</f>
        <v/>
      </c>
      <c r="Y64" s="37">
        <f>IF($A64="","",IF($O64&lt;=0,"미연체",IF($O64&lt;=30,"1-30",IF($O64&lt;=90,"31-90",IF($O64&lt;=180,"91-180",IF($O64&lt;=365,"181-365","365+"))))))</f>
        <v/>
      </c>
      <c r="Z64" s="37">
        <f>IF($S64="통지 기한 임박 — 사람 결정",COUNTIF($S$5:$S64,"통지 기한 임박 — 사람 결정"),"")</f>
        <v/>
      </c>
      <c r="AB64" s="37">
        <f>IF('02_Buyers'!$A61="","",'02_Buyers'!$A61)</f>
        <v/>
      </c>
      <c r="AC64" s="37">
        <f>IF($AB64="","",'02_Buyers'!$AH61)</f>
        <v/>
      </c>
      <c r="AD64" s="37">
        <f>IF($AB64="","",COUNTIFS(inv_buyer,$AB64,inv_paid,"N"))</f>
        <v/>
      </c>
      <c r="AE64" s="40">
        <f>IF($AB64="","",SUMIFS(inv_usd,inv_buyer,$AB64,inv_paid,"N"))</f>
        <v/>
      </c>
      <c r="AF64" s="37">
        <f>IF($AB64="","",_xlfn.MAXIFS(inv_nonlc_dpd,inv_buyer,$AB64))</f>
        <v/>
      </c>
      <c r="AG64" s="37">
        <f>IF($AB64="","",COUNTIFS(inv_buyer,$AB64,inv_hold30,1))</f>
        <v/>
      </c>
      <c r="AH64" s="37">
        <f>IF($AB64="","",IF(OR($AC64=1,$AG64&gt;0),"선적 보류",""))</f>
        <v/>
      </c>
      <c r="AI64" s="37">
        <f>IF($AH64&lt;&gt;"선적 보류","","내부 에스컬레이션: 여신 한도 동결 제안(사람 승인)")</f>
        <v/>
      </c>
      <c r="AJ64" s="37">
        <f>IF($AB64="","",COUNTIFS(inv_buyer,$AB64,inv_alert,"통지 기한 임박*"))</f>
        <v/>
      </c>
      <c r="AK64" s="40">
        <f>IF($AB64="","",'10_LimitLP'!$F64)</f>
        <v/>
      </c>
      <c r="AL64" s="84">
        <f>IF(OR($AB64="",$AK64&lt;=0),"",$AE64/$AK64)</f>
        <v/>
      </c>
      <c r="AM64" s="37">
        <f>IF($AL64="","",IF($AL64&gt;=0.8,"사용률 80%↑ — 출고 전 사전승인(제18조)",""))</f>
        <v/>
      </c>
      <c r="AN64" s="37">
        <f>IF($AB64="","",IFERROR(IF(INDEX($AU$21:$AU$40,MATCH('02_Buyers'!$S61,$AS$21:$AS$40,0))="","",INDEX($AU$21:$AU$40,MATCH('02_Buyers'!$S61,$AS$21:$AS$40,0))),""))</f>
        <v/>
      </c>
      <c r="AO64" s="37">
        <f>IF($AB64="","",IFERROR(IF(INDEX($AV$21:$AV$40,MATCH('02_Buyers'!$S61,$AS$21:$AS$40,0))="","",INDEX($AV$21:$AV$40,MATCH('02_Buyers'!$S61,$AS$21:$AS$40,0))),""))</f>
        <v/>
      </c>
      <c r="AP64" s="37">
        <f>IF(OR($AB64="",$AN64="",$AO64=""),"",IF($AN64&gt;$AO64,"국가등급 하향 — 한도 재산정",""))</f>
        <v/>
      </c>
      <c r="AQ64" s="37">
        <f>IF($AH64="선적 보류",COUNTIF($AH$5:$AH64,"선적 보류"),"")</f>
        <v/>
      </c>
    </row>
    <row r="65">
      <c r="A65" t="inlineStr">
        <is>
          <t>INV-2609-0138</t>
        </is>
      </c>
      <c r="B65" t="inlineStr">
        <is>
          <t>B031</t>
        </is>
      </c>
      <c r="C65" t="inlineStr">
        <is>
          <t>MEX</t>
        </is>
      </c>
      <c r="D65" t="inlineStr">
        <is>
          <t>OA</t>
        </is>
      </c>
      <c r="E65" t="inlineStr">
        <is>
          <t>USD</t>
        </is>
      </c>
      <c r="F65" t="inlineStr">
        <is>
          <t>Y</t>
        </is>
      </c>
      <c r="G65" s="32" t="n">
        <v>46291</v>
      </c>
      <c r="H65" s="32" t="n">
        <v>46351</v>
      </c>
      <c r="I65" s="82" t="n">
        <v>8350</v>
      </c>
      <c r="J65" s="82" t="n">
        <v>8350</v>
      </c>
      <c r="K65" t="inlineStr">
        <is>
          <t>N</t>
        </is>
      </c>
      <c r="L65" t="inlineStr">
        <is>
          <t>개별</t>
        </is>
      </c>
      <c r="N65" t="inlineStr">
        <is>
          <t>N</t>
        </is>
      </c>
      <c r="O65" s="37">
        <f>IF($A65="","",AsOf-$H65)</f>
        <v/>
      </c>
      <c r="P65" s="37">
        <f>IF($A65="","",IF($K65="Y","-",IF($O65&gt;=30,"D+30 최종통지·선적보류",IF($O65&gt;=15,"D+15 단호한 통지",IF($O65&gt;=7,"D+7 친절한 리마인더",IF(AND($O65&gt;=-3,$O65&lt;=-1),"D-3 사전 안내","모니터링"))))))</f>
        <v/>
      </c>
      <c r="Q65" s="83">
        <f>IF($A65="","",EDATE($H65,1))</f>
        <v/>
      </c>
      <c r="R65" s="37">
        <f>IF($A65="","",$Q65-AsOf)</f>
        <v/>
      </c>
      <c r="S65" s="37">
        <f>IF($A65="","",IF(OR($K65="Y",$F65&lt;&gt;"Y",$O65&lt;=0),"",IF($R65&lt;0,"통지 기한 경과 — 즉시 확인",IF($R65&lt;=NoticeWarnDays,"통지 기한 임박 — 사람 결정",""))))</f>
        <v/>
      </c>
      <c r="T65" s="83">
        <f>IF(OR($A65="",$F65&lt;&gt;"Y"),"",IF(IF($L65="",InsuranceType,$L65)="포괄",DATE(YEAR($G65),MONTH($G65)+1,20),WORKDAY($G65,10)))</f>
        <v/>
      </c>
      <c r="U65" s="83">
        <f>IF(OR($A65="",$M65=""),"",WORKDAY($M65,10))</f>
        <v/>
      </c>
      <c r="V65" s="37">
        <f>IF($A65="","",IF($N65="Y","사기 의심: 콜백 검증 전 대금 안내 중단",""))</f>
        <v/>
      </c>
      <c r="W65" s="37">
        <f>IF($A65="","",IF(AND($K65="N",$D65&lt;&gt;"LC_SIGHT",$D65&lt;&gt;"LC_USANCE",$D65&lt;&gt;"TT_ADV"),$O65,""))</f>
        <v/>
      </c>
      <c r="X65" s="37">
        <f>IF($A65="",0,IF(AND($K65="N",$D65&lt;&gt;"LC_SIGHT",$D65&lt;&gt;"LC_USANCE",$D65&lt;&gt;"TT_ADV",$O65&gt;=30),1,0))</f>
        <v/>
      </c>
      <c r="Y65" s="37">
        <f>IF($A65="","",IF($O65&lt;=0,"미연체",IF($O65&lt;=30,"1-30",IF($O65&lt;=90,"31-90",IF($O65&lt;=180,"91-180",IF($O65&lt;=365,"181-365","365+"))))))</f>
        <v/>
      </c>
      <c r="Z65" s="37">
        <f>IF($S65="통지 기한 임박 — 사람 결정",COUNTIF($S$5:$S65,"통지 기한 임박 — 사람 결정"),"")</f>
        <v/>
      </c>
      <c r="AB65" s="37">
        <f>IF('02_Buyers'!$A62="","",'02_Buyers'!$A62)</f>
        <v/>
      </c>
      <c r="AC65" s="37">
        <f>IF($AB65="","",'02_Buyers'!$AH62)</f>
        <v/>
      </c>
      <c r="AD65" s="37">
        <f>IF($AB65="","",COUNTIFS(inv_buyer,$AB65,inv_paid,"N"))</f>
        <v/>
      </c>
      <c r="AE65" s="40">
        <f>IF($AB65="","",SUMIFS(inv_usd,inv_buyer,$AB65,inv_paid,"N"))</f>
        <v/>
      </c>
      <c r="AF65" s="37">
        <f>IF($AB65="","",_xlfn.MAXIFS(inv_nonlc_dpd,inv_buyer,$AB65))</f>
        <v/>
      </c>
      <c r="AG65" s="37">
        <f>IF($AB65="","",COUNTIFS(inv_buyer,$AB65,inv_hold30,1))</f>
        <v/>
      </c>
      <c r="AH65" s="37">
        <f>IF($AB65="","",IF(OR($AC65=1,$AG65&gt;0),"선적 보류",""))</f>
        <v/>
      </c>
      <c r="AI65" s="37">
        <f>IF($AH65&lt;&gt;"선적 보류","","내부 에스컬레이션: 여신 한도 동결 제안(사람 승인)")</f>
        <v/>
      </c>
      <c r="AJ65" s="37">
        <f>IF($AB65="","",COUNTIFS(inv_buyer,$AB65,inv_alert,"통지 기한 임박*"))</f>
        <v/>
      </c>
      <c r="AK65" s="40">
        <f>IF($AB65="","",'10_LimitLP'!$F65)</f>
        <v/>
      </c>
      <c r="AL65" s="84">
        <f>IF(OR($AB65="",$AK65&lt;=0),"",$AE65/$AK65)</f>
        <v/>
      </c>
      <c r="AM65" s="37">
        <f>IF($AL65="","",IF($AL65&gt;=0.8,"사용률 80%↑ — 출고 전 사전승인(제18조)",""))</f>
        <v/>
      </c>
      <c r="AN65" s="37">
        <f>IF($AB65="","",IFERROR(IF(INDEX($AU$21:$AU$40,MATCH('02_Buyers'!$S62,$AS$21:$AS$40,0))="","",INDEX($AU$21:$AU$40,MATCH('02_Buyers'!$S62,$AS$21:$AS$40,0))),""))</f>
        <v/>
      </c>
      <c r="AO65" s="37">
        <f>IF($AB65="","",IFERROR(IF(INDEX($AV$21:$AV$40,MATCH('02_Buyers'!$S62,$AS$21:$AS$40,0))="","",INDEX($AV$21:$AV$40,MATCH('02_Buyers'!$S62,$AS$21:$AS$40,0))),""))</f>
        <v/>
      </c>
      <c r="AP65" s="37">
        <f>IF(OR($AB65="",$AN65="",$AO65=""),"",IF($AN65&gt;$AO65,"국가등급 하향 — 한도 재산정",""))</f>
        <v/>
      </c>
      <c r="AQ65" s="37">
        <f>IF($AH65="선적 보류",COUNTIF($AH$5:$AH65,"선적 보류"),"")</f>
        <v/>
      </c>
    </row>
    <row r="66">
      <c r="A66" t="inlineStr">
        <is>
          <t>INV-2609-0053</t>
        </is>
      </c>
      <c r="B66" t="inlineStr">
        <is>
          <t>B034</t>
        </is>
      </c>
      <c r="C66" t="inlineStr">
        <is>
          <t>DEU</t>
        </is>
      </c>
      <c r="D66" t="inlineStr">
        <is>
          <t>OA</t>
        </is>
      </c>
      <c r="E66" t="inlineStr">
        <is>
          <t>EUR</t>
        </is>
      </c>
      <c r="F66" t="inlineStr">
        <is>
          <t>N</t>
        </is>
      </c>
      <c r="G66" s="32" t="n">
        <v>46275</v>
      </c>
      <c r="H66" s="32" t="n">
        <v>46305</v>
      </c>
      <c r="I66" s="82" t="n">
        <v>10080</v>
      </c>
      <c r="J66" s="82" t="n">
        <v>11491.19</v>
      </c>
      <c r="K66" t="inlineStr">
        <is>
          <t>N</t>
        </is>
      </c>
      <c r="N66" t="inlineStr">
        <is>
          <t>N</t>
        </is>
      </c>
      <c r="O66" s="37">
        <f>IF($A66="","",AsOf-$H66)</f>
        <v/>
      </c>
      <c r="P66" s="37">
        <f>IF($A66="","",IF($K66="Y","-",IF($O66&gt;=30,"D+30 최종통지·선적보류",IF($O66&gt;=15,"D+15 단호한 통지",IF($O66&gt;=7,"D+7 친절한 리마인더",IF(AND($O66&gt;=-3,$O66&lt;=-1),"D-3 사전 안내","모니터링"))))))</f>
        <v/>
      </c>
      <c r="Q66" s="83">
        <f>IF($A66="","",EDATE($H66,1))</f>
        <v/>
      </c>
      <c r="R66" s="37">
        <f>IF($A66="","",$Q66-AsOf)</f>
        <v/>
      </c>
      <c r="S66" s="37">
        <f>IF($A66="","",IF(OR($K66="Y",$F66&lt;&gt;"Y",$O66&lt;=0),"",IF($R66&lt;0,"통지 기한 경과 — 즉시 확인",IF($R66&lt;=NoticeWarnDays,"통지 기한 임박 — 사람 결정",""))))</f>
        <v/>
      </c>
      <c r="T66" s="83">
        <f>IF(OR($A66="",$F66&lt;&gt;"Y"),"",IF(IF($L66="",InsuranceType,$L66)="포괄",DATE(YEAR($G66),MONTH($G66)+1,20),WORKDAY($G66,10)))</f>
        <v/>
      </c>
      <c r="U66" s="83">
        <f>IF(OR($A66="",$M66=""),"",WORKDAY($M66,10))</f>
        <v/>
      </c>
      <c r="V66" s="37">
        <f>IF($A66="","",IF($N66="Y","사기 의심: 콜백 검증 전 대금 안내 중단",""))</f>
        <v/>
      </c>
      <c r="W66" s="37">
        <f>IF($A66="","",IF(AND($K66="N",$D66&lt;&gt;"LC_SIGHT",$D66&lt;&gt;"LC_USANCE",$D66&lt;&gt;"TT_ADV"),$O66,""))</f>
        <v/>
      </c>
      <c r="X66" s="37">
        <f>IF($A66="",0,IF(AND($K66="N",$D66&lt;&gt;"LC_SIGHT",$D66&lt;&gt;"LC_USANCE",$D66&lt;&gt;"TT_ADV",$O66&gt;=30),1,0))</f>
        <v/>
      </c>
      <c r="Y66" s="37">
        <f>IF($A66="","",IF($O66&lt;=0,"미연체",IF($O66&lt;=30,"1-30",IF($O66&lt;=90,"31-90",IF($O66&lt;=180,"91-180",IF($O66&lt;=365,"181-365","365+"))))))</f>
        <v/>
      </c>
      <c r="Z66" s="37">
        <f>IF($S66="통지 기한 임박 — 사람 결정",COUNTIF($S$5:$S66,"통지 기한 임박 — 사람 결정"),"")</f>
        <v/>
      </c>
      <c r="AB66" s="37">
        <f>IF('02_Buyers'!$A63="","",'02_Buyers'!$A63)</f>
        <v/>
      </c>
      <c r="AC66" s="37">
        <f>IF($AB66="","",'02_Buyers'!$AH63)</f>
        <v/>
      </c>
      <c r="AD66" s="37">
        <f>IF($AB66="","",COUNTIFS(inv_buyer,$AB66,inv_paid,"N"))</f>
        <v/>
      </c>
      <c r="AE66" s="40">
        <f>IF($AB66="","",SUMIFS(inv_usd,inv_buyer,$AB66,inv_paid,"N"))</f>
        <v/>
      </c>
      <c r="AF66" s="37">
        <f>IF($AB66="","",_xlfn.MAXIFS(inv_nonlc_dpd,inv_buyer,$AB66))</f>
        <v/>
      </c>
      <c r="AG66" s="37">
        <f>IF($AB66="","",COUNTIFS(inv_buyer,$AB66,inv_hold30,1))</f>
        <v/>
      </c>
      <c r="AH66" s="37">
        <f>IF($AB66="","",IF(OR($AC66=1,$AG66&gt;0),"선적 보류",""))</f>
        <v/>
      </c>
      <c r="AI66" s="37">
        <f>IF($AH66&lt;&gt;"선적 보류","","내부 에스컬레이션: 여신 한도 동결 제안(사람 승인)")</f>
        <v/>
      </c>
      <c r="AJ66" s="37">
        <f>IF($AB66="","",COUNTIFS(inv_buyer,$AB66,inv_alert,"통지 기한 임박*"))</f>
        <v/>
      </c>
      <c r="AK66" s="40">
        <f>IF($AB66="","",'10_LimitLP'!$F66)</f>
        <v/>
      </c>
      <c r="AL66" s="84">
        <f>IF(OR($AB66="",$AK66&lt;=0),"",$AE66/$AK66)</f>
        <v/>
      </c>
      <c r="AM66" s="37">
        <f>IF($AL66="","",IF($AL66&gt;=0.8,"사용률 80%↑ — 출고 전 사전승인(제18조)",""))</f>
        <v/>
      </c>
      <c r="AN66" s="37">
        <f>IF($AB66="","",IFERROR(IF(INDEX($AU$21:$AU$40,MATCH('02_Buyers'!$S63,$AS$21:$AS$40,0))="","",INDEX($AU$21:$AU$40,MATCH('02_Buyers'!$S63,$AS$21:$AS$40,0))),""))</f>
        <v/>
      </c>
      <c r="AO66" s="37">
        <f>IF($AB66="","",IFERROR(IF(INDEX($AV$21:$AV$40,MATCH('02_Buyers'!$S63,$AS$21:$AS$40,0))="","",INDEX($AV$21:$AV$40,MATCH('02_Buyers'!$S63,$AS$21:$AS$40,0))),""))</f>
        <v/>
      </c>
      <c r="AP66" s="37">
        <f>IF(OR($AB66="",$AN66="",$AO66=""),"",IF($AN66&gt;$AO66,"국가등급 하향 — 한도 재산정",""))</f>
        <v/>
      </c>
      <c r="AQ66" s="37">
        <f>IF($AH66="선적 보류",COUNTIF($AH$5:$AH66,"선적 보류"),"")</f>
        <v/>
      </c>
    </row>
    <row r="67">
      <c r="A67" t="inlineStr">
        <is>
          <t>INV-2609-0109</t>
        </is>
      </c>
      <c r="B67" t="inlineStr">
        <is>
          <t>B035</t>
        </is>
      </c>
      <c r="C67" t="inlineStr">
        <is>
          <t>TWN</t>
        </is>
      </c>
      <c r="D67" t="inlineStr">
        <is>
          <t>OA</t>
        </is>
      </c>
      <c r="E67" t="inlineStr">
        <is>
          <t>USD</t>
        </is>
      </c>
      <c r="F67" t="inlineStr">
        <is>
          <t>N</t>
        </is>
      </c>
      <c r="G67" s="32" t="n">
        <v>46286</v>
      </c>
      <c r="H67" s="32" t="n">
        <v>46346</v>
      </c>
      <c r="I67" s="82" t="n">
        <v>17800</v>
      </c>
      <c r="J67" s="82" t="n">
        <v>17800</v>
      </c>
      <c r="K67" t="inlineStr">
        <is>
          <t>N</t>
        </is>
      </c>
      <c r="N67" t="inlineStr">
        <is>
          <t>N</t>
        </is>
      </c>
      <c r="O67" s="37">
        <f>IF($A67="","",AsOf-$H67)</f>
        <v/>
      </c>
      <c r="P67" s="37">
        <f>IF($A67="","",IF($K67="Y","-",IF($O67&gt;=30,"D+30 최종통지·선적보류",IF($O67&gt;=15,"D+15 단호한 통지",IF($O67&gt;=7,"D+7 친절한 리마인더",IF(AND($O67&gt;=-3,$O67&lt;=-1),"D-3 사전 안내","모니터링"))))))</f>
        <v/>
      </c>
      <c r="Q67" s="83">
        <f>IF($A67="","",EDATE($H67,1))</f>
        <v/>
      </c>
      <c r="R67" s="37">
        <f>IF($A67="","",$Q67-AsOf)</f>
        <v/>
      </c>
      <c r="S67" s="37">
        <f>IF($A67="","",IF(OR($K67="Y",$F67&lt;&gt;"Y",$O67&lt;=0),"",IF($R67&lt;0,"통지 기한 경과 — 즉시 확인",IF($R67&lt;=NoticeWarnDays,"통지 기한 임박 — 사람 결정",""))))</f>
        <v/>
      </c>
      <c r="T67" s="83">
        <f>IF(OR($A67="",$F67&lt;&gt;"Y"),"",IF(IF($L67="",InsuranceType,$L67)="포괄",DATE(YEAR($G67),MONTH($G67)+1,20),WORKDAY($G67,10)))</f>
        <v/>
      </c>
      <c r="U67" s="83">
        <f>IF(OR($A67="",$M67=""),"",WORKDAY($M67,10))</f>
        <v/>
      </c>
      <c r="V67" s="37">
        <f>IF($A67="","",IF($N67="Y","사기 의심: 콜백 검증 전 대금 안내 중단",""))</f>
        <v/>
      </c>
      <c r="W67" s="37">
        <f>IF($A67="","",IF(AND($K67="N",$D67&lt;&gt;"LC_SIGHT",$D67&lt;&gt;"LC_USANCE",$D67&lt;&gt;"TT_ADV"),$O67,""))</f>
        <v/>
      </c>
      <c r="X67" s="37">
        <f>IF($A67="",0,IF(AND($K67="N",$D67&lt;&gt;"LC_SIGHT",$D67&lt;&gt;"LC_USANCE",$D67&lt;&gt;"TT_ADV",$O67&gt;=30),1,0))</f>
        <v/>
      </c>
      <c r="Y67" s="37">
        <f>IF($A67="","",IF($O67&lt;=0,"미연체",IF($O67&lt;=30,"1-30",IF($O67&lt;=90,"31-90",IF($O67&lt;=180,"91-180",IF($O67&lt;=365,"181-365","365+"))))))</f>
        <v/>
      </c>
      <c r="Z67" s="37">
        <f>IF($S67="통지 기한 임박 — 사람 결정",COUNTIF($S$5:$S67,"통지 기한 임박 — 사람 결정"),"")</f>
        <v/>
      </c>
      <c r="AB67" s="37">
        <f>IF('02_Buyers'!$A64="","",'02_Buyers'!$A64)</f>
        <v/>
      </c>
      <c r="AC67" s="37">
        <f>IF($AB67="","",'02_Buyers'!$AH64)</f>
        <v/>
      </c>
      <c r="AD67" s="37">
        <f>IF($AB67="","",COUNTIFS(inv_buyer,$AB67,inv_paid,"N"))</f>
        <v/>
      </c>
      <c r="AE67" s="40">
        <f>IF($AB67="","",SUMIFS(inv_usd,inv_buyer,$AB67,inv_paid,"N"))</f>
        <v/>
      </c>
      <c r="AF67" s="37">
        <f>IF($AB67="","",_xlfn.MAXIFS(inv_nonlc_dpd,inv_buyer,$AB67))</f>
        <v/>
      </c>
      <c r="AG67" s="37">
        <f>IF($AB67="","",COUNTIFS(inv_buyer,$AB67,inv_hold30,1))</f>
        <v/>
      </c>
      <c r="AH67" s="37">
        <f>IF($AB67="","",IF(OR($AC67=1,$AG67&gt;0),"선적 보류",""))</f>
        <v/>
      </c>
      <c r="AI67" s="37">
        <f>IF($AH67&lt;&gt;"선적 보류","","내부 에스컬레이션: 여신 한도 동결 제안(사람 승인)")</f>
        <v/>
      </c>
      <c r="AJ67" s="37">
        <f>IF($AB67="","",COUNTIFS(inv_buyer,$AB67,inv_alert,"통지 기한 임박*"))</f>
        <v/>
      </c>
      <c r="AK67" s="40">
        <f>IF($AB67="","",'10_LimitLP'!$F67)</f>
        <v/>
      </c>
      <c r="AL67" s="84">
        <f>IF(OR($AB67="",$AK67&lt;=0),"",$AE67/$AK67)</f>
        <v/>
      </c>
      <c r="AM67" s="37">
        <f>IF($AL67="","",IF($AL67&gt;=0.8,"사용률 80%↑ — 출고 전 사전승인(제18조)",""))</f>
        <v/>
      </c>
      <c r="AN67" s="37">
        <f>IF($AB67="","",IFERROR(IF(INDEX($AU$21:$AU$40,MATCH('02_Buyers'!$S64,$AS$21:$AS$40,0))="","",INDEX($AU$21:$AU$40,MATCH('02_Buyers'!$S64,$AS$21:$AS$40,0))),""))</f>
        <v/>
      </c>
      <c r="AO67" s="37">
        <f>IF($AB67="","",IFERROR(IF(INDEX($AV$21:$AV$40,MATCH('02_Buyers'!$S64,$AS$21:$AS$40,0))="","",INDEX($AV$21:$AV$40,MATCH('02_Buyers'!$S64,$AS$21:$AS$40,0))),""))</f>
        <v/>
      </c>
      <c r="AP67" s="37">
        <f>IF(OR($AB67="",$AN67="",$AO67=""),"",IF($AN67&gt;$AO67,"국가등급 하향 — 한도 재산정",""))</f>
        <v/>
      </c>
      <c r="AQ67" s="37">
        <f>IF($AH67="선적 보류",COUNTIF($AH$5:$AH67,"선적 보류"),"")</f>
        <v/>
      </c>
    </row>
    <row r="68">
      <c r="A68" t="inlineStr">
        <is>
          <t>INV-2607-0143</t>
        </is>
      </c>
      <c r="B68" t="inlineStr">
        <is>
          <t>B037</t>
        </is>
      </c>
      <c r="C68" t="inlineStr">
        <is>
          <t>SAU</t>
        </is>
      </c>
      <c r="D68" t="inlineStr">
        <is>
          <t>DA</t>
        </is>
      </c>
      <c r="E68" t="inlineStr">
        <is>
          <t>USD</t>
        </is>
      </c>
      <c r="F68" t="inlineStr">
        <is>
          <t>Y</t>
        </is>
      </c>
      <c r="G68" s="32" t="n">
        <v>46226</v>
      </c>
      <c r="H68" s="32" t="n">
        <v>46316</v>
      </c>
      <c r="I68" s="82" t="n">
        <v>6320</v>
      </c>
      <c r="J68" s="82" t="n">
        <v>6320</v>
      </c>
      <c r="K68" t="inlineStr">
        <is>
          <t>N</t>
        </is>
      </c>
      <c r="L68" t="inlineStr">
        <is>
          <t>개별</t>
        </is>
      </c>
      <c r="N68" t="inlineStr">
        <is>
          <t>N</t>
        </is>
      </c>
      <c r="O68" s="37">
        <f>IF($A68="","",AsOf-$H68)</f>
        <v/>
      </c>
      <c r="P68" s="37">
        <f>IF($A68="","",IF($K68="Y","-",IF($O68&gt;=30,"D+30 최종통지·선적보류",IF($O68&gt;=15,"D+15 단호한 통지",IF($O68&gt;=7,"D+7 친절한 리마인더",IF(AND($O68&gt;=-3,$O68&lt;=-1),"D-3 사전 안내","모니터링"))))))</f>
        <v/>
      </c>
      <c r="Q68" s="83">
        <f>IF($A68="","",EDATE($H68,1))</f>
        <v/>
      </c>
      <c r="R68" s="37">
        <f>IF($A68="","",$Q68-AsOf)</f>
        <v/>
      </c>
      <c r="S68" s="37">
        <f>IF($A68="","",IF(OR($K68="Y",$F68&lt;&gt;"Y",$O68&lt;=0),"",IF($R68&lt;0,"통지 기한 경과 — 즉시 확인",IF($R68&lt;=NoticeWarnDays,"통지 기한 임박 — 사람 결정",""))))</f>
        <v/>
      </c>
      <c r="T68" s="83">
        <f>IF(OR($A68="",$F68&lt;&gt;"Y"),"",IF(IF($L68="",InsuranceType,$L68)="포괄",DATE(YEAR($G68),MONTH($G68)+1,20),WORKDAY($G68,10)))</f>
        <v/>
      </c>
      <c r="U68" s="83">
        <f>IF(OR($A68="",$M68=""),"",WORKDAY($M68,10))</f>
        <v/>
      </c>
      <c r="V68" s="37">
        <f>IF($A68="","",IF($N68="Y","사기 의심: 콜백 검증 전 대금 안내 중단",""))</f>
        <v/>
      </c>
      <c r="W68" s="37">
        <f>IF($A68="","",IF(AND($K68="N",$D68&lt;&gt;"LC_SIGHT",$D68&lt;&gt;"LC_USANCE",$D68&lt;&gt;"TT_ADV"),$O68,""))</f>
        <v/>
      </c>
      <c r="X68" s="37">
        <f>IF($A68="",0,IF(AND($K68="N",$D68&lt;&gt;"LC_SIGHT",$D68&lt;&gt;"LC_USANCE",$D68&lt;&gt;"TT_ADV",$O68&gt;=30),1,0))</f>
        <v/>
      </c>
      <c r="Y68" s="37">
        <f>IF($A68="","",IF($O68&lt;=0,"미연체",IF($O68&lt;=30,"1-30",IF($O68&lt;=90,"31-90",IF($O68&lt;=180,"91-180",IF($O68&lt;=365,"181-365","365+"))))))</f>
        <v/>
      </c>
      <c r="Z68" s="37">
        <f>IF($S68="통지 기한 임박 — 사람 결정",COUNTIF($S$5:$S68,"통지 기한 임박 — 사람 결정"),"")</f>
        <v/>
      </c>
      <c r="AB68" s="37">
        <f>IF('02_Buyers'!$A65="","",'02_Buyers'!$A65)</f>
        <v/>
      </c>
      <c r="AC68" s="37">
        <f>IF($AB68="","",'02_Buyers'!$AH65)</f>
        <v/>
      </c>
      <c r="AD68" s="37">
        <f>IF($AB68="","",COUNTIFS(inv_buyer,$AB68,inv_paid,"N"))</f>
        <v/>
      </c>
      <c r="AE68" s="40">
        <f>IF($AB68="","",SUMIFS(inv_usd,inv_buyer,$AB68,inv_paid,"N"))</f>
        <v/>
      </c>
      <c r="AF68" s="37">
        <f>IF($AB68="","",_xlfn.MAXIFS(inv_nonlc_dpd,inv_buyer,$AB68))</f>
        <v/>
      </c>
      <c r="AG68" s="37">
        <f>IF($AB68="","",COUNTIFS(inv_buyer,$AB68,inv_hold30,1))</f>
        <v/>
      </c>
      <c r="AH68" s="37">
        <f>IF($AB68="","",IF(OR($AC68=1,$AG68&gt;0),"선적 보류",""))</f>
        <v/>
      </c>
      <c r="AI68" s="37">
        <f>IF($AH68&lt;&gt;"선적 보류","","내부 에스컬레이션: 여신 한도 동결 제안(사람 승인)")</f>
        <v/>
      </c>
      <c r="AJ68" s="37">
        <f>IF($AB68="","",COUNTIFS(inv_buyer,$AB68,inv_alert,"통지 기한 임박*"))</f>
        <v/>
      </c>
      <c r="AK68" s="40">
        <f>IF($AB68="","",'10_LimitLP'!$F68)</f>
        <v/>
      </c>
      <c r="AL68" s="84">
        <f>IF(OR($AB68="",$AK68&lt;=0),"",$AE68/$AK68)</f>
        <v/>
      </c>
      <c r="AM68" s="37">
        <f>IF($AL68="","",IF($AL68&gt;=0.8,"사용률 80%↑ — 출고 전 사전승인(제18조)",""))</f>
        <v/>
      </c>
      <c r="AN68" s="37">
        <f>IF($AB68="","",IFERROR(IF(INDEX($AU$21:$AU$40,MATCH('02_Buyers'!$S65,$AS$21:$AS$40,0))="","",INDEX($AU$21:$AU$40,MATCH('02_Buyers'!$S65,$AS$21:$AS$40,0))),""))</f>
        <v/>
      </c>
      <c r="AO68" s="37">
        <f>IF($AB68="","",IFERROR(IF(INDEX($AV$21:$AV$40,MATCH('02_Buyers'!$S65,$AS$21:$AS$40,0))="","",INDEX($AV$21:$AV$40,MATCH('02_Buyers'!$S65,$AS$21:$AS$40,0))),""))</f>
        <v/>
      </c>
      <c r="AP68" s="37">
        <f>IF(OR($AB68="",$AN68="",$AO68=""),"",IF($AN68&gt;$AO68,"국가등급 하향 — 한도 재산정",""))</f>
        <v/>
      </c>
      <c r="AQ68" s="37">
        <f>IF($AH68="선적 보류",COUNTIF($AH$5:$AH68,"선적 보류"),"")</f>
        <v/>
      </c>
    </row>
    <row r="69">
      <c r="A69" t="inlineStr">
        <is>
          <t>INV-2609-0098</t>
        </is>
      </c>
      <c r="B69" t="inlineStr">
        <is>
          <t>B037</t>
        </is>
      </c>
      <c r="C69" t="inlineStr">
        <is>
          <t>SAU</t>
        </is>
      </c>
      <c r="D69" t="inlineStr">
        <is>
          <t>DA</t>
        </is>
      </c>
      <c r="E69" t="inlineStr">
        <is>
          <t>USD</t>
        </is>
      </c>
      <c r="F69" t="inlineStr">
        <is>
          <t>Y</t>
        </is>
      </c>
      <c r="G69" s="32" t="n">
        <v>46284</v>
      </c>
      <c r="H69" s="32" t="n">
        <v>46374</v>
      </c>
      <c r="I69" s="82" t="n">
        <v>8450</v>
      </c>
      <c r="J69" s="82" t="n">
        <v>8450</v>
      </c>
      <c r="K69" t="inlineStr">
        <is>
          <t>N</t>
        </is>
      </c>
      <c r="L69" t="inlineStr">
        <is>
          <t>개별</t>
        </is>
      </c>
      <c r="N69" t="inlineStr">
        <is>
          <t>N</t>
        </is>
      </c>
      <c r="O69" s="37">
        <f>IF($A69="","",AsOf-$H69)</f>
        <v/>
      </c>
      <c r="P69" s="37">
        <f>IF($A69="","",IF($K69="Y","-",IF($O69&gt;=30,"D+30 최종통지·선적보류",IF($O69&gt;=15,"D+15 단호한 통지",IF($O69&gt;=7,"D+7 친절한 리마인더",IF(AND($O69&gt;=-3,$O69&lt;=-1),"D-3 사전 안내","모니터링"))))))</f>
        <v/>
      </c>
      <c r="Q69" s="83">
        <f>IF($A69="","",EDATE($H69,1))</f>
        <v/>
      </c>
      <c r="R69" s="37">
        <f>IF($A69="","",$Q69-AsOf)</f>
        <v/>
      </c>
      <c r="S69" s="37">
        <f>IF($A69="","",IF(OR($K69="Y",$F69&lt;&gt;"Y",$O69&lt;=0),"",IF($R69&lt;0,"통지 기한 경과 — 즉시 확인",IF($R69&lt;=NoticeWarnDays,"통지 기한 임박 — 사람 결정",""))))</f>
        <v/>
      </c>
      <c r="T69" s="83">
        <f>IF(OR($A69="",$F69&lt;&gt;"Y"),"",IF(IF($L69="",InsuranceType,$L69)="포괄",DATE(YEAR($G69),MONTH($G69)+1,20),WORKDAY($G69,10)))</f>
        <v/>
      </c>
      <c r="U69" s="83">
        <f>IF(OR($A69="",$M69=""),"",WORKDAY($M69,10))</f>
        <v/>
      </c>
      <c r="V69" s="37">
        <f>IF($A69="","",IF($N69="Y","사기 의심: 콜백 검증 전 대금 안내 중단",""))</f>
        <v/>
      </c>
      <c r="W69" s="37">
        <f>IF($A69="","",IF(AND($K69="N",$D69&lt;&gt;"LC_SIGHT",$D69&lt;&gt;"LC_USANCE",$D69&lt;&gt;"TT_ADV"),$O69,""))</f>
        <v/>
      </c>
      <c r="X69" s="37">
        <f>IF($A69="",0,IF(AND($K69="N",$D69&lt;&gt;"LC_SIGHT",$D69&lt;&gt;"LC_USANCE",$D69&lt;&gt;"TT_ADV",$O69&gt;=30),1,0))</f>
        <v/>
      </c>
      <c r="Y69" s="37">
        <f>IF($A69="","",IF($O69&lt;=0,"미연체",IF($O69&lt;=30,"1-30",IF($O69&lt;=90,"31-90",IF($O69&lt;=180,"91-180",IF($O69&lt;=365,"181-365","365+"))))))</f>
        <v/>
      </c>
      <c r="Z69" s="37">
        <f>IF($S69="통지 기한 임박 — 사람 결정",COUNTIF($S$5:$S69,"통지 기한 임박 — 사람 결정"),"")</f>
        <v/>
      </c>
      <c r="AB69" s="37">
        <f>IF('02_Buyers'!$A66="","",'02_Buyers'!$A66)</f>
        <v/>
      </c>
      <c r="AC69" s="37">
        <f>IF($AB69="","",'02_Buyers'!$AH66)</f>
        <v/>
      </c>
      <c r="AD69" s="37">
        <f>IF($AB69="","",COUNTIFS(inv_buyer,$AB69,inv_paid,"N"))</f>
        <v/>
      </c>
      <c r="AE69" s="40">
        <f>IF($AB69="","",SUMIFS(inv_usd,inv_buyer,$AB69,inv_paid,"N"))</f>
        <v/>
      </c>
      <c r="AF69" s="37">
        <f>IF($AB69="","",_xlfn.MAXIFS(inv_nonlc_dpd,inv_buyer,$AB69))</f>
        <v/>
      </c>
      <c r="AG69" s="37">
        <f>IF($AB69="","",COUNTIFS(inv_buyer,$AB69,inv_hold30,1))</f>
        <v/>
      </c>
      <c r="AH69" s="37">
        <f>IF($AB69="","",IF(OR($AC69=1,$AG69&gt;0),"선적 보류",""))</f>
        <v/>
      </c>
      <c r="AI69" s="37">
        <f>IF($AH69&lt;&gt;"선적 보류","","내부 에스컬레이션: 여신 한도 동결 제안(사람 승인)")</f>
        <v/>
      </c>
      <c r="AJ69" s="37">
        <f>IF($AB69="","",COUNTIFS(inv_buyer,$AB69,inv_alert,"통지 기한 임박*"))</f>
        <v/>
      </c>
      <c r="AK69" s="40">
        <f>IF($AB69="","",'10_LimitLP'!$F69)</f>
        <v/>
      </c>
      <c r="AL69" s="84">
        <f>IF(OR($AB69="",$AK69&lt;=0),"",$AE69/$AK69)</f>
        <v/>
      </c>
      <c r="AM69" s="37">
        <f>IF($AL69="","",IF($AL69&gt;=0.8,"사용률 80%↑ — 출고 전 사전승인(제18조)",""))</f>
        <v/>
      </c>
      <c r="AN69" s="37">
        <f>IF($AB69="","",IFERROR(IF(INDEX($AU$21:$AU$40,MATCH('02_Buyers'!$S66,$AS$21:$AS$40,0))="","",INDEX($AU$21:$AU$40,MATCH('02_Buyers'!$S66,$AS$21:$AS$40,0))),""))</f>
        <v/>
      </c>
      <c r="AO69" s="37">
        <f>IF($AB69="","",IFERROR(IF(INDEX($AV$21:$AV$40,MATCH('02_Buyers'!$S66,$AS$21:$AS$40,0))="","",INDEX($AV$21:$AV$40,MATCH('02_Buyers'!$S66,$AS$21:$AS$40,0))),""))</f>
        <v/>
      </c>
      <c r="AP69" s="37">
        <f>IF(OR($AB69="",$AN69="",$AO69=""),"",IF($AN69&gt;$AO69,"국가등급 하향 — 한도 재산정",""))</f>
        <v/>
      </c>
      <c r="AQ69" s="37">
        <f>IF($AH69="선적 보류",COUNTIF($AH$5:$AH69,"선적 보류"),"")</f>
        <v/>
      </c>
    </row>
    <row r="70">
      <c r="A70" t="inlineStr">
        <is>
          <t>INV-2607-0089</t>
        </is>
      </c>
      <c r="B70" t="inlineStr">
        <is>
          <t>B040</t>
        </is>
      </c>
      <c r="C70" t="inlineStr">
        <is>
          <t>IND</t>
        </is>
      </c>
      <c r="D70" t="inlineStr">
        <is>
          <t>LC_USANCE</t>
        </is>
      </c>
      <c r="E70" t="inlineStr">
        <is>
          <t>USD</t>
        </is>
      </c>
      <c r="F70" t="inlineStr">
        <is>
          <t>N</t>
        </is>
      </c>
      <c r="G70" s="32" t="n">
        <v>46220</v>
      </c>
      <c r="H70" s="32" t="n">
        <v>46310</v>
      </c>
      <c r="I70" s="82" t="n">
        <v>15350</v>
      </c>
      <c r="J70" s="82" t="n">
        <v>15350</v>
      </c>
      <c r="K70" t="inlineStr">
        <is>
          <t>N</t>
        </is>
      </c>
      <c r="N70" t="inlineStr">
        <is>
          <t>N</t>
        </is>
      </c>
      <c r="O70" s="37">
        <f>IF($A70="","",AsOf-$H70)</f>
        <v/>
      </c>
      <c r="P70" s="37">
        <f>IF($A70="","",IF($K70="Y","-",IF($O70&gt;=30,"D+30 최종통지·선적보류",IF($O70&gt;=15,"D+15 단호한 통지",IF($O70&gt;=7,"D+7 친절한 리마인더",IF(AND($O70&gt;=-3,$O70&lt;=-1),"D-3 사전 안내","모니터링"))))))</f>
        <v/>
      </c>
      <c r="Q70" s="83">
        <f>IF($A70="","",EDATE($H70,1))</f>
        <v/>
      </c>
      <c r="R70" s="37">
        <f>IF($A70="","",$Q70-AsOf)</f>
        <v/>
      </c>
      <c r="S70" s="37">
        <f>IF($A70="","",IF(OR($K70="Y",$F70&lt;&gt;"Y",$O70&lt;=0),"",IF($R70&lt;0,"통지 기한 경과 — 즉시 확인",IF($R70&lt;=NoticeWarnDays,"통지 기한 임박 — 사람 결정",""))))</f>
        <v/>
      </c>
      <c r="T70" s="83">
        <f>IF(OR($A70="",$F70&lt;&gt;"Y"),"",IF(IF($L70="",InsuranceType,$L70)="포괄",DATE(YEAR($G70),MONTH($G70)+1,20),WORKDAY($G70,10)))</f>
        <v/>
      </c>
      <c r="U70" s="83">
        <f>IF(OR($A70="",$M70=""),"",WORKDAY($M70,10))</f>
        <v/>
      </c>
      <c r="V70" s="37">
        <f>IF($A70="","",IF($N70="Y","사기 의심: 콜백 검증 전 대금 안내 중단",""))</f>
        <v/>
      </c>
      <c r="W70" s="37">
        <f>IF($A70="","",IF(AND($K70="N",$D70&lt;&gt;"LC_SIGHT",$D70&lt;&gt;"LC_USANCE",$D70&lt;&gt;"TT_ADV"),$O70,""))</f>
        <v/>
      </c>
      <c r="X70" s="37">
        <f>IF($A70="",0,IF(AND($K70="N",$D70&lt;&gt;"LC_SIGHT",$D70&lt;&gt;"LC_USANCE",$D70&lt;&gt;"TT_ADV",$O70&gt;=30),1,0))</f>
        <v/>
      </c>
      <c r="Y70" s="37">
        <f>IF($A70="","",IF($O70&lt;=0,"미연체",IF($O70&lt;=30,"1-30",IF($O70&lt;=90,"31-90",IF($O70&lt;=180,"91-180",IF($O70&lt;=365,"181-365","365+"))))))</f>
        <v/>
      </c>
      <c r="Z70" s="37">
        <f>IF($S70="통지 기한 임박 — 사람 결정",COUNTIF($S$5:$S70,"통지 기한 임박 — 사람 결정"),"")</f>
        <v/>
      </c>
      <c r="AB70" s="37">
        <f>IF('02_Buyers'!$A67="","",'02_Buyers'!$A67)</f>
        <v/>
      </c>
      <c r="AC70" s="37">
        <f>IF($AB70="","",'02_Buyers'!$AH67)</f>
        <v/>
      </c>
      <c r="AD70" s="37">
        <f>IF($AB70="","",COUNTIFS(inv_buyer,$AB70,inv_paid,"N"))</f>
        <v/>
      </c>
      <c r="AE70" s="40">
        <f>IF($AB70="","",SUMIFS(inv_usd,inv_buyer,$AB70,inv_paid,"N"))</f>
        <v/>
      </c>
      <c r="AF70" s="37">
        <f>IF($AB70="","",_xlfn.MAXIFS(inv_nonlc_dpd,inv_buyer,$AB70))</f>
        <v/>
      </c>
      <c r="AG70" s="37">
        <f>IF($AB70="","",COUNTIFS(inv_buyer,$AB70,inv_hold30,1))</f>
        <v/>
      </c>
      <c r="AH70" s="37">
        <f>IF($AB70="","",IF(OR($AC70=1,$AG70&gt;0),"선적 보류",""))</f>
        <v/>
      </c>
      <c r="AI70" s="37">
        <f>IF($AH70&lt;&gt;"선적 보류","","내부 에스컬레이션: 여신 한도 동결 제안(사람 승인)")</f>
        <v/>
      </c>
      <c r="AJ70" s="37">
        <f>IF($AB70="","",COUNTIFS(inv_buyer,$AB70,inv_alert,"통지 기한 임박*"))</f>
        <v/>
      </c>
      <c r="AK70" s="40">
        <f>IF($AB70="","",'10_LimitLP'!$F70)</f>
        <v/>
      </c>
      <c r="AL70" s="84">
        <f>IF(OR($AB70="",$AK70&lt;=0),"",$AE70/$AK70)</f>
        <v/>
      </c>
      <c r="AM70" s="37">
        <f>IF($AL70="","",IF($AL70&gt;=0.8,"사용률 80%↑ — 출고 전 사전승인(제18조)",""))</f>
        <v/>
      </c>
      <c r="AN70" s="37">
        <f>IF($AB70="","",IFERROR(IF(INDEX($AU$21:$AU$40,MATCH('02_Buyers'!$S67,$AS$21:$AS$40,0))="","",INDEX($AU$21:$AU$40,MATCH('02_Buyers'!$S67,$AS$21:$AS$40,0))),""))</f>
        <v/>
      </c>
      <c r="AO70" s="37">
        <f>IF($AB70="","",IFERROR(IF(INDEX($AV$21:$AV$40,MATCH('02_Buyers'!$S67,$AS$21:$AS$40,0))="","",INDEX($AV$21:$AV$40,MATCH('02_Buyers'!$S67,$AS$21:$AS$40,0))),""))</f>
        <v/>
      </c>
      <c r="AP70" s="37">
        <f>IF(OR($AB70="",$AN70="",$AO70=""),"",IF($AN70&gt;$AO70,"국가등급 하향 — 한도 재산정",""))</f>
        <v/>
      </c>
      <c r="AQ70" s="37">
        <f>IF($AH70="선적 보류",COUNTIF($AH$5:$AH70,"선적 보류"),"")</f>
        <v/>
      </c>
    </row>
    <row r="71">
      <c r="A71" t="inlineStr">
        <is>
          <t>INV-2608-0034</t>
        </is>
      </c>
      <c r="B71" t="inlineStr">
        <is>
          <t>B040</t>
        </is>
      </c>
      <c r="C71" t="inlineStr">
        <is>
          <t>IND</t>
        </is>
      </c>
      <c r="D71" t="inlineStr">
        <is>
          <t>LC_USANCE</t>
        </is>
      </c>
      <c r="E71" t="inlineStr">
        <is>
          <t>USD</t>
        </is>
      </c>
      <c r="F71" t="inlineStr">
        <is>
          <t>N</t>
        </is>
      </c>
      <c r="G71" s="32" t="n">
        <v>46242</v>
      </c>
      <c r="H71" s="32" t="n">
        <v>46332</v>
      </c>
      <c r="I71" s="82" t="n">
        <v>1940</v>
      </c>
      <c r="J71" s="82" t="n">
        <v>1940</v>
      </c>
      <c r="K71" t="inlineStr">
        <is>
          <t>N</t>
        </is>
      </c>
      <c r="N71" t="inlineStr">
        <is>
          <t>N</t>
        </is>
      </c>
      <c r="O71" s="37">
        <f>IF($A71="","",AsOf-$H71)</f>
        <v/>
      </c>
      <c r="P71" s="37">
        <f>IF($A71="","",IF($K71="Y","-",IF($O71&gt;=30,"D+30 최종통지·선적보류",IF($O71&gt;=15,"D+15 단호한 통지",IF($O71&gt;=7,"D+7 친절한 리마인더",IF(AND($O71&gt;=-3,$O71&lt;=-1),"D-3 사전 안내","모니터링"))))))</f>
        <v/>
      </c>
      <c r="Q71" s="83">
        <f>IF($A71="","",EDATE($H71,1))</f>
        <v/>
      </c>
      <c r="R71" s="37">
        <f>IF($A71="","",$Q71-AsOf)</f>
        <v/>
      </c>
      <c r="S71" s="37">
        <f>IF($A71="","",IF(OR($K71="Y",$F71&lt;&gt;"Y",$O71&lt;=0),"",IF($R71&lt;0,"통지 기한 경과 — 즉시 확인",IF($R71&lt;=NoticeWarnDays,"통지 기한 임박 — 사람 결정",""))))</f>
        <v/>
      </c>
      <c r="T71" s="83">
        <f>IF(OR($A71="",$F71&lt;&gt;"Y"),"",IF(IF($L71="",InsuranceType,$L71)="포괄",DATE(YEAR($G71),MONTH($G71)+1,20),WORKDAY($G71,10)))</f>
        <v/>
      </c>
      <c r="U71" s="83">
        <f>IF(OR($A71="",$M71=""),"",WORKDAY($M71,10))</f>
        <v/>
      </c>
      <c r="V71" s="37">
        <f>IF($A71="","",IF($N71="Y","사기 의심: 콜백 검증 전 대금 안내 중단",""))</f>
        <v/>
      </c>
      <c r="W71" s="37">
        <f>IF($A71="","",IF(AND($K71="N",$D71&lt;&gt;"LC_SIGHT",$D71&lt;&gt;"LC_USANCE",$D71&lt;&gt;"TT_ADV"),$O71,""))</f>
        <v/>
      </c>
      <c r="X71" s="37">
        <f>IF($A71="",0,IF(AND($K71="N",$D71&lt;&gt;"LC_SIGHT",$D71&lt;&gt;"LC_USANCE",$D71&lt;&gt;"TT_ADV",$O71&gt;=30),1,0))</f>
        <v/>
      </c>
      <c r="Y71" s="37">
        <f>IF($A71="","",IF($O71&lt;=0,"미연체",IF($O71&lt;=30,"1-30",IF($O71&lt;=90,"31-90",IF($O71&lt;=180,"91-180",IF($O71&lt;=365,"181-365","365+"))))))</f>
        <v/>
      </c>
      <c r="Z71" s="37">
        <f>IF($S71="통지 기한 임박 — 사람 결정",COUNTIF($S$5:$S71,"통지 기한 임박 — 사람 결정"),"")</f>
        <v/>
      </c>
      <c r="AB71" s="37">
        <f>IF('02_Buyers'!$A68="","",'02_Buyers'!$A68)</f>
        <v/>
      </c>
      <c r="AC71" s="37">
        <f>IF($AB71="","",'02_Buyers'!$AH68)</f>
        <v/>
      </c>
      <c r="AD71" s="37">
        <f>IF($AB71="","",COUNTIFS(inv_buyer,$AB71,inv_paid,"N"))</f>
        <v/>
      </c>
      <c r="AE71" s="40">
        <f>IF($AB71="","",SUMIFS(inv_usd,inv_buyer,$AB71,inv_paid,"N"))</f>
        <v/>
      </c>
      <c r="AF71" s="37">
        <f>IF($AB71="","",_xlfn.MAXIFS(inv_nonlc_dpd,inv_buyer,$AB71))</f>
        <v/>
      </c>
      <c r="AG71" s="37">
        <f>IF($AB71="","",COUNTIFS(inv_buyer,$AB71,inv_hold30,1))</f>
        <v/>
      </c>
      <c r="AH71" s="37">
        <f>IF($AB71="","",IF(OR($AC71=1,$AG71&gt;0),"선적 보류",""))</f>
        <v/>
      </c>
      <c r="AI71" s="37">
        <f>IF($AH71&lt;&gt;"선적 보류","","내부 에스컬레이션: 여신 한도 동결 제안(사람 승인)")</f>
        <v/>
      </c>
      <c r="AJ71" s="37">
        <f>IF($AB71="","",COUNTIFS(inv_buyer,$AB71,inv_alert,"통지 기한 임박*"))</f>
        <v/>
      </c>
      <c r="AK71" s="40">
        <f>IF($AB71="","",'10_LimitLP'!$F71)</f>
        <v/>
      </c>
      <c r="AL71" s="84">
        <f>IF(OR($AB71="",$AK71&lt;=0),"",$AE71/$AK71)</f>
        <v/>
      </c>
      <c r="AM71" s="37">
        <f>IF($AL71="","",IF($AL71&gt;=0.8,"사용률 80%↑ — 출고 전 사전승인(제18조)",""))</f>
        <v/>
      </c>
      <c r="AN71" s="37">
        <f>IF($AB71="","",IFERROR(IF(INDEX($AU$21:$AU$40,MATCH('02_Buyers'!$S68,$AS$21:$AS$40,0))="","",INDEX($AU$21:$AU$40,MATCH('02_Buyers'!$S68,$AS$21:$AS$40,0))),""))</f>
        <v/>
      </c>
      <c r="AO71" s="37">
        <f>IF($AB71="","",IFERROR(IF(INDEX($AV$21:$AV$40,MATCH('02_Buyers'!$S68,$AS$21:$AS$40,0))="","",INDEX($AV$21:$AV$40,MATCH('02_Buyers'!$S68,$AS$21:$AS$40,0))),""))</f>
        <v/>
      </c>
      <c r="AP71" s="37">
        <f>IF(OR($AB71="",$AN71="",$AO71=""),"",IF($AN71&gt;$AO71,"국가등급 하향 — 한도 재산정",""))</f>
        <v/>
      </c>
      <c r="AQ71" s="37">
        <f>IF($AH71="선적 보류",COUNTIF($AH$5:$AH71,"선적 보류"),"")</f>
        <v/>
      </c>
    </row>
    <row r="72">
      <c r="A72" t="inlineStr">
        <is>
          <t>INV-2608-0038</t>
        </is>
      </c>
      <c r="B72" t="inlineStr">
        <is>
          <t>B040</t>
        </is>
      </c>
      <c r="C72" t="inlineStr">
        <is>
          <t>IND</t>
        </is>
      </c>
      <c r="D72" t="inlineStr">
        <is>
          <t>LC_USANCE</t>
        </is>
      </c>
      <c r="E72" t="inlineStr">
        <is>
          <t>USD</t>
        </is>
      </c>
      <c r="F72" t="inlineStr">
        <is>
          <t>N</t>
        </is>
      </c>
      <c r="G72" s="32" t="n">
        <v>46243</v>
      </c>
      <c r="H72" s="32" t="n">
        <v>46333</v>
      </c>
      <c r="I72" s="82" t="n">
        <v>16280</v>
      </c>
      <c r="J72" s="82" t="n">
        <v>16280</v>
      </c>
      <c r="K72" t="inlineStr">
        <is>
          <t>N</t>
        </is>
      </c>
      <c r="N72" t="inlineStr">
        <is>
          <t>N</t>
        </is>
      </c>
      <c r="O72" s="37">
        <f>IF($A72="","",AsOf-$H72)</f>
        <v/>
      </c>
      <c r="P72" s="37">
        <f>IF($A72="","",IF($K72="Y","-",IF($O72&gt;=30,"D+30 최종통지·선적보류",IF($O72&gt;=15,"D+15 단호한 통지",IF($O72&gt;=7,"D+7 친절한 리마인더",IF(AND($O72&gt;=-3,$O72&lt;=-1),"D-3 사전 안내","모니터링"))))))</f>
        <v/>
      </c>
      <c r="Q72" s="83">
        <f>IF($A72="","",EDATE($H72,1))</f>
        <v/>
      </c>
      <c r="R72" s="37">
        <f>IF($A72="","",$Q72-AsOf)</f>
        <v/>
      </c>
      <c r="S72" s="37">
        <f>IF($A72="","",IF(OR($K72="Y",$F72&lt;&gt;"Y",$O72&lt;=0),"",IF($R72&lt;0,"통지 기한 경과 — 즉시 확인",IF($R72&lt;=NoticeWarnDays,"통지 기한 임박 — 사람 결정",""))))</f>
        <v/>
      </c>
      <c r="T72" s="83">
        <f>IF(OR($A72="",$F72&lt;&gt;"Y"),"",IF(IF($L72="",InsuranceType,$L72)="포괄",DATE(YEAR($G72),MONTH($G72)+1,20),WORKDAY($G72,10)))</f>
        <v/>
      </c>
      <c r="U72" s="83">
        <f>IF(OR($A72="",$M72=""),"",WORKDAY($M72,10))</f>
        <v/>
      </c>
      <c r="V72" s="37">
        <f>IF($A72="","",IF($N72="Y","사기 의심: 콜백 검증 전 대금 안내 중단",""))</f>
        <v/>
      </c>
      <c r="W72" s="37">
        <f>IF($A72="","",IF(AND($K72="N",$D72&lt;&gt;"LC_SIGHT",$D72&lt;&gt;"LC_USANCE",$D72&lt;&gt;"TT_ADV"),$O72,""))</f>
        <v/>
      </c>
      <c r="X72" s="37">
        <f>IF($A72="",0,IF(AND($K72="N",$D72&lt;&gt;"LC_SIGHT",$D72&lt;&gt;"LC_USANCE",$D72&lt;&gt;"TT_ADV",$O72&gt;=30),1,0))</f>
        <v/>
      </c>
      <c r="Y72" s="37">
        <f>IF($A72="","",IF($O72&lt;=0,"미연체",IF($O72&lt;=30,"1-30",IF($O72&lt;=90,"31-90",IF($O72&lt;=180,"91-180",IF($O72&lt;=365,"181-365","365+"))))))</f>
        <v/>
      </c>
      <c r="Z72" s="37">
        <f>IF($S72="통지 기한 임박 — 사람 결정",COUNTIF($S$5:$S72,"통지 기한 임박 — 사람 결정"),"")</f>
        <v/>
      </c>
      <c r="AB72" s="37">
        <f>IF('02_Buyers'!$A69="","",'02_Buyers'!$A69)</f>
        <v/>
      </c>
      <c r="AC72" s="37">
        <f>IF($AB72="","",'02_Buyers'!$AH69)</f>
        <v/>
      </c>
      <c r="AD72" s="37">
        <f>IF($AB72="","",COUNTIFS(inv_buyer,$AB72,inv_paid,"N"))</f>
        <v/>
      </c>
      <c r="AE72" s="40">
        <f>IF($AB72="","",SUMIFS(inv_usd,inv_buyer,$AB72,inv_paid,"N"))</f>
        <v/>
      </c>
      <c r="AF72" s="37">
        <f>IF($AB72="","",_xlfn.MAXIFS(inv_nonlc_dpd,inv_buyer,$AB72))</f>
        <v/>
      </c>
      <c r="AG72" s="37">
        <f>IF($AB72="","",COUNTIFS(inv_buyer,$AB72,inv_hold30,1))</f>
        <v/>
      </c>
      <c r="AH72" s="37">
        <f>IF($AB72="","",IF(OR($AC72=1,$AG72&gt;0),"선적 보류",""))</f>
        <v/>
      </c>
      <c r="AI72" s="37">
        <f>IF($AH72&lt;&gt;"선적 보류","","내부 에스컬레이션: 여신 한도 동결 제안(사람 승인)")</f>
        <v/>
      </c>
      <c r="AJ72" s="37">
        <f>IF($AB72="","",COUNTIFS(inv_buyer,$AB72,inv_alert,"통지 기한 임박*"))</f>
        <v/>
      </c>
      <c r="AK72" s="40">
        <f>IF($AB72="","",'10_LimitLP'!$F72)</f>
        <v/>
      </c>
      <c r="AL72" s="84">
        <f>IF(OR($AB72="",$AK72&lt;=0),"",$AE72/$AK72)</f>
        <v/>
      </c>
      <c r="AM72" s="37">
        <f>IF($AL72="","",IF($AL72&gt;=0.8,"사용률 80%↑ — 출고 전 사전승인(제18조)",""))</f>
        <v/>
      </c>
      <c r="AN72" s="37">
        <f>IF($AB72="","",IFERROR(IF(INDEX($AU$21:$AU$40,MATCH('02_Buyers'!$S69,$AS$21:$AS$40,0))="","",INDEX($AU$21:$AU$40,MATCH('02_Buyers'!$S69,$AS$21:$AS$40,0))),""))</f>
        <v/>
      </c>
      <c r="AO72" s="37">
        <f>IF($AB72="","",IFERROR(IF(INDEX($AV$21:$AV$40,MATCH('02_Buyers'!$S69,$AS$21:$AS$40,0))="","",INDEX($AV$21:$AV$40,MATCH('02_Buyers'!$S69,$AS$21:$AS$40,0))),""))</f>
        <v/>
      </c>
      <c r="AP72" s="37">
        <f>IF(OR($AB72="",$AN72="",$AO72=""),"",IF($AN72&gt;$AO72,"국가등급 하향 — 한도 재산정",""))</f>
        <v/>
      </c>
      <c r="AQ72" s="37">
        <f>IF($AH72="선적 보류",COUNTIF($AH$5:$AH72,"선적 보류"),"")</f>
        <v/>
      </c>
    </row>
    <row r="73">
      <c r="A73" t="inlineStr">
        <is>
          <t>INV-2608-0131</t>
        </is>
      </c>
      <c r="B73" t="inlineStr">
        <is>
          <t>B040</t>
        </is>
      </c>
      <c r="C73" t="inlineStr">
        <is>
          <t>IND</t>
        </is>
      </c>
      <c r="D73" t="inlineStr">
        <is>
          <t>LC_USANCE</t>
        </is>
      </c>
      <c r="E73" t="inlineStr">
        <is>
          <t>USD</t>
        </is>
      </c>
      <c r="F73" t="inlineStr">
        <is>
          <t>N</t>
        </is>
      </c>
      <c r="G73" s="32" t="n">
        <v>46261</v>
      </c>
      <c r="H73" s="32" t="n">
        <v>46351</v>
      </c>
      <c r="I73" s="82" t="n">
        <v>3340</v>
      </c>
      <c r="J73" s="82" t="n">
        <v>3340</v>
      </c>
      <c r="K73" t="inlineStr">
        <is>
          <t>N</t>
        </is>
      </c>
      <c r="N73" t="inlineStr">
        <is>
          <t>N</t>
        </is>
      </c>
      <c r="O73" s="37">
        <f>IF($A73="","",AsOf-$H73)</f>
        <v/>
      </c>
      <c r="P73" s="37">
        <f>IF($A73="","",IF($K73="Y","-",IF($O73&gt;=30,"D+30 최종통지·선적보류",IF($O73&gt;=15,"D+15 단호한 통지",IF($O73&gt;=7,"D+7 친절한 리마인더",IF(AND($O73&gt;=-3,$O73&lt;=-1),"D-3 사전 안내","모니터링"))))))</f>
        <v/>
      </c>
      <c r="Q73" s="83">
        <f>IF($A73="","",EDATE($H73,1))</f>
        <v/>
      </c>
      <c r="R73" s="37">
        <f>IF($A73="","",$Q73-AsOf)</f>
        <v/>
      </c>
      <c r="S73" s="37">
        <f>IF($A73="","",IF(OR($K73="Y",$F73&lt;&gt;"Y",$O73&lt;=0),"",IF($R73&lt;0,"통지 기한 경과 — 즉시 확인",IF($R73&lt;=NoticeWarnDays,"통지 기한 임박 — 사람 결정",""))))</f>
        <v/>
      </c>
      <c r="T73" s="83">
        <f>IF(OR($A73="",$F73&lt;&gt;"Y"),"",IF(IF($L73="",InsuranceType,$L73)="포괄",DATE(YEAR($G73),MONTH($G73)+1,20),WORKDAY($G73,10)))</f>
        <v/>
      </c>
      <c r="U73" s="83">
        <f>IF(OR($A73="",$M73=""),"",WORKDAY($M73,10))</f>
        <v/>
      </c>
      <c r="V73" s="37">
        <f>IF($A73="","",IF($N73="Y","사기 의심: 콜백 검증 전 대금 안내 중단",""))</f>
        <v/>
      </c>
      <c r="W73" s="37">
        <f>IF($A73="","",IF(AND($K73="N",$D73&lt;&gt;"LC_SIGHT",$D73&lt;&gt;"LC_USANCE",$D73&lt;&gt;"TT_ADV"),$O73,""))</f>
        <v/>
      </c>
      <c r="X73" s="37">
        <f>IF($A73="",0,IF(AND($K73="N",$D73&lt;&gt;"LC_SIGHT",$D73&lt;&gt;"LC_USANCE",$D73&lt;&gt;"TT_ADV",$O73&gt;=30),1,0))</f>
        <v/>
      </c>
      <c r="Y73" s="37">
        <f>IF($A73="","",IF($O73&lt;=0,"미연체",IF($O73&lt;=30,"1-30",IF($O73&lt;=90,"31-90",IF($O73&lt;=180,"91-180",IF($O73&lt;=365,"181-365","365+"))))))</f>
        <v/>
      </c>
      <c r="Z73" s="37">
        <f>IF($S73="통지 기한 임박 — 사람 결정",COUNTIF($S$5:$S73,"통지 기한 임박 — 사람 결정"),"")</f>
        <v/>
      </c>
      <c r="AB73" s="37">
        <f>IF('02_Buyers'!$A70="","",'02_Buyers'!$A70)</f>
        <v/>
      </c>
      <c r="AC73" s="37">
        <f>IF($AB73="","",'02_Buyers'!$AH70)</f>
        <v/>
      </c>
      <c r="AD73" s="37">
        <f>IF($AB73="","",COUNTIFS(inv_buyer,$AB73,inv_paid,"N"))</f>
        <v/>
      </c>
      <c r="AE73" s="40">
        <f>IF($AB73="","",SUMIFS(inv_usd,inv_buyer,$AB73,inv_paid,"N"))</f>
        <v/>
      </c>
      <c r="AF73" s="37">
        <f>IF($AB73="","",_xlfn.MAXIFS(inv_nonlc_dpd,inv_buyer,$AB73))</f>
        <v/>
      </c>
      <c r="AG73" s="37">
        <f>IF($AB73="","",COUNTIFS(inv_buyer,$AB73,inv_hold30,1))</f>
        <v/>
      </c>
      <c r="AH73" s="37">
        <f>IF($AB73="","",IF(OR($AC73=1,$AG73&gt;0),"선적 보류",""))</f>
        <v/>
      </c>
      <c r="AI73" s="37">
        <f>IF($AH73&lt;&gt;"선적 보류","","내부 에스컬레이션: 여신 한도 동결 제안(사람 승인)")</f>
        <v/>
      </c>
      <c r="AJ73" s="37">
        <f>IF($AB73="","",COUNTIFS(inv_buyer,$AB73,inv_alert,"통지 기한 임박*"))</f>
        <v/>
      </c>
      <c r="AK73" s="40">
        <f>IF($AB73="","",'10_LimitLP'!$F73)</f>
        <v/>
      </c>
      <c r="AL73" s="84">
        <f>IF(OR($AB73="",$AK73&lt;=0),"",$AE73/$AK73)</f>
        <v/>
      </c>
      <c r="AM73" s="37">
        <f>IF($AL73="","",IF($AL73&gt;=0.8,"사용률 80%↑ — 출고 전 사전승인(제18조)",""))</f>
        <v/>
      </c>
      <c r="AN73" s="37">
        <f>IF($AB73="","",IFERROR(IF(INDEX($AU$21:$AU$40,MATCH('02_Buyers'!$S70,$AS$21:$AS$40,0))="","",INDEX($AU$21:$AU$40,MATCH('02_Buyers'!$S70,$AS$21:$AS$40,0))),""))</f>
        <v/>
      </c>
      <c r="AO73" s="37">
        <f>IF($AB73="","",IFERROR(IF(INDEX($AV$21:$AV$40,MATCH('02_Buyers'!$S70,$AS$21:$AS$40,0))="","",INDEX($AV$21:$AV$40,MATCH('02_Buyers'!$S70,$AS$21:$AS$40,0))),""))</f>
        <v/>
      </c>
      <c r="AP73" s="37">
        <f>IF(OR($AB73="",$AN73="",$AO73=""),"",IF($AN73&gt;$AO73,"국가등급 하향 — 한도 재산정",""))</f>
        <v/>
      </c>
      <c r="AQ73" s="37">
        <f>IF($AH73="선적 보류",COUNTIF($AH$5:$AH73,"선적 보류"),"")</f>
        <v/>
      </c>
    </row>
    <row r="74">
      <c r="A74" t="inlineStr">
        <is>
          <t>INV-2608-0150</t>
        </is>
      </c>
      <c r="B74" t="inlineStr">
        <is>
          <t>B040</t>
        </is>
      </c>
      <c r="C74" t="inlineStr">
        <is>
          <t>IND</t>
        </is>
      </c>
      <c r="D74" t="inlineStr">
        <is>
          <t>LC_USANCE</t>
        </is>
      </c>
      <c r="E74" t="inlineStr">
        <is>
          <t>USD</t>
        </is>
      </c>
      <c r="F74" t="inlineStr">
        <is>
          <t>N</t>
        </is>
      </c>
      <c r="G74" s="32" t="n">
        <v>46265</v>
      </c>
      <c r="H74" s="32" t="n">
        <v>46355</v>
      </c>
      <c r="I74" s="82" t="n">
        <v>4370</v>
      </c>
      <c r="J74" s="82" t="n">
        <v>4370</v>
      </c>
      <c r="K74" t="inlineStr">
        <is>
          <t>N</t>
        </is>
      </c>
      <c r="N74" t="inlineStr">
        <is>
          <t>N</t>
        </is>
      </c>
      <c r="O74" s="37">
        <f>IF($A74="","",AsOf-$H74)</f>
        <v/>
      </c>
      <c r="P74" s="37">
        <f>IF($A74="","",IF($K74="Y","-",IF($O74&gt;=30,"D+30 최종통지·선적보류",IF($O74&gt;=15,"D+15 단호한 통지",IF($O74&gt;=7,"D+7 친절한 리마인더",IF(AND($O74&gt;=-3,$O74&lt;=-1),"D-3 사전 안내","모니터링"))))))</f>
        <v/>
      </c>
      <c r="Q74" s="83">
        <f>IF($A74="","",EDATE($H74,1))</f>
        <v/>
      </c>
      <c r="R74" s="37">
        <f>IF($A74="","",$Q74-AsOf)</f>
        <v/>
      </c>
      <c r="S74" s="37">
        <f>IF($A74="","",IF(OR($K74="Y",$F74&lt;&gt;"Y",$O74&lt;=0),"",IF($R74&lt;0,"통지 기한 경과 — 즉시 확인",IF($R74&lt;=NoticeWarnDays,"통지 기한 임박 — 사람 결정",""))))</f>
        <v/>
      </c>
      <c r="T74" s="83">
        <f>IF(OR($A74="",$F74&lt;&gt;"Y"),"",IF(IF($L74="",InsuranceType,$L74)="포괄",DATE(YEAR($G74),MONTH($G74)+1,20),WORKDAY($G74,10)))</f>
        <v/>
      </c>
      <c r="U74" s="83">
        <f>IF(OR($A74="",$M74=""),"",WORKDAY($M74,10))</f>
        <v/>
      </c>
      <c r="V74" s="37">
        <f>IF($A74="","",IF($N74="Y","사기 의심: 콜백 검증 전 대금 안내 중단",""))</f>
        <v/>
      </c>
      <c r="W74" s="37">
        <f>IF($A74="","",IF(AND($K74="N",$D74&lt;&gt;"LC_SIGHT",$D74&lt;&gt;"LC_USANCE",$D74&lt;&gt;"TT_ADV"),$O74,""))</f>
        <v/>
      </c>
      <c r="X74" s="37">
        <f>IF($A74="",0,IF(AND($K74="N",$D74&lt;&gt;"LC_SIGHT",$D74&lt;&gt;"LC_USANCE",$D74&lt;&gt;"TT_ADV",$O74&gt;=30),1,0))</f>
        <v/>
      </c>
      <c r="Y74" s="37">
        <f>IF($A74="","",IF($O74&lt;=0,"미연체",IF($O74&lt;=30,"1-30",IF($O74&lt;=90,"31-90",IF($O74&lt;=180,"91-180",IF($O74&lt;=365,"181-365","365+"))))))</f>
        <v/>
      </c>
      <c r="Z74" s="37">
        <f>IF($S74="통지 기한 임박 — 사람 결정",COUNTIF($S$5:$S74,"통지 기한 임박 — 사람 결정"),"")</f>
        <v/>
      </c>
      <c r="AB74" s="37">
        <f>IF('02_Buyers'!$A71="","",'02_Buyers'!$A71)</f>
        <v/>
      </c>
      <c r="AC74" s="37">
        <f>IF($AB74="","",'02_Buyers'!$AH71)</f>
        <v/>
      </c>
      <c r="AD74" s="37">
        <f>IF($AB74="","",COUNTIFS(inv_buyer,$AB74,inv_paid,"N"))</f>
        <v/>
      </c>
      <c r="AE74" s="40">
        <f>IF($AB74="","",SUMIFS(inv_usd,inv_buyer,$AB74,inv_paid,"N"))</f>
        <v/>
      </c>
      <c r="AF74" s="37">
        <f>IF($AB74="","",_xlfn.MAXIFS(inv_nonlc_dpd,inv_buyer,$AB74))</f>
        <v/>
      </c>
      <c r="AG74" s="37">
        <f>IF($AB74="","",COUNTIFS(inv_buyer,$AB74,inv_hold30,1))</f>
        <v/>
      </c>
      <c r="AH74" s="37">
        <f>IF($AB74="","",IF(OR($AC74=1,$AG74&gt;0),"선적 보류",""))</f>
        <v/>
      </c>
      <c r="AI74" s="37">
        <f>IF($AH74&lt;&gt;"선적 보류","","내부 에스컬레이션: 여신 한도 동결 제안(사람 승인)")</f>
        <v/>
      </c>
      <c r="AJ74" s="37">
        <f>IF($AB74="","",COUNTIFS(inv_buyer,$AB74,inv_alert,"통지 기한 임박*"))</f>
        <v/>
      </c>
      <c r="AK74" s="40">
        <f>IF($AB74="","",'10_LimitLP'!$F74)</f>
        <v/>
      </c>
      <c r="AL74" s="84">
        <f>IF(OR($AB74="",$AK74&lt;=0),"",$AE74/$AK74)</f>
        <v/>
      </c>
      <c r="AM74" s="37">
        <f>IF($AL74="","",IF($AL74&gt;=0.8,"사용률 80%↑ — 출고 전 사전승인(제18조)",""))</f>
        <v/>
      </c>
      <c r="AN74" s="37">
        <f>IF($AB74="","",IFERROR(IF(INDEX($AU$21:$AU$40,MATCH('02_Buyers'!$S71,$AS$21:$AS$40,0))="","",INDEX($AU$21:$AU$40,MATCH('02_Buyers'!$S71,$AS$21:$AS$40,0))),""))</f>
        <v/>
      </c>
      <c r="AO74" s="37">
        <f>IF($AB74="","",IFERROR(IF(INDEX($AV$21:$AV$40,MATCH('02_Buyers'!$S71,$AS$21:$AS$40,0))="","",INDEX($AV$21:$AV$40,MATCH('02_Buyers'!$S71,$AS$21:$AS$40,0))),""))</f>
        <v/>
      </c>
      <c r="AP74" s="37">
        <f>IF(OR($AB74="",$AN74="",$AO74=""),"",IF($AN74&gt;$AO74,"국가등급 하향 — 한도 재산정",""))</f>
        <v/>
      </c>
      <c r="AQ74" s="37">
        <f>IF($AH74="선적 보류",COUNTIF($AH$5:$AH74,"선적 보류"),"")</f>
        <v/>
      </c>
    </row>
    <row r="75">
      <c r="A75" t="inlineStr">
        <is>
          <t>INV-2609-0117</t>
        </is>
      </c>
      <c r="B75" t="inlineStr">
        <is>
          <t>B040</t>
        </is>
      </c>
      <c r="C75" t="inlineStr">
        <is>
          <t>IND</t>
        </is>
      </c>
      <c r="D75" t="inlineStr">
        <is>
          <t>LC_USANCE</t>
        </is>
      </c>
      <c r="E75" t="inlineStr">
        <is>
          <t>USD</t>
        </is>
      </c>
      <c r="F75" t="inlineStr">
        <is>
          <t>N</t>
        </is>
      </c>
      <c r="G75" s="32" t="n">
        <v>46287</v>
      </c>
      <c r="H75" s="32" t="n">
        <v>46377</v>
      </c>
      <c r="I75" s="82" t="n">
        <v>7940</v>
      </c>
      <c r="J75" s="82" t="n">
        <v>7940</v>
      </c>
      <c r="K75" t="inlineStr">
        <is>
          <t>N</t>
        </is>
      </c>
      <c r="N75" t="inlineStr">
        <is>
          <t>N</t>
        </is>
      </c>
      <c r="O75" s="37">
        <f>IF($A75="","",AsOf-$H75)</f>
        <v/>
      </c>
      <c r="P75" s="37">
        <f>IF($A75="","",IF($K75="Y","-",IF($O75&gt;=30,"D+30 최종통지·선적보류",IF($O75&gt;=15,"D+15 단호한 통지",IF($O75&gt;=7,"D+7 친절한 리마인더",IF(AND($O75&gt;=-3,$O75&lt;=-1),"D-3 사전 안내","모니터링"))))))</f>
        <v/>
      </c>
      <c r="Q75" s="83">
        <f>IF($A75="","",EDATE($H75,1))</f>
        <v/>
      </c>
      <c r="R75" s="37">
        <f>IF($A75="","",$Q75-AsOf)</f>
        <v/>
      </c>
      <c r="S75" s="37">
        <f>IF($A75="","",IF(OR($K75="Y",$F75&lt;&gt;"Y",$O75&lt;=0),"",IF($R75&lt;0,"통지 기한 경과 — 즉시 확인",IF($R75&lt;=NoticeWarnDays,"통지 기한 임박 — 사람 결정",""))))</f>
        <v/>
      </c>
      <c r="T75" s="83">
        <f>IF(OR($A75="",$F75&lt;&gt;"Y"),"",IF(IF($L75="",InsuranceType,$L75)="포괄",DATE(YEAR($G75),MONTH($G75)+1,20),WORKDAY($G75,10)))</f>
        <v/>
      </c>
      <c r="U75" s="83">
        <f>IF(OR($A75="",$M75=""),"",WORKDAY($M75,10))</f>
        <v/>
      </c>
      <c r="V75" s="37">
        <f>IF($A75="","",IF($N75="Y","사기 의심: 콜백 검증 전 대금 안내 중단",""))</f>
        <v/>
      </c>
      <c r="W75" s="37">
        <f>IF($A75="","",IF(AND($K75="N",$D75&lt;&gt;"LC_SIGHT",$D75&lt;&gt;"LC_USANCE",$D75&lt;&gt;"TT_ADV"),$O75,""))</f>
        <v/>
      </c>
      <c r="X75" s="37">
        <f>IF($A75="",0,IF(AND($K75="N",$D75&lt;&gt;"LC_SIGHT",$D75&lt;&gt;"LC_USANCE",$D75&lt;&gt;"TT_ADV",$O75&gt;=30),1,0))</f>
        <v/>
      </c>
      <c r="Y75" s="37">
        <f>IF($A75="","",IF($O75&lt;=0,"미연체",IF($O75&lt;=30,"1-30",IF($O75&lt;=90,"31-90",IF($O75&lt;=180,"91-180",IF($O75&lt;=365,"181-365","365+"))))))</f>
        <v/>
      </c>
      <c r="Z75" s="37">
        <f>IF($S75="통지 기한 임박 — 사람 결정",COUNTIF($S$5:$S75,"통지 기한 임박 — 사람 결정"),"")</f>
        <v/>
      </c>
      <c r="AB75" s="37">
        <f>IF('02_Buyers'!$A72="","",'02_Buyers'!$A72)</f>
        <v/>
      </c>
      <c r="AC75" s="37">
        <f>IF($AB75="","",'02_Buyers'!$AH72)</f>
        <v/>
      </c>
      <c r="AD75" s="37">
        <f>IF($AB75="","",COUNTIFS(inv_buyer,$AB75,inv_paid,"N"))</f>
        <v/>
      </c>
      <c r="AE75" s="40">
        <f>IF($AB75="","",SUMIFS(inv_usd,inv_buyer,$AB75,inv_paid,"N"))</f>
        <v/>
      </c>
      <c r="AF75" s="37">
        <f>IF($AB75="","",_xlfn.MAXIFS(inv_nonlc_dpd,inv_buyer,$AB75))</f>
        <v/>
      </c>
      <c r="AG75" s="37">
        <f>IF($AB75="","",COUNTIFS(inv_buyer,$AB75,inv_hold30,1))</f>
        <v/>
      </c>
      <c r="AH75" s="37">
        <f>IF($AB75="","",IF(OR($AC75=1,$AG75&gt;0),"선적 보류",""))</f>
        <v/>
      </c>
      <c r="AI75" s="37">
        <f>IF($AH75&lt;&gt;"선적 보류","","내부 에스컬레이션: 여신 한도 동결 제안(사람 승인)")</f>
        <v/>
      </c>
      <c r="AJ75" s="37">
        <f>IF($AB75="","",COUNTIFS(inv_buyer,$AB75,inv_alert,"통지 기한 임박*"))</f>
        <v/>
      </c>
      <c r="AK75" s="40">
        <f>IF($AB75="","",'10_LimitLP'!$F75)</f>
        <v/>
      </c>
      <c r="AL75" s="84">
        <f>IF(OR($AB75="",$AK75&lt;=0),"",$AE75/$AK75)</f>
        <v/>
      </c>
      <c r="AM75" s="37">
        <f>IF($AL75="","",IF($AL75&gt;=0.8,"사용률 80%↑ — 출고 전 사전승인(제18조)",""))</f>
        <v/>
      </c>
      <c r="AN75" s="37">
        <f>IF($AB75="","",IFERROR(IF(INDEX($AU$21:$AU$40,MATCH('02_Buyers'!$S72,$AS$21:$AS$40,0))="","",INDEX($AU$21:$AU$40,MATCH('02_Buyers'!$S72,$AS$21:$AS$40,0))),""))</f>
        <v/>
      </c>
      <c r="AO75" s="37">
        <f>IF($AB75="","",IFERROR(IF(INDEX($AV$21:$AV$40,MATCH('02_Buyers'!$S72,$AS$21:$AS$40,0))="","",INDEX($AV$21:$AV$40,MATCH('02_Buyers'!$S72,$AS$21:$AS$40,0))),""))</f>
        <v/>
      </c>
      <c r="AP75" s="37">
        <f>IF(OR($AB75="",$AN75="",$AO75=""),"",IF($AN75&gt;$AO75,"국가등급 하향 — 한도 재산정",""))</f>
        <v/>
      </c>
      <c r="AQ75" s="37">
        <f>IF($AH75="선적 보류",COUNTIF($AH$5:$AH75,"선적 보류"),"")</f>
        <v/>
      </c>
    </row>
    <row r="76">
      <c r="A76" t="inlineStr">
        <is>
          <t>INV-2608-0137</t>
        </is>
      </c>
      <c r="B76" t="inlineStr">
        <is>
          <t>B041</t>
        </is>
      </c>
      <c r="C76" t="inlineStr">
        <is>
          <t>TUR</t>
        </is>
      </c>
      <c r="D76" t="inlineStr">
        <is>
          <t>OA</t>
        </is>
      </c>
      <c r="E76" t="inlineStr">
        <is>
          <t>USD</t>
        </is>
      </c>
      <c r="F76" t="inlineStr">
        <is>
          <t>Y</t>
        </is>
      </c>
      <c r="G76" s="32" t="n">
        <v>46262</v>
      </c>
      <c r="H76" s="32" t="n">
        <v>46292</v>
      </c>
      <c r="I76" s="82" t="n">
        <v>11210</v>
      </c>
      <c r="J76" s="82" t="n">
        <v>11210</v>
      </c>
      <c r="K76" t="inlineStr">
        <is>
          <t>N</t>
        </is>
      </c>
      <c r="L76" t="inlineStr">
        <is>
          <t>개별</t>
        </is>
      </c>
      <c r="N76" t="inlineStr">
        <is>
          <t>N</t>
        </is>
      </c>
      <c r="O76" s="37">
        <f>IF($A76="","",AsOf-$H76)</f>
        <v/>
      </c>
      <c r="P76" s="37">
        <f>IF($A76="","",IF($K76="Y","-",IF($O76&gt;=30,"D+30 최종통지·선적보류",IF($O76&gt;=15,"D+15 단호한 통지",IF($O76&gt;=7,"D+7 친절한 리마인더",IF(AND($O76&gt;=-3,$O76&lt;=-1),"D-3 사전 안내","모니터링"))))))</f>
        <v/>
      </c>
      <c r="Q76" s="83">
        <f>IF($A76="","",EDATE($H76,1))</f>
        <v/>
      </c>
      <c r="R76" s="37">
        <f>IF($A76="","",$Q76-AsOf)</f>
        <v/>
      </c>
      <c r="S76" s="37">
        <f>IF($A76="","",IF(OR($K76="Y",$F76&lt;&gt;"Y",$O76&lt;=0),"",IF($R76&lt;0,"통지 기한 경과 — 즉시 확인",IF($R76&lt;=NoticeWarnDays,"통지 기한 임박 — 사람 결정",""))))</f>
        <v/>
      </c>
      <c r="T76" s="83">
        <f>IF(OR($A76="",$F76&lt;&gt;"Y"),"",IF(IF($L76="",InsuranceType,$L76)="포괄",DATE(YEAR($G76),MONTH($G76)+1,20),WORKDAY($G76,10)))</f>
        <v/>
      </c>
      <c r="U76" s="83">
        <f>IF(OR($A76="",$M76=""),"",WORKDAY($M76,10))</f>
        <v/>
      </c>
      <c r="V76" s="37">
        <f>IF($A76="","",IF($N76="Y","사기 의심: 콜백 검증 전 대금 안내 중단",""))</f>
        <v/>
      </c>
      <c r="W76" s="37">
        <f>IF($A76="","",IF(AND($K76="N",$D76&lt;&gt;"LC_SIGHT",$D76&lt;&gt;"LC_USANCE",$D76&lt;&gt;"TT_ADV"),$O76,""))</f>
        <v/>
      </c>
      <c r="X76" s="37">
        <f>IF($A76="",0,IF(AND($K76="N",$D76&lt;&gt;"LC_SIGHT",$D76&lt;&gt;"LC_USANCE",$D76&lt;&gt;"TT_ADV",$O76&gt;=30),1,0))</f>
        <v/>
      </c>
      <c r="Y76" s="37">
        <f>IF($A76="","",IF($O76&lt;=0,"미연체",IF($O76&lt;=30,"1-30",IF($O76&lt;=90,"31-90",IF($O76&lt;=180,"91-180",IF($O76&lt;=365,"181-365","365+"))))))</f>
        <v/>
      </c>
      <c r="Z76" s="37">
        <f>IF($S76="통지 기한 임박 — 사람 결정",COUNTIF($S$5:$S76,"통지 기한 임박 — 사람 결정"),"")</f>
        <v/>
      </c>
      <c r="AB76" s="37">
        <f>IF('02_Buyers'!$A73="","",'02_Buyers'!$A73)</f>
        <v/>
      </c>
      <c r="AC76" s="37">
        <f>IF($AB76="","",'02_Buyers'!$AH73)</f>
        <v/>
      </c>
      <c r="AD76" s="37">
        <f>IF($AB76="","",COUNTIFS(inv_buyer,$AB76,inv_paid,"N"))</f>
        <v/>
      </c>
      <c r="AE76" s="40">
        <f>IF($AB76="","",SUMIFS(inv_usd,inv_buyer,$AB76,inv_paid,"N"))</f>
        <v/>
      </c>
      <c r="AF76" s="37">
        <f>IF($AB76="","",_xlfn.MAXIFS(inv_nonlc_dpd,inv_buyer,$AB76))</f>
        <v/>
      </c>
      <c r="AG76" s="37">
        <f>IF($AB76="","",COUNTIFS(inv_buyer,$AB76,inv_hold30,1))</f>
        <v/>
      </c>
      <c r="AH76" s="37">
        <f>IF($AB76="","",IF(OR($AC76=1,$AG76&gt;0),"선적 보류",""))</f>
        <v/>
      </c>
      <c r="AI76" s="37">
        <f>IF($AH76&lt;&gt;"선적 보류","","내부 에스컬레이션: 여신 한도 동결 제안(사람 승인)")</f>
        <v/>
      </c>
      <c r="AJ76" s="37">
        <f>IF($AB76="","",COUNTIFS(inv_buyer,$AB76,inv_alert,"통지 기한 임박*"))</f>
        <v/>
      </c>
      <c r="AK76" s="40">
        <f>IF($AB76="","",'10_LimitLP'!$F76)</f>
        <v/>
      </c>
      <c r="AL76" s="84">
        <f>IF(OR($AB76="",$AK76&lt;=0),"",$AE76/$AK76)</f>
        <v/>
      </c>
      <c r="AM76" s="37">
        <f>IF($AL76="","",IF($AL76&gt;=0.8,"사용률 80%↑ — 출고 전 사전승인(제18조)",""))</f>
        <v/>
      </c>
      <c r="AN76" s="37">
        <f>IF($AB76="","",IFERROR(IF(INDEX($AU$21:$AU$40,MATCH('02_Buyers'!$S73,$AS$21:$AS$40,0))="","",INDEX($AU$21:$AU$40,MATCH('02_Buyers'!$S73,$AS$21:$AS$40,0))),""))</f>
        <v/>
      </c>
      <c r="AO76" s="37">
        <f>IF($AB76="","",IFERROR(IF(INDEX($AV$21:$AV$40,MATCH('02_Buyers'!$S73,$AS$21:$AS$40,0))="","",INDEX($AV$21:$AV$40,MATCH('02_Buyers'!$S73,$AS$21:$AS$40,0))),""))</f>
        <v/>
      </c>
      <c r="AP76" s="37">
        <f>IF(OR($AB76="",$AN76="",$AO76=""),"",IF($AN76&gt;$AO76,"국가등급 하향 — 한도 재산정",""))</f>
        <v/>
      </c>
      <c r="AQ76" s="37">
        <f>IF($AH76="선적 보류",COUNTIF($AH$5:$AH76,"선적 보류"),"")</f>
        <v/>
      </c>
    </row>
    <row r="77">
      <c r="A77" t="inlineStr">
        <is>
          <t>INV-2609-0103</t>
        </is>
      </c>
      <c r="B77" t="inlineStr">
        <is>
          <t>B041</t>
        </is>
      </c>
      <c r="C77" t="inlineStr">
        <is>
          <t>TUR</t>
        </is>
      </c>
      <c r="D77" t="inlineStr">
        <is>
          <t>OA</t>
        </is>
      </c>
      <c r="E77" t="inlineStr">
        <is>
          <t>USD</t>
        </is>
      </c>
      <c r="F77" t="inlineStr">
        <is>
          <t>Y</t>
        </is>
      </c>
      <c r="G77" s="32" t="n">
        <v>46285</v>
      </c>
      <c r="H77" s="32" t="n">
        <v>46315</v>
      </c>
      <c r="I77" s="82" t="n">
        <v>20970</v>
      </c>
      <c r="J77" s="82" t="n">
        <v>20970</v>
      </c>
      <c r="K77" t="inlineStr">
        <is>
          <t>N</t>
        </is>
      </c>
      <c r="L77" t="inlineStr">
        <is>
          <t>개별</t>
        </is>
      </c>
      <c r="N77" t="inlineStr">
        <is>
          <t>N</t>
        </is>
      </c>
      <c r="O77" s="37">
        <f>IF($A77="","",AsOf-$H77)</f>
        <v/>
      </c>
      <c r="P77" s="37">
        <f>IF($A77="","",IF($K77="Y","-",IF($O77&gt;=30,"D+30 최종통지·선적보류",IF($O77&gt;=15,"D+15 단호한 통지",IF($O77&gt;=7,"D+7 친절한 리마인더",IF(AND($O77&gt;=-3,$O77&lt;=-1),"D-3 사전 안내","모니터링"))))))</f>
        <v/>
      </c>
      <c r="Q77" s="83">
        <f>IF($A77="","",EDATE($H77,1))</f>
        <v/>
      </c>
      <c r="R77" s="37">
        <f>IF($A77="","",$Q77-AsOf)</f>
        <v/>
      </c>
      <c r="S77" s="37">
        <f>IF($A77="","",IF(OR($K77="Y",$F77&lt;&gt;"Y",$O77&lt;=0),"",IF($R77&lt;0,"통지 기한 경과 — 즉시 확인",IF($R77&lt;=NoticeWarnDays,"통지 기한 임박 — 사람 결정",""))))</f>
        <v/>
      </c>
      <c r="T77" s="83">
        <f>IF(OR($A77="",$F77&lt;&gt;"Y"),"",IF(IF($L77="",InsuranceType,$L77)="포괄",DATE(YEAR($G77),MONTH($G77)+1,20),WORKDAY($G77,10)))</f>
        <v/>
      </c>
      <c r="U77" s="83">
        <f>IF(OR($A77="",$M77=""),"",WORKDAY($M77,10))</f>
        <v/>
      </c>
      <c r="V77" s="37">
        <f>IF($A77="","",IF($N77="Y","사기 의심: 콜백 검증 전 대금 안내 중단",""))</f>
        <v/>
      </c>
      <c r="W77" s="37">
        <f>IF($A77="","",IF(AND($K77="N",$D77&lt;&gt;"LC_SIGHT",$D77&lt;&gt;"LC_USANCE",$D77&lt;&gt;"TT_ADV"),$O77,""))</f>
        <v/>
      </c>
      <c r="X77" s="37">
        <f>IF($A77="",0,IF(AND($K77="N",$D77&lt;&gt;"LC_SIGHT",$D77&lt;&gt;"LC_USANCE",$D77&lt;&gt;"TT_ADV",$O77&gt;=30),1,0))</f>
        <v/>
      </c>
      <c r="Y77" s="37">
        <f>IF($A77="","",IF($O77&lt;=0,"미연체",IF($O77&lt;=30,"1-30",IF($O77&lt;=90,"31-90",IF($O77&lt;=180,"91-180",IF($O77&lt;=365,"181-365","365+"))))))</f>
        <v/>
      </c>
      <c r="Z77" s="37">
        <f>IF($S77="통지 기한 임박 — 사람 결정",COUNTIF($S$5:$S77,"통지 기한 임박 — 사람 결정"),"")</f>
        <v/>
      </c>
      <c r="AB77" s="37">
        <f>IF('02_Buyers'!$A74="","",'02_Buyers'!$A74)</f>
        <v/>
      </c>
      <c r="AC77" s="37">
        <f>IF($AB77="","",'02_Buyers'!$AH74)</f>
        <v/>
      </c>
      <c r="AD77" s="37">
        <f>IF($AB77="","",COUNTIFS(inv_buyer,$AB77,inv_paid,"N"))</f>
        <v/>
      </c>
      <c r="AE77" s="40">
        <f>IF($AB77="","",SUMIFS(inv_usd,inv_buyer,$AB77,inv_paid,"N"))</f>
        <v/>
      </c>
      <c r="AF77" s="37">
        <f>IF($AB77="","",_xlfn.MAXIFS(inv_nonlc_dpd,inv_buyer,$AB77))</f>
        <v/>
      </c>
      <c r="AG77" s="37">
        <f>IF($AB77="","",COUNTIFS(inv_buyer,$AB77,inv_hold30,1))</f>
        <v/>
      </c>
      <c r="AH77" s="37">
        <f>IF($AB77="","",IF(OR($AC77=1,$AG77&gt;0),"선적 보류",""))</f>
        <v/>
      </c>
      <c r="AI77" s="37">
        <f>IF($AH77&lt;&gt;"선적 보류","","내부 에스컬레이션: 여신 한도 동결 제안(사람 승인)")</f>
        <v/>
      </c>
      <c r="AJ77" s="37">
        <f>IF($AB77="","",COUNTIFS(inv_buyer,$AB77,inv_alert,"통지 기한 임박*"))</f>
        <v/>
      </c>
      <c r="AK77" s="40">
        <f>IF($AB77="","",'10_LimitLP'!$F77)</f>
        <v/>
      </c>
      <c r="AL77" s="84">
        <f>IF(OR($AB77="",$AK77&lt;=0),"",$AE77/$AK77)</f>
        <v/>
      </c>
      <c r="AM77" s="37">
        <f>IF($AL77="","",IF($AL77&gt;=0.8,"사용률 80%↑ — 출고 전 사전승인(제18조)",""))</f>
        <v/>
      </c>
      <c r="AN77" s="37">
        <f>IF($AB77="","",IFERROR(IF(INDEX($AU$21:$AU$40,MATCH('02_Buyers'!$S74,$AS$21:$AS$40,0))="","",INDEX($AU$21:$AU$40,MATCH('02_Buyers'!$S74,$AS$21:$AS$40,0))),""))</f>
        <v/>
      </c>
      <c r="AO77" s="37">
        <f>IF($AB77="","",IFERROR(IF(INDEX($AV$21:$AV$40,MATCH('02_Buyers'!$S74,$AS$21:$AS$40,0))="","",INDEX($AV$21:$AV$40,MATCH('02_Buyers'!$S74,$AS$21:$AS$40,0))),""))</f>
        <v/>
      </c>
      <c r="AP77" s="37">
        <f>IF(OR($AB77="",$AN77="",$AO77=""),"",IF($AN77&gt;$AO77,"국가등급 하향 — 한도 재산정",""))</f>
        <v/>
      </c>
      <c r="AQ77" s="37">
        <f>IF($AH77="선적 보류",COUNTIF($AH$5:$AH77,"선적 보류"),"")</f>
        <v/>
      </c>
    </row>
    <row r="78">
      <c r="A78" t="inlineStr">
        <is>
          <t>INV-2609-0110</t>
        </is>
      </c>
      <c r="B78" t="inlineStr">
        <is>
          <t>B041</t>
        </is>
      </c>
      <c r="C78" t="inlineStr">
        <is>
          <t>TUR</t>
        </is>
      </c>
      <c r="D78" t="inlineStr">
        <is>
          <t>OA</t>
        </is>
      </c>
      <c r="E78" t="inlineStr">
        <is>
          <t>USD</t>
        </is>
      </c>
      <c r="F78" t="inlineStr">
        <is>
          <t>Y</t>
        </is>
      </c>
      <c r="G78" s="32" t="n">
        <v>46286</v>
      </c>
      <c r="H78" s="32" t="n">
        <v>46316</v>
      </c>
      <c r="I78" s="82" t="n">
        <v>2130</v>
      </c>
      <c r="J78" s="82" t="n">
        <v>2130</v>
      </c>
      <c r="K78" t="inlineStr">
        <is>
          <t>N</t>
        </is>
      </c>
      <c r="L78" t="inlineStr">
        <is>
          <t>개별</t>
        </is>
      </c>
      <c r="N78" t="inlineStr">
        <is>
          <t>N</t>
        </is>
      </c>
      <c r="O78" s="37">
        <f>IF($A78="","",AsOf-$H78)</f>
        <v/>
      </c>
      <c r="P78" s="37">
        <f>IF($A78="","",IF($K78="Y","-",IF($O78&gt;=30,"D+30 최종통지·선적보류",IF($O78&gt;=15,"D+15 단호한 통지",IF($O78&gt;=7,"D+7 친절한 리마인더",IF(AND($O78&gt;=-3,$O78&lt;=-1),"D-3 사전 안내","모니터링"))))))</f>
        <v/>
      </c>
      <c r="Q78" s="83">
        <f>IF($A78="","",EDATE($H78,1))</f>
        <v/>
      </c>
      <c r="R78" s="37">
        <f>IF($A78="","",$Q78-AsOf)</f>
        <v/>
      </c>
      <c r="S78" s="37">
        <f>IF($A78="","",IF(OR($K78="Y",$F78&lt;&gt;"Y",$O78&lt;=0),"",IF($R78&lt;0,"통지 기한 경과 — 즉시 확인",IF($R78&lt;=NoticeWarnDays,"통지 기한 임박 — 사람 결정",""))))</f>
        <v/>
      </c>
      <c r="T78" s="83">
        <f>IF(OR($A78="",$F78&lt;&gt;"Y"),"",IF(IF($L78="",InsuranceType,$L78)="포괄",DATE(YEAR($G78),MONTH($G78)+1,20),WORKDAY($G78,10)))</f>
        <v/>
      </c>
      <c r="U78" s="83">
        <f>IF(OR($A78="",$M78=""),"",WORKDAY($M78,10))</f>
        <v/>
      </c>
      <c r="V78" s="37">
        <f>IF($A78="","",IF($N78="Y","사기 의심: 콜백 검증 전 대금 안내 중단",""))</f>
        <v/>
      </c>
      <c r="W78" s="37">
        <f>IF($A78="","",IF(AND($K78="N",$D78&lt;&gt;"LC_SIGHT",$D78&lt;&gt;"LC_USANCE",$D78&lt;&gt;"TT_ADV"),$O78,""))</f>
        <v/>
      </c>
      <c r="X78" s="37">
        <f>IF($A78="",0,IF(AND($K78="N",$D78&lt;&gt;"LC_SIGHT",$D78&lt;&gt;"LC_USANCE",$D78&lt;&gt;"TT_ADV",$O78&gt;=30),1,0))</f>
        <v/>
      </c>
      <c r="Y78" s="37">
        <f>IF($A78="","",IF($O78&lt;=0,"미연체",IF($O78&lt;=30,"1-30",IF($O78&lt;=90,"31-90",IF($O78&lt;=180,"91-180",IF($O78&lt;=365,"181-365","365+"))))))</f>
        <v/>
      </c>
      <c r="Z78" s="37">
        <f>IF($S78="통지 기한 임박 — 사람 결정",COUNTIF($S$5:$S78,"통지 기한 임박 — 사람 결정"),"")</f>
        <v/>
      </c>
      <c r="AB78" s="37">
        <f>IF('02_Buyers'!$A75="","",'02_Buyers'!$A75)</f>
        <v/>
      </c>
      <c r="AC78" s="37">
        <f>IF($AB78="","",'02_Buyers'!$AH75)</f>
        <v/>
      </c>
      <c r="AD78" s="37">
        <f>IF($AB78="","",COUNTIFS(inv_buyer,$AB78,inv_paid,"N"))</f>
        <v/>
      </c>
      <c r="AE78" s="40">
        <f>IF($AB78="","",SUMIFS(inv_usd,inv_buyer,$AB78,inv_paid,"N"))</f>
        <v/>
      </c>
      <c r="AF78" s="37">
        <f>IF($AB78="","",_xlfn.MAXIFS(inv_nonlc_dpd,inv_buyer,$AB78))</f>
        <v/>
      </c>
      <c r="AG78" s="37">
        <f>IF($AB78="","",COUNTIFS(inv_buyer,$AB78,inv_hold30,1))</f>
        <v/>
      </c>
      <c r="AH78" s="37">
        <f>IF($AB78="","",IF(OR($AC78=1,$AG78&gt;0),"선적 보류",""))</f>
        <v/>
      </c>
      <c r="AI78" s="37">
        <f>IF($AH78&lt;&gt;"선적 보류","","내부 에스컬레이션: 여신 한도 동결 제안(사람 승인)")</f>
        <v/>
      </c>
      <c r="AJ78" s="37">
        <f>IF($AB78="","",COUNTIFS(inv_buyer,$AB78,inv_alert,"통지 기한 임박*"))</f>
        <v/>
      </c>
      <c r="AK78" s="40">
        <f>IF($AB78="","",'10_LimitLP'!$F78)</f>
        <v/>
      </c>
      <c r="AL78" s="84">
        <f>IF(OR($AB78="",$AK78&lt;=0),"",$AE78/$AK78)</f>
        <v/>
      </c>
      <c r="AM78" s="37">
        <f>IF($AL78="","",IF($AL78&gt;=0.8,"사용률 80%↑ — 출고 전 사전승인(제18조)",""))</f>
        <v/>
      </c>
      <c r="AN78" s="37">
        <f>IF($AB78="","",IFERROR(IF(INDEX($AU$21:$AU$40,MATCH('02_Buyers'!$S75,$AS$21:$AS$40,0))="","",INDEX($AU$21:$AU$40,MATCH('02_Buyers'!$S75,$AS$21:$AS$40,0))),""))</f>
        <v/>
      </c>
      <c r="AO78" s="37">
        <f>IF($AB78="","",IFERROR(IF(INDEX($AV$21:$AV$40,MATCH('02_Buyers'!$S75,$AS$21:$AS$40,0))="","",INDEX($AV$21:$AV$40,MATCH('02_Buyers'!$S75,$AS$21:$AS$40,0))),""))</f>
        <v/>
      </c>
      <c r="AP78" s="37">
        <f>IF(OR($AB78="",$AN78="",$AO78=""),"",IF($AN78&gt;$AO78,"국가등급 하향 — 한도 재산정",""))</f>
        <v/>
      </c>
      <c r="AQ78" s="37">
        <f>IF($AH78="선적 보류",COUNTIF($AH$5:$AH78,"선적 보류"),"")</f>
        <v/>
      </c>
    </row>
    <row r="79">
      <c r="A79" t="inlineStr">
        <is>
          <t>INV-2609-0155</t>
        </is>
      </c>
      <c r="B79" t="inlineStr">
        <is>
          <t>B041</t>
        </is>
      </c>
      <c r="C79" t="inlineStr">
        <is>
          <t>TUR</t>
        </is>
      </c>
      <c r="D79" t="inlineStr">
        <is>
          <t>OA</t>
        </is>
      </c>
      <c r="E79" t="inlineStr">
        <is>
          <t>USD</t>
        </is>
      </c>
      <c r="F79" t="inlineStr">
        <is>
          <t>Y</t>
        </is>
      </c>
      <c r="G79" s="32" t="n">
        <v>46294</v>
      </c>
      <c r="H79" s="32" t="n">
        <v>46324</v>
      </c>
      <c r="I79" s="82" t="n">
        <v>8250</v>
      </c>
      <c r="J79" s="82" t="n">
        <v>8250</v>
      </c>
      <c r="K79" t="inlineStr">
        <is>
          <t>N</t>
        </is>
      </c>
      <c r="L79" t="inlineStr">
        <is>
          <t>개별</t>
        </is>
      </c>
      <c r="N79" t="inlineStr">
        <is>
          <t>N</t>
        </is>
      </c>
      <c r="O79" s="37">
        <f>IF($A79="","",AsOf-$H79)</f>
        <v/>
      </c>
      <c r="P79" s="37">
        <f>IF($A79="","",IF($K79="Y","-",IF($O79&gt;=30,"D+30 최종통지·선적보류",IF($O79&gt;=15,"D+15 단호한 통지",IF($O79&gt;=7,"D+7 친절한 리마인더",IF(AND($O79&gt;=-3,$O79&lt;=-1),"D-3 사전 안내","모니터링"))))))</f>
        <v/>
      </c>
      <c r="Q79" s="83">
        <f>IF($A79="","",EDATE($H79,1))</f>
        <v/>
      </c>
      <c r="R79" s="37">
        <f>IF($A79="","",$Q79-AsOf)</f>
        <v/>
      </c>
      <c r="S79" s="37">
        <f>IF($A79="","",IF(OR($K79="Y",$F79&lt;&gt;"Y",$O79&lt;=0),"",IF($R79&lt;0,"통지 기한 경과 — 즉시 확인",IF($R79&lt;=NoticeWarnDays,"통지 기한 임박 — 사람 결정",""))))</f>
        <v/>
      </c>
      <c r="T79" s="83">
        <f>IF(OR($A79="",$F79&lt;&gt;"Y"),"",IF(IF($L79="",InsuranceType,$L79)="포괄",DATE(YEAR($G79),MONTH($G79)+1,20),WORKDAY($G79,10)))</f>
        <v/>
      </c>
      <c r="U79" s="83">
        <f>IF(OR($A79="",$M79=""),"",WORKDAY($M79,10))</f>
        <v/>
      </c>
      <c r="V79" s="37">
        <f>IF($A79="","",IF($N79="Y","사기 의심: 콜백 검증 전 대금 안내 중단",""))</f>
        <v/>
      </c>
      <c r="W79" s="37">
        <f>IF($A79="","",IF(AND($K79="N",$D79&lt;&gt;"LC_SIGHT",$D79&lt;&gt;"LC_USANCE",$D79&lt;&gt;"TT_ADV"),$O79,""))</f>
        <v/>
      </c>
      <c r="X79" s="37">
        <f>IF($A79="",0,IF(AND($K79="N",$D79&lt;&gt;"LC_SIGHT",$D79&lt;&gt;"LC_USANCE",$D79&lt;&gt;"TT_ADV",$O79&gt;=30),1,0))</f>
        <v/>
      </c>
      <c r="Y79" s="37">
        <f>IF($A79="","",IF($O79&lt;=0,"미연체",IF($O79&lt;=30,"1-30",IF($O79&lt;=90,"31-90",IF($O79&lt;=180,"91-180",IF($O79&lt;=365,"181-365","365+"))))))</f>
        <v/>
      </c>
      <c r="Z79" s="37">
        <f>IF($S79="통지 기한 임박 — 사람 결정",COUNTIF($S$5:$S79,"통지 기한 임박 — 사람 결정"),"")</f>
        <v/>
      </c>
      <c r="AB79" s="37">
        <f>IF('02_Buyers'!$A76="","",'02_Buyers'!$A76)</f>
        <v/>
      </c>
      <c r="AC79" s="37">
        <f>IF($AB79="","",'02_Buyers'!$AH76)</f>
        <v/>
      </c>
      <c r="AD79" s="37">
        <f>IF($AB79="","",COUNTIFS(inv_buyer,$AB79,inv_paid,"N"))</f>
        <v/>
      </c>
      <c r="AE79" s="40">
        <f>IF($AB79="","",SUMIFS(inv_usd,inv_buyer,$AB79,inv_paid,"N"))</f>
        <v/>
      </c>
      <c r="AF79" s="37">
        <f>IF($AB79="","",_xlfn.MAXIFS(inv_nonlc_dpd,inv_buyer,$AB79))</f>
        <v/>
      </c>
      <c r="AG79" s="37">
        <f>IF($AB79="","",COUNTIFS(inv_buyer,$AB79,inv_hold30,1))</f>
        <v/>
      </c>
      <c r="AH79" s="37">
        <f>IF($AB79="","",IF(OR($AC79=1,$AG79&gt;0),"선적 보류",""))</f>
        <v/>
      </c>
      <c r="AI79" s="37">
        <f>IF($AH79&lt;&gt;"선적 보류","","내부 에스컬레이션: 여신 한도 동결 제안(사람 승인)")</f>
        <v/>
      </c>
      <c r="AJ79" s="37">
        <f>IF($AB79="","",COUNTIFS(inv_buyer,$AB79,inv_alert,"통지 기한 임박*"))</f>
        <v/>
      </c>
      <c r="AK79" s="40">
        <f>IF($AB79="","",'10_LimitLP'!$F79)</f>
        <v/>
      </c>
      <c r="AL79" s="84">
        <f>IF(OR($AB79="",$AK79&lt;=0),"",$AE79/$AK79)</f>
        <v/>
      </c>
      <c r="AM79" s="37">
        <f>IF($AL79="","",IF($AL79&gt;=0.8,"사용률 80%↑ — 출고 전 사전승인(제18조)",""))</f>
        <v/>
      </c>
      <c r="AN79" s="37">
        <f>IF($AB79="","",IFERROR(IF(INDEX($AU$21:$AU$40,MATCH('02_Buyers'!$S76,$AS$21:$AS$40,0))="","",INDEX($AU$21:$AU$40,MATCH('02_Buyers'!$S76,$AS$21:$AS$40,0))),""))</f>
        <v/>
      </c>
      <c r="AO79" s="37">
        <f>IF($AB79="","",IFERROR(IF(INDEX($AV$21:$AV$40,MATCH('02_Buyers'!$S76,$AS$21:$AS$40,0))="","",INDEX($AV$21:$AV$40,MATCH('02_Buyers'!$S76,$AS$21:$AS$40,0))),""))</f>
        <v/>
      </c>
      <c r="AP79" s="37">
        <f>IF(OR($AB79="",$AN79="",$AO79=""),"",IF($AN79&gt;$AO79,"국가등급 하향 — 한도 재산정",""))</f>
        <v/>
      </c>
      <c r="AQ79" s="37">
        <f>IF($AH79="선적 보류",COUNTIF($AH$5:$AH79,"선적 보류"),"")</f>
        <v/>
      </c>
    </row>
    <row r="80">
      <c r="A80" t="inlineStr">
        <is>
          <t>INV-2608-0133</t>
        </is>
      </c>
      <c r="B80" t="inlineStr">
        <is>
          <t>B043</t>
        </is>
      </c>
      <c r="C80" t="inlineStr">
        <is>
          <t>CHN</t>
        </is>
      </c>
      <c r="D80" t="inlineStr">
        <is>
          <t>OA</t>
        </is>
      </c>
      <c r="E80" t="inlineStr">
        <is>
          <t>CNY</t>
        </is>
      </c>
      <c r="F80" t="inlineStr">
        <is>
          <t>Y</t>
        </is>
      </c>
      <c r="G80" s="32" t="n">
        <v>46261</v>
      </c>
      <c r="H80" s="32" t="n">
        <v>46351</v>
      </c>
      <c r="I80" s="82" t="n">
        <v>155200</v>
      </c>
      <c r="J80" s="82" t="n">
        <v>23125.95</v>
      </c>
      <c r="K80" t="inlineStr">
        <is>
          <t>N</t>
        </is>
      </c>
      <c r="L80" t="inlineStr">
        <is>
          <t>개별</t>
        </is>
      </c>
      <c r="N80" t="inlineStr">
        <is>
          <t>N</t>
        </is>
      </c>
      <c r="O80" s="37">
        <f>IF($A80="","",AsOf-$H80)</f>
        <v/>
      </c>
      <c r="P80" s="37">
        <f>IF($A80="","",IF($K80="Y","-",IF($O80&gt;=30,"D+30 최종통지·선적보류",IF($O80&gt;=15,"D+15 단호한 통지",IF($O80&gt;=7,"D+7 친절한 리마인더",IF(AND($O80&gt;=-3,$O80&lt;=-1),"D-3 사전 안내","모니터링"))))))</f>
        <v/>
      </c>
      <c r="Q80" s="83">
        <f>IF($A80="","",EDATE($H80,1))</f>
        <v/>
      </c>
      <c r="R80" s="37">
        <f>IF($A80="","",$Q80-AsOf)</f>
        <v/>
      </c>
      <c r="S80" s="37">
        <f>IF($A80="","",IF(OR($K80="Y",$F80&lt;&gt;"Y",$O80&lt;=0),"",IF($R80&lt;0,"통지 기한 경과 — 즉시 확인",IF($R80&lt;=NoticeWarnDays,"통지 기한 임박 — 사람 결정",""))))</f>
        <v/>
      </c>
      <c r="T80" s="83">
        <f>IF(OR($A80="",$F80&lt;&gt;"Y"),"",IF(IF($L80="",InsuranceType,$L80)="포괄",DATE(YEAR($G80),MONTH($G80)+1,20),WORKDAY($G80,10)))</f>
        <v/>
      </c>
      <c r="U80" s="83">
        <f>IF(OR($A80="",$M80=""),"",WORKDAY($M80,10))</f>
        <v/>
      </c>
      <c r="V80" s="37">
        <f>IF($A80="","",IF($N80="Y","사기 의심: 콜백 검증 전 대금 안내 중단",""))</f>
        <v/>
      </c>
      <c r="W80" s="37">
        <f>IF($A80="","",IF(AND($K80="N",$D80&lt;&gt;"LC_SIGHT",$D80&lt;&gt;"LC_USANCE",$D80&lt;&gt;"TT_ADV"),$O80,""))</f>
        <v/>
      </c>
      <c r="X80" s="37">
        <f>IF($A80="",0,IF(AND($K80="N",$D80&lt;&gt;"LC_SIGHT",$D80&lt;&gt;"LC_USANCE",$D80&lt;&gt;"TT_ADV",$O80&gt;=30),1,0))</f>
        <v/>
      </c>
      <c r="Y80" s="37">
        <f>IF($A80="","",IF($O80&lt;=0,"미연체",IF($O80&lt;=30,"1-30",IF($O80&lt;=90,"31-90",IF($O80&lt;=180,"91-180",IF($O80&lt;=365,"181-365","365+"))))))</f>
        <v/>
      </c>
      <c r="Z80" s="37">
        <f>IF($S80="통지 기한 임박 — 사람 결정",COUNTIF($S$5:$S80,"통지 기한 임박 — 사람 결정"),"")</f>
        <v/>
      </c>
      <c r="AB80" s="37">
        <f>IF('02_Buyers'!$A77="","",'02_Buyers'!$A77)</f>
        <v/>
      </c>
      <c r="AC80" s="37">
        <f>IF($AB80="","",'02_Buyers'!$AH77)</f>
        <v/>
      </c>
      <c r="AD80" s="37">
        <f>IF($AB80="","",COUNTIFS(inv_buyer,$AB80,inv_paid,"N"))</f>
        <v/>
      </c>
      <c r="AE80" s="40">
        <f>IF($AB80="","",SUMIFS(inv_usd,inv_buyer,$AB80,inv_paid,"N"))</f>
        <v/>
      </c>
      <c r="AF80" s="37">
        <f>IF($AB80="","",_xlfn.MAXIFS(inv_nonlc_dpd,inv_buyer,$AB80))</f>
        <v/>
      </c>
      <c r="AG80" s="37">
        <f>IF($AB80="","",COUNTIFS(inv_buyer,$AB80,inv_hold30,1))</f>
        <v/>
      </c>
      <c r="AH80" s="37">
        <f>IF($AB80="","",IF(OR($AC80=1,$AG80&gt;0),"선적 보류",""))</f>
        <v/>
      </c>
      <c r="AI80" s="37">
        <f>IF($AH80&lt;&gt;"선적 보류","","내부 에스컬레이션: 여신 한도 동결 제안(사람 승인)")</f>
        <v/>
      </c>
      <c r="AJ80" s="37">
        <f>IF($AB80="","",COUNTIFS(inv_buyer,$AB80,inv_alert,"통지 기한 임박*"))</f>
        <v/>
      </c>
      <c r="AK80" s="40">
        <f>IF($AB80="","",'10_LimitLP'!$F80)</f>
        <v/>
      </c>
      <c r="AL80" s="84">
        <f>IF(OR($AB80="",$AK80&lt;=0),"",$AE80/$AK80)</f>
        <v/>
      </c>
      <c r="AM80" s="37">
        <f>IF($AL80="","",IF($AL80&gt;=0.8,"사용률 80%↑ — 출고 전 사전승인(제18조)",""))</f>
        <v/>
      </c>
      <c r="AN80" s="37">
        <f>IF($AB80="","",IFERROR(IF(INDEX($AU$21:$AU$40,MATCH('02_Buyers'!$S77,$AS$21:$AS$40,0))="","",INDEX($AU$21:$AU$40,MATCH('02_Buyers'!$S77,$AS$21:$AS$40,0))),""))</f>
        <v/>
      </c>
      <c r="AO80" s="37">
        <f>IF($AB80="","",IFERROR(IF(INDEX($AV$21:$AV$40,MATCH('02_Buyers'!$S77,$AS$21:$AS$40,0))="","",INDEX($AV$21:$AV$40,MATCH('02_Buyers'!$S77,$AS$21:$AS$40,0))),""))</f>
        <v/>
      </c>
      <c r="AP80" s="37">
        <f>IF(OR($AB80="",$AN80="",$AO80=""),"",IF($AN80&gt;$AO80,"국가등급 하향 — 한도 재산정",""))</f>
        <v/>
      </c>
      <c r="AQ80" s="37">
        <f>IF($AH80="선적 보류",COUNTIF($AH$5:$AH80,"선적 보류"),"")</f>
        <v/>
      </c>
    </row>
    <row r="81">
      <c r="A81" t="inlineStr">
        <is>
          <t>INV-2609-0144</t>
        </is>
      </c>
      <c r="B81" t="inlineStr">
        <is>
          <t>B043</t>
        </is>
      </c>
      <c r="C81" t="inlineStr">
        <is>
          <t>CHN</t>
        </is>
      </c>
      <c r="D81" t="inlineStr">
        <is>
          <t>OA</t>
        </is>
      </c>
      <c r="E81" t="inlineStr">
        <is>
          <t>CNY</t>
        </is>
      </c>
      <c r="F81" t="inlineStr">
        <is>
          <t>Y</t>
        </is>
      </c>
      <c r="G81" s="32" t="n">
        <v>46292</v>
      </c>
      <c r="H81" s="32" t="n">
        <v>46382</v>
      </c>
      <c r="I81" s="82" t="n">
        <v>13400</v>
      </c>
      <c r="J81" s="82" t="n">
        <v>1996.7</v>
      </c>
      <c r="K81" t="inlineStr">
        <is>
          <t>N</t>
        </is>
      </c>
      <c r="L81" t="inlineStr">
        <is>
          <t>개별</t>
        </is>
      </c>
      <c r="N81" t="inlineStr">
        <is>
          <t>N</t>
        </is>
      </c>
      <c r="O81" s="37">
        <f>IF($A81="","",AsOf-$H81)</f>
        <v/>
      </c>
      <c r="P81" s="37">
        <f>IF($A81="","",IF($K81="Y","-",IF($O81&gt;=30,"D+30 최종통지·선적보류",IF($O81&gt;=15,"D+15 단호한 통지",IF($O81&gt;=7,"D+7 친절한 리마인더",IF(AND($O81&gt;=-3,$O81&lt;=-1),"D-3 사전 안내","모니터링"))))))</f>
        <v/>
      </c>
      <c r="Q81" s="83">
        <f>IF($A81="","",EDATE($H81,1))</f>
        <v/>
      </c>
      <c r="R81" s="37">
        <f>IF($A81="","",$Q81-AsOf)</f>
        <v/>
      </c>
      <c r="S81" s="37">
        <f>IF($A81="","",IF(OR($K81="Y",$F81&lt;&gt;"Y",$O81&lt;=0),"",IF($R81&lt;0,"통지 기한 경과 — 즉시 확인",IF($R81&lt;=NoticeWarnDays,"통지 기한 임박 — 사람 결정",""))))</f>
        <v/>
      </c>
      <c r="T81" s="83">
        <f>IF(OR($A81="",$F81&lt;&gt;"Y"),"",IF(IF($L81="",InsuranceType,$L81)="포괄",DATE(YEAR($G81),MONTH($G81)+1,20),WORKDAY($G81,10)))</f>
        <v/>
      </c>
      <c r="U81" s="83">
        <f>IF(OR($A81="",$M81=""),"",WORKDAY($M81,10))</f>
        <v/>
      </c>
      <c r="V81" s="37">
        <f>IF($A81="","",IF($N81="Y","사기 의심: 콜백 검증 전 대금 안내 중단",""))</f>
        <v/>
      </c>
      <c r="W81" s="37">
        <f>IF($A81="","",IF(AND($K81="N",$D81&lt;&gt;"LC_SIGHT",$D81&lt;&gt;"LC_USANCE",$D81&lt;&gt;"TT_ADV"),$O81,""))</f>
        <v/>
      </c>
      <c r="X81" s="37">
        <f>IF($A81="",0,IF(AND($K81="N",$D81&lt;&gt;"LC_SIGHT",$D81&lt;&gt;"LC_USANCE",$D81&lt;&gt;"TT_ADV",$O81&gt;=30),1,0))</f>
        <v/>
      </c>
      <c r="Y81" s="37">
        <f>IF($A81="","",IF($O81&lt;=0,"미연체",IF($O81&lt;=30,"1-30",IF($O81&lt;=90,"31-90",IF($O81&lt;=180,"91-180",IF($O81&lt;=365,"181-365","365+"))))))</f>
        <v/>
      </c>
      <c r="Z81" s="37">
        <f>IF($S81="통지 기한 임박 — 사람 결정",COUNTIF($S$5:$S81,"통지 기한 임박 — 사람 결정"),"")</f>
        <v/>
      </c>
      <c r="AB81" s="37">
        <f>IF('02_Buyers'!$A78="","",'02_Buyers'!$A78)</f>
        <v/>
      </c>
      <c r="AC81" s="37">
        <f>IF($AB81="","",'02_Buyers'!$AH78)</f>
        <v/>
      </c>
      <c r="AD81" s="37">
        <f>IF($AB81="","",COUNTIFS(inv_buyer,$AB81,inv_paid,"N"))</f>
        <v/>
      </c>
      <c r="AE81" s="40">
        <f>IF($AB81="","",SUMIFS(inv_usd,inv_buyer,$AB81,inv_paid,"N"))</f>
        <v/>
      </c>
      <c r="AF81" s="37">
        <f>IF($AB81="","",_xlfn.MAXIFS(inv_nonlc_dpd,inv_buyer,$AB81))</f>
        <v/>
      </c>
      <c r="AG81" s="37">
        <f>IF($AB81="","",COUNTIFS(inv_buyer,$AB81,inv_hold30,1))</f>
        <v/>
      </c>
      <c r="AH81" s="37">
        <f>IF($AB81="","",IF(OR($AC81=1,$AG81&gt;0),"선적 보류",""))</f>
        <v/>
      </c>
      <c r="AI81" s="37">
        <f>IF($AH81&lt;&gt;"선적 보류","","내부 에스컬레이션: 여신 한도 동결 제안(사람 승인)")</f>
        <v/>
      </c>
      <c r="AJ81" s="37">
        <f>IF($AB81="","",COUNTIFS(inv_buyer,$AB81,inv_alert,"통지 기한 임박*"))</f>
        <v/>
      </c>
      <c r="AK81" s="40">
        <f>IF($AB81="","",'10_LimitLP'!$F81)</f>
        <v/>
      </c>
      <c r="AL81" s="84">
        <f>IF(OR($AB81="",$AK81&lt;=0),"",$AE81/$AK81)</f>
        <v/>
      </c>
      <c r="AM81" s="37">
        <f>IF($AL81="","",IF($AL81&gt;=0.8,"사용률 80%↑ — 출고 전 사전승인(제18조)",""))</f>
        <v/>
      </c>
      <c r="AN81" s="37">
        <f>IF($AB81="","",IFERROR(IF(INDEX($AU$21:$AU$40,MATCH('02_Buyers'!$S78,$AS$21:$AS$40,0))="","",INDEX($AU$21:$AU$40,MATCH('02_Buyers'!$S78,$AS$21:$AS$40,0))),""))</f>
        <v/>
      </c>
      <c r="AO81" s="37">
        <f>IF($AB81="","",IFERROR(IF(INDEX($AV$21:$AV$40,MATCH('02_Buyers'!$S78,$AS$21:$AS$40,0))="","",INDEX($AV$21:$AV$40,MATCH('02_Buyers'!$S78,$AS$21:$AS$40,0))),""))</f>
        <v/>
      </c>
      <c r="AP81" s="37">
        <f>IF(OR($AB81="",$AN81="",$AO81=""),"",IF($AN81&gt;$AO81,"국가등급 하향 — 한도 재산정",""))</f>
        <v/>
      </c>
      <c r="AQ81" s="37">
        <f>IF($AH81="선적 보류",COUNTIF($AH$5:$AH81,"선적 보류"),"")</f>
        <v/>
      </c>
    </row>
    <row r="82">
      <c r="A82" t="inlineStr">
        <is>
          <t>INV-2507-0045</t>
        </is>
      </c>
      <c r="B82" t="inlineStr">
        <is>
          <t>B044</t>
        </is>
      </c>
      <c r="C82" t="inlineStr">
        <is>
          <t>THA</t>
        </is>
      </c>
      <c r="D82" t="inlineStr">
        <is>
          <t>DA</t>
        </is>
      </c>
      <c r="E82" t="inlineStr">
        <is>
          <t>USD</t>
        </is>
      </c>
      <c r="F82" t="inlineStr">
        <is>
          <t>N</t>
        </is>
      </c>
      <c r="G82" s="32" t="n">
        <v>45850</v>
      </c>
      <c r="H82" s="32" t="n">
        <v>45940</v>
      </c>
      <c r="I82" s="82" t="n">
        <v>7720</v>
      </c>
      <c r="J82" s="82" t="n">
        <v>7720</v>
      </c>
      <c r="K82" t="inlineStr">
        <is>
          <t>N</t>
        </is>
      </c>
      <c r="N82" t="inlineStr">
        <is>
          <t>N</t>
        </is>
      </c>
      <c r="O82" s="37">
        <f>IF($A82="","",AsOf-$H82)</f>
        <v/>
      </c>
      <c r="P82" s="37">
        <f>IF($A82="","",IF($K82="Y","-",IF($O82&gt;=30,"D+30 최종통지·선적보류",IF($O82&gt;=15,"D+15 단호한 통지",IF($O82&gt;=7,"D+7 친절한 리마인더",IF(AND($O82&gt;=-3,$O82&lt;=-1),"D-3 사전 안내","모니터링"))))))</f>
        <v/>
      </c>
      <c r="Q82" s="83">
        <f>IF($A82="","",EDATE($H82,1))</f>
        <v/>
      </c>
      <c r="R82" s="37">
        <f>IF($A82="","",$Q82-AsOf)</f>
        <v/>
      </c>
      <c r="S82" s="37">
        <f>IF($A82="","",IF(OR($K82="Y",$F82&lt;&gt;"Y",$O82&lt;=0),"",IF($R82&lt;0,"통지 기한 경과 — 즉시 확인",IF($R82&lt;=NoticeWarnDays,"통지 기한 임박 — 사람 결정",""))))</f>
        <v/>
      </c>
      <c r="T82" s="83">
        <f>IF(OR($A82="",$F82&lt;&gt;"Y"),"",IF(IF($L82="",InsuranceType,$L82)="포괄",DATE(YEAR($G82),MONTH($G82)+1,20),WORKDAY($G82,10)))</f>
        <v/>
      </c>
      <c r="U82" s="83">
        <f>IF(OR($A82="",$M82=""),"",WORKDAY($M82,10))</f>
        <v/>
      </c>
      <c r="V82" s="37">
        <f>IF($A82="","",IF($N82="Y","사기 의심: 콜백 검증 전 대금 안내 중단",""))</f>
        <v/>
      </c>
      <c r="W82" s="37">
        <f>IF($A82="","",IF(AND($K82="N",$D82&lt;&gt;"LC_SIGHT",$D82&lt;&gt;"LC_USANCE",$D82&lt;&gt;"TT_ADV"),$O82,""))</f>
        <v/>
      </c>
      <c r="X82" s="37">
        <f>IF($A82="",0,IF(AND($K82="N",$D82&lt;&gt;"LC_SIGHT",$D82&lt;&gt;"LC_USANCE",$D82&lt;&gt;"TT_ADV",$O82&gt;=30),1,0))</f>
        <v/>
      </c>
      <c r="Y82" s="37">
        <f>IF($A82="","",IF($O82&lt;=0,"미연체",IF($O82&lt;=30,"1-30",IF($O82&lt;=90,"31-90",IF($O82&lt;=180,"91-180",IF($O82&lt;=365,"181-365","365+"))))))</f>
        <v/>
      </c>
      <c r="Z82" s="37">
        <f>IF($S82="통지 기한 임박 — 사람 결정",COUNTIF($S$5:$S82,"통지 기한 임박 — 사람 결정"),"")</f>
        <v/>
      </c>
      <c r="AB82" s="37">
        <f>IF('02_Buyers'!$A79="","",'02_Buyers'!$A79)</f>
        <v/>
      </c>
      <c r="AC82" s="37">
        <f>IF($AB82="","",'02_Buyers'!$AH79)</f>
        <v/>
      </c>
      <c r="AD82" s="37">
        <f>IF($AB82="","",COUNTIFS(inv_buyer,$AB82,inv_paid,"N"))</f>
        <v/>
      </c>
      <c r="AE82" s="40">
        <f>IF($AB82="","",SUMIFS(inv_usd,inv_buyer,$AB82,inv_paid,"N"))</f>
        <v/>
      </c>
      <c r="AF82" s="37">
        <f>IF($AB82="","",_xlfn.MAXIFS(inv_nonlc_dpd,inv_buyer,$AB82))</f>
        <v/>
      </c>
      <c r="AG82" s="37">
        <f>IF($AB82="","",COUNTIFS(inv_buyer,$AB82,inv_hold30,1))</f>
        <v/>
      </c>
      <c r="AH82" s="37">
        <f>IF($AB82="","",IF(OR($AC82=1,$AG82&gt;0),"선적 보류",""))</f>
        <v/>
      </c>
      <c r="AI82" s="37">
        <f>IF($AH82&lt;&gt;"선적 보류","","내부 에스컬레이션: 여신 한도 동결 제안(사람 승인)")</f>
        <v/>
      </c>
      <c r="AJ82" s="37">
        <f>IF($AB82="","",COUNTIFS(inv_buyer,$AB82,inv_alert,"통지 기한 임박*"))</f>
        <v/>
      </c>
      <c r="AK82" s="40">
        <f>IF($AB82="","",'10_LimitLP'!$F82)</f>
        <v/>
      </c>
      <c r="AL82" s="84">
        <f>IF(OR($AB82="",$AK82&lt;=0),"",$AE82/$AK82)</f>
        <v/>
      </c>
      <c r="AM82" s="37">
        <f>IF($AL82="","",IF($AL82&gt;=0.8,"사용률 80%↑ — 출고 전 사전승인(제18조)",""))</f>
        <v/>
      </c>
      <c r="AN82" s="37">
        <f>IF($AB82="","",IFERROR(IF(INDEX($AU$21:$AU$40,MATCH('02_Buyers'!$S79,$AS$21:$AS$40,0))="","",INDEX($AU$21:$AU$40,MATCH('02_Buyers'!$S79,$AS$21:$AS$40,0))),""))</f>
        <v/>
      </c>
      <c r="AO82" s="37">
        <f>IF($AB82="","",IFERROR(IF(INDEX($AV$21:$AV$40,MATCH('02_Buyers'!$S79,$AS$21:$AS$40,0))="","",INDEX($AV$21:$AV$40,MATCH('02_Buyers'!$S79,$AS$21:$AS$40,0))),""))</f>
        <v/>
      </c>
      <c r="AP82" s="37">
        <f>IF(OR($AB82="",$AN82="",$AO82=""),"",IF($AN82&gt;$AO82,"국가등급 하향 — 한도 재산정",""))</f>
        <v/>
      </c>
      <c r="AQ82" s="37">
        <f>IF($AH82="선적 보류",COUNTIF($AH$5:$AH82,"선적 보류"),"")</f>
        <v/>
      </c>
    </row>
    <row r="83">
      <c r="A83" t="inlineStr">
        <is>
          <t>INV-2510-0053</t>
        </is>
      </c>
      <c r="B83" t="inlineStr">
        <is>
          <t>B044</t>
        </is>
      </c>
      <c r="C83" t="inlineStr">
        <is>
          <t>THA</t>
        </is>
      </c>
      <c r="D83" t="inlineStr">
        <is>
          <t>DA</t>
        </is>
      </c>
      <c r="E83" t="inlineStr">
        <is>
          <t>USD</t>
        </is>
      </c>
      <c r="F83" t="inlineStr">
        <is>
          <t>N</t>
        </is>
      </c>
      <c r="G83" s="32" t="n">
        <v>45942</v>
      </c>
      <c r="H83" s="32" t="n">
        <v>46032</v>
      </c>
      <c r="I83" s="82" t="n">
        <v>5610</v>
      </c>
      <c r="J83" s="82" t="n">
        <v>5610</v>
      </c>
      <c r="K83" t="inlineStr">
        <is>
          <t>N</t>
        </is>
      </c>
      <c r="N83" t="inlineStr">
        <is>
          <t>N</t>
        </is>
      </c>
      <c r="O83" s="37">
        <f>IF($A83="","",AsOf-$H83)</f>
        <v/>
      </c>
      <c r="P83" s="37">
        <f>IF($A83="","",IF($K83="Y","-",IF($O83&gt;=30,"D+30 최종통지·선적보류",IF($O83&gt;=15,"D+15 단호한 통지",IF($O83&gt;=7,"D+7 친절한 리마인더",IF(AND($O83&gt;=-3,$O83&lt;=-1),"D-3 사전 안내","모니터링"))))))</f>
        <v/>
      </c>
      <c r="Q83" s="83">
        <f>IF($A83="","",EDATE($H83,1))</f>
        <v/>
      </c>
      <c r="R83" s="37">
        <f>IF($A83="","",$Q83-AsOf)</f>
        <v/>
      </c>
      <c r="S83" s="37">
        <f>IF($A83="","",IF(OR($K83="Y",$F83&lt;&gt;"Y",$O83&lt;=0),"",IF($R83&lt;0,"통지 기한 경과 — 즉시 확인",IF($R83&lt;=NoticeWarnDays,"통지 기한 임박 — 사람 결정",""))))</f>
        <v/>
      </c>
      <c r="T83" s="83">
        <f>IF(OR($A83="",$F83&lt;&gt;"Y"),"",IF(IF($L83="",InsuranceType,$L83)="포괄",DATE(YEAR($G83),MONTH($G83)+1,20),WORKDAY($G83,10)))</f>
        <v/>
      </c>
      <c r="U83" s="83">
        <f>IF(OR($A83="",$M83=""),"",WORKDAY($M83,10))</f>
        <v/>
      </c>
      <c r="V83" s="37">
        <f>IF($A83="","",IF($N83="Y","사기 의심: 콜백 검증 전 대금 안내 중단",""))</f>
        <v/>
      </c>
      <c r="W83" s="37">
        <f>IF($A83="","",IF(AND($K83="N",$D83&lt;&gt;"LC_SIGHT",$D83&lt;&gt;"LC_USANCE",$D83&lt;&gt;"TT_ADV"),$O83,""))</f>
        <v/>
      </c>
      <c r="X83" s="37">
        <f>IF($A83="",0,IF(AND($K83="N",$D83&lt;&gt;"LC_SIGHT",$D83&lt;&gt;"LC_USANCE",$D83&lt;&gt;"TT_ADV",$O83&gt;=30),1,0))</f>
        <v/>
      </c>
      <c r="Y83" s="37">
        <f>IF($A83="","",IF($O83&lt;=0,"미연체",IF($O83&lt;=30,"1-30",IF($O83&lt;=90,"31-90",IF($O83&lt;=180,"91-180",IF($O83&lt;=365,"181-365","365+"))))))</f>
        <v/>
      </c>
      <c r="Z83" s="37">
        <f>IF($S83="통지 기한 임박 — 사람 결정",COUNTIF($S$5:$S83,"통지 기한 임박 — 사람 결정"),"")</f>
        <v/>
      </c>
      <c r="AB83" s="37">
        <f>IF('02_Buyers'!$A80="","",'02_Buyers'!$A80)</f>
        <v/>
      </c>
      <c r="AC83" s="37">
        <f>IF($AB83="","",'02_Buyers'!$AH80)</f>
        <v/>
      </c>
      <c r="AD83" s="37">
        <f>IF($AB83="","",COUNTIFS(inv_buyer,$AB83,inv_paid,"N"))</f>
        <v/>
      </c>
      <c r="AE83" s="40">
        <f>IF($AB83="","",SUMIFS(inv_usd,inv_buyer,$AB83,inv_paid,"N"))</f>
        <v/>
      </c>
      <c r="AF83" s="37">
        <f>IF($AB83="","",_xlfn.MAXIFS(inv_nonlc_dpd,inv_buyer,$AB83))</f>
        <v/>
      </c>
      <c r="AG83" s="37">
        <f>IF($AB83="","",COUNTIFS(inv_buyer,$AB83,inv_hold30,1))</f>
        <v/>
      </c>
      <c r="AH83" s="37">
        <f>IF($AB83="","",IF(OR($AC83=1,$AG83&gt;0),"선적 보류",""))</f>
        <v/>
      </c>
      <c r="AI83" s="37">
        <f>IF($AH83&lt;&gt;"선적 보류","","내부 에스컬레이션: 여신 한도 동결 제안(사람 승인)")</f>
        <v/>
      </c>
      <c r="AJ83" s="37">
        <f>IF($AB83="","",COUNTIFS(inv_buyer,$AB83,inv_alert,"통지 기한 임박*"))</f>
        <v/>
      </c>
      <c r="AK83" s="40">
        <f>IF($AB83="","",'10_LimitLP'!$F83)</f>
        <v/>
      </c>
      <c r="AL83" s="84">
        <f>IF(OR($AB83="",$AK83&lt;=0),"",$AE83/$AK83)</f>
        <v/>
      </c>
      <c r="AM83" s="37">
        <f>IF($AL83="","",IF($AL83&gt;=0.8,"사용률 80%↑ — 출고 전 사전승인(제18조)",""))</f>
        <v/>
      </c>
      <c r="AN83" s="37">
        <f>IF($AB83="","",IFERROR(IF(INDEX($AU$21:$AU$40,MATCH('02_Buyers'!$S80,$AS$21:$AS$40,0))="","",INDEX($AU$21:$AU$40,MATCH('02_Buyers'!$S80,$AS$21:$AS$40,0))),""))</f>
        <v/>
      </c>
      <c r="AO83" s="37">
        <f>IF($AB83="","",IFERROR(IF(INDEX($AV$21:$AV$40,MATCH('02_Buyers'!$S80,$AS$21:$AS$40,0))="","",INDEX($AV$21:$AV$40,MATCH('02_Buyers'!$S80,$AS$21:$AS$40,0))),""))</f>
        <v/>
      </c>
      <c r="AP83" s="37">
        <f>IF(OR($AB83="",$AN83="",$AO83=""),"",IF($AN83&gt;$AO83,"국가등급 하향 — 한도 재산정",""))</f>
        <v/>
      </c>
      <c r="AQ83" s="37">
        <f>IF($AH83="선적 보류",COUNTIF($AH$5:$AH83,"선적 보류"),"")</f>
        <v/>
      </c>
    </row>
    <row r="84">
      <c r="A84" t="inlineStr">
        <is>
          <t>INV-2605-0073</t>
        </is>
      </c>
      <c r="B84" t="inlineStr">
        <is>
          <t>B047</t>
        </is>
      </c>
      <c r="C84" t="inlineStr">
        <is>
          <t>MEX</t>
        </is>
      </c>
      <c r="D84" t="inlineStr">
        <is>
          <t>OA</t>
        </is>
      </c>
      <c r="E84" t="inlineStr">
        <is>
          <t>USD</t>
        </is>
      </c>
      <c r="F84" t="inlineStr">
        <is>
          <t>Y</t>
        </is>
      </c>
      <c r="G84" s="32" t="n">
        <v>46157</v>
      </c>
      <c r="H84" s="32" t="n">
        <v>46247</v>
      </c>
      <c r="I84" s="82" t="n">
        <v>19800</v>
      </c>
      <c r="J84" s="82" t="n">
        <v>19800</v>
      </c>
      <c r="K84" t="inlineStr">
        <is>
          <t>N</t>
        </is>
      </c>
      <c r="L84" t="inlineStr">
        <is>
          <t>개별</t>
        </is>
      </c>
      <c r="N84" t="inlineStr">
        <is>
          <t>N</t>
        </is>
      </c>
      <c r="O84" s="37">
        <f>IF($A84="","",AsOf-$H84)</f>
        <v/>
      </c>
      <c r="P84" s="37">
        <f>IF($A84="","",IF($K84="Y","-",IF($O84&gt;=30,"D+30 최종통지·선적보류",IF($O84&gt;=15,"D+15 단호한 통지",IF($O84&gt;=7,"D+7 친절한 리마인더",IF(AND($O84&gt;=-3,$O84&lt;=-1),"D-3 사전 안내","모니터링"))))))</f>
        <v/>
      </c>
      <c r="Q84" s="83">
        <f>IF($A84="","",EDATE($H84,1))</f>
        <v/>
      </c>
      <c r="R84" s="37">
        <f>IF($A84="","",$Q84-AsOf)</f>
        <v/>
      </c>
      <c r="S84" s="37">
        <f>IF($A84="","",IF(OR($K84="Y",$F84&lt;&gt;"Y",$O84&lt;=0),"",IF($R84&lt;0,"통지 기한 경과 — 즉시 확인",IF($R84&lt;=NoticeWarnDays,"통지 기한 임박 — 사람 결정",""))))</f>
        <v/>
      </c>
      <c r="T84" s="83">
        <f>IF(OR($A84="",$F84&lt;&gt;"Y"),"",IF(IF($L84="",InsuranceType,$L84)="포괄",DATE(YEAR($G84),MONTH($G84)+1,20),WORKDAY($G84,10)))</f>
        <v/>
      </c>
      <c r="U84" s="83">
        <f>IF(OR($A84="",$M84=""),"",WORKDAY($M84,10))</f>
        <v/>
      </c>
      <c r="V84" s="37">
        <f>IF($A84="","",IF($N84="Y","사기 의심: 콜백 검증 전 대금 안내 중단",""))</f>
        <v/>
      </c>
      <c r="W84" s="37">
        <f>IF($A84="","",IF(AND($K84="N",$D84&lt;&gt;"LC_SIGHT",$D84&lt;&gt;"LC_USANCE",$D84&lt;&gt;"TT_ADV"),$O84,""))</f>
        <v/>
      </c>
      <c r="X84" s="37">
        <f>IF($A84="",0,IF(AND($K84="N",$D84&lt;&gt;"LC_SIGHT",$D84&lt;&gt;"LC_USANCE",$D84&lt;&gt;"TT_ADV",$O84&gt;=30),1,0))</f>
        <v/>
      </c>
      <c r="Y84" s="37">
        <f>IF($A84="","",IF($O84&lt;=0,"미연체",IF($O84&lt;=30,"1-30",IF($O84&lt;=90,"31-90",IF($O84&lt;=180,"91-180",IF($O84&lt;=365,"181-365","365+"))))))</f>
        <v/>
      </c>
      <c r="Z84" s="37">
        <f>IF($S84="통지 기한 임박 — 사람 결정",COUNTIF($S$5:$S84,"통지 기한 임박 — 사람 결정"),"")</f>
        <v/>
      </c>
      <c r="AB84" s="37">
        <f>IF('02_Buyers'!$A81="","",'02_Buyers'!$A81)</f>
        <v/>
      </c>
      <c r="AC84" s="37">
        <f>IF($AB84="","",'02_Buyers'!$AH81)</f>
        <v/>
      </c>
      <c r="AD84" s="37">
        <f>IF($AB84="","",COUNTIFS(inv_buyer,$AB84,inv_paid,"N"))</f>
        <v/>
      </c>
      <c r="AE84" s="40">
        <f>IF($AB84="","",SUMIFS(inv_usd,inv_buyer,$AB84,inv_paid,"N"))</f>
        <v/>
      </c>
      <c r="AF84" s="37">
        <f>IF($AB84="","",_xlfn.MAXIFS(inv_nonlc_dpd,inv_buyer,$AB84))</f>
        <v/>
      </c>
      <c r="AG84" s="37">
        <f>IF($AB84="","",COUNTIFS(inv_buyer,$AB84,inv_hold30,1))</f>
        <v/>
      </c>
      <c r="AH84" s="37">
        <f>IF($AB84="","",IF(OR($AC84=1,$AG84&gt;0),"선적 보류",""))</f>
        <v/>
      </c>
      <c r="AI84" s="37">
        <f>IF($AH84&lt;&gt;"선적 보류","","내부 에스컬레이션: 여신 한도 동결 제안(사람 승인)")</f>
        <v/>
      </c>
      <c r="AJ84" s="37">
        <f>IF($AB84="","",COUNTIFS(inv_buyer,$AB84,inv_alert,"통지 기한 임박*"))</f>
        <v/>
      </c>
      <c r="AK84" s="40">
        <f>IF($AB84="","",'10_LimitLP'!$F84)</f>
        <v/>
      </c>
      <c r="AL84" s="84">
        <f>IF(OR($AB84="",$AK84&lt;=0),"",$AE84/$AK84)</f>
        <v/>
      </c>
      <c r="AM84" s="37">
        <f>IF($AL84="","",IF($AL84&gt;=0.8,"사용률 80%↑ — 출고 전 사전승인(제18조)",""))</f>
        <v/>
      </c>
      <c r="AN84" s="37">
        <f>IF($AB84="","",IFERROR(IF(INDEX($AU$21:$AU$40,MATCH('02_Buyers'!$S81,$AS$21:$AS$40,0))="","",INDEX($AU$21:$AU$40,MATCH('02_Buyers'!$S81,$AS$21:$AS$40,0))),""))</f>
        <v/>
      </c>
      <c r="AO84" s="37">
        <f>IF($AB84="","",IFERROR(IF(INDEX($AV$21:$AV$40,MATCH('02_Buyers'!$S81,$AS$21:$AS$40,0))="","",INDEX($AV$21:$AV$40,MATCH('02_Buyers'!$S81,$AS$21:$AS$40,0))),""))</f>
        <v/>
      </c>
      <c r="AP84" s="37">
        <f>IF(OR($AB84="",$AN84="",$AO84=""),"",IF($AN84&gt;$AO84,"국가등급 하향 — 한도 재산정",""))</f>
        <v/>
      </c>
      <c r="AQ84" s="37">
        <f>IF($AH84="선적 보류",COUNTIF($AH$5:$AH84,"선적 보류"),"")</f>
        <v/>
      </c>
    </row>
    <row r="85">
      <c r="A85" t="inlineStr">
        <is>
          <t>INV-2606-0113</t>
        </is>
      </c>
      <c r="B85" t="inlineStr">
        <is>
          <t>B047</t>
        </is>
      </c>
      <c r="C85" t="inlineStr">
        <is>
          <t>MEX</t>
        </is>
      </c>
      <c r="D85" t="inlineStr">
        <is>
          <t>OA</t>
        </is>
      </c>
      <c r="E85" t="inlineStr">
        <is>
          <t>USD</t>
        </is>
      </c>
      <c r="F85" t="inlineStr">
        <is>
          <t>Y</t>
        </is>
      </c>
      <c r="G85" s="32" t="n">
        <v>46197</v>
      </c>
      <c r="H85" s="32" t="n">
        <v>46287</v>
      </c>
      <c r="I85" s="82" t="n">
        <v>7500</v>
      </c>
      <c r="J85" s="82" t="n">
        <v>7500</v>
      </c>
      <c r="K85" t="inlineStr">
        <is>
          <t>N</t>
        </is>
      </c>
      <c r="L85" t="inlineStr">
        <is>
          <t>개별</t>
        </is>
      </c>
      <c r="N85" t="inlineStr">
        <is>
          <t>N</t>
        </is>
      </c>
      <c r="O85" s="37">
        <f>IF($A85="","",AsOf-$H85)</f>
        <v/>
      </c>
      <c r="P85" s="37">
        <f>IF($A85="","",IF($K85="Y","-",IF($O85&gt;=30,"D+30 최종통지·선적보류",IF($O85&gt;=15,"D+15 단호한 통지",IF($O85&gt;=7,"D+7 친절한 리마인더",IF(AND($O85&gt;=-3,$O85&lt;=-1),"D-3 사전 안내","모니터링"))))))</f>
        <v/>
      </c>
      <c r="Q85" s="83">
        <f>IF($A85="","",EDATE($H85,1))</f>
        <v/>
      </c>
      <c r="R85" s="37">
        <f>IF($A85="","",$Q85-AsOf)</f>
        <v/>
      </c>
      <c r="S85" s="37">
        <f>IF($A85="","",IF(OR($K85="Y",$F85&lt;&gt;"Y",$O85&lt;=0),"",IF($R85&lt;0,"통지 기한 경과 — 즉시 확인",IF($R85&lt;=NoticeWarnDays,"통지 기한 임박 — 사람 결정",""))))</f>
        <v/>
      </c>
      <c r="T85" s="83">
        <f>IF(OR($A85="",$F85&lt;&gt;"Y"),"",IF(IF($L85="",InsuranceType,$L85)="포괄",DATE(YEAR($G85),MONTH($G85)+1,20),WORKDAY($G85,10)))</f>
        <v/>
      </c>
      <c r="U85" s="83">
        <f>IF(OR($A85="",$M85=""),"",WORKDAY($M85,10))</f>
        <v/>
      </c>
      <c r="V85" s="37">
        <f>IF($A85="","",IF($N85="Y","사기 의심: 콜백 검증 전 대금 안내 중단",""))</f>
        <v/>
      </c>
      <c r="W85" s="37">
        <f>IF($A85="","",IF(AND($K85="N",$D85&lt;&gt;"LC_SIGHT",$D85&lt;&gt;"LC_USANCE",$D85&lt;&gt;"TT_ADV"),$O85,""))</f>
        <v/>
      </c>
      <c r="X85" s="37">
        <f>IF($A85="",0,IF(AND($K85="N",$D85&lt;&gt;"LC_SIGHT",$D85&lt;&gt;"LC_USANCE",$D85&lt;&gt;"TT_ADV",$O85&gt;=30),1,0))</f>
        <v/>
      </c>
      <c r="Y85" s="37">
        <f>IF($A85="","",IF($O85&lt;=0,"미연체",IF($O85&lt;=30,"1-30",IF($O85&lt;=90,"31-90",IF($O85&lt;=180,"91-180",IF($O85&lt;=365,"181-365","365+"))))))</f>
        <v/>
      </c>
      <c r="Z85" s="37">
        <f>IF($S85="통지 기한 임박 — 사람 결정",COUNTIF($S$5:$S85,"통지 기한 임박 — 사람 결정"),"")</f>
        <v/>
      </c>
      <c r="AB85" s="37">
        <f>IF('02_Buyers'!$A82="","",'02_Buyers'!$A82)</f>
        <v/>
      </c>
      <c r="AC85" s="37">
        <f>IF($AB85="","",'02_Buyers'!$AH82)</f>
        <v/>
      </c>
      <c r="AD85" s="37">
        <f>IF($AB85="","",COUNTIFS(inv_buyer,$AB85,inv_paid,"N"))</f>
        <v/>
      </c>
      <c r="AE85" s="40">
        <f>IF($AB85="","",SUMIFS(inv_usd,inv_buyer,$AB85,inv_paid,"N"))</f>
        <v/>
      </c>
      <c r="AF85" s="37">
        <f>IF($AB85="","",_xlfn.MAXIFS(inv_nonlc_dpd,inv_buyer,$AB85))</f>
        <v/>
      </c>
      <c r="AG85" s="37">
        <f>IF($AB85="","",COUNTIFS(inv_buyer,$AB85,inv_hold30,1))</f>
        <v/>
      </c>
      <c r="AH85" s="37">
        <f>IF($AB85="","",IF(OR($AC85=1,$AG85&gt;0),"선적 보류",""))</f>
        <v/>
      </c>
      <c r="AI85" s="37">
        <f>IF($AH85&lt;&gt;"선적 보류","","내부 에스컬레이션: 여신 한도 동결 제안(사람 승인)")</f>
        <v/>
      </c>
      <c r="AJ85" s="37">
        <f>IF($AB85="","",COUNTIFS(inv_buyer,$AB85,inv_alert,"통지 기한 임박*"))</f>
        <v/>
      </c>
      <c r="AK85" s="40">
        <f>IF($AB85="","",'10_LimitLP'!$F85)</f>
        <v/>
      </c>
      <c r="AL85" s="84">
        <f>IF(OR($AB85="",$AK85&lt;=0),"",$AE85/$AK85)</f>
        <v/>
      </c>
      <c r="AM85" s="37">
        <f>IF($AL85="","",IF($AL85&gt;=0.8,"사용률 80%↑ — 출고 전 사전승인(제18조)",""))</f>
        <v/>
      </c>
      <c r="AN85" s="37">
        <f>IF($AB85="","",IFERROR(IF(INDEX($AU$21:$AU$40,MATCH('02_Buyers'!$S82,$AS$21:$AS$40,0))="","",INDEX($AU$21:$AU$40,MATCH('02_Buyers'!$S82,$AS$21:$AS$40,0))),""))</f>
        <v/>
      </c>
      <c r="AO85" s="37">
        <f>IF($AB85="","",IFERROR(IF(INDEX($AV$21:$AV$40,MATCH('02_Buyers'!$S82,$AS$21:$AS$40,0))="","",INDEX($AV$21:$AV$40,MATCH('02_Buyers'!$S82,$AS$21:$AS$40,0))),""))</f>
        <v/>
      </c>
      <c r="AP85" s="37">
        <f>IF(OR($AB85="",$AN85="",$AO85=""),"",IF($AN85&gt;$AO85,"국가등급 하향 — 한도 재산정",""))</f>
        <v/>
      </c>
      <c r="AQ85" s="37">
        <f>IF($AH85="선적 보류",COUNTIF($AH$5:$AH85,"선적 보류"),"")</f>
        <v/>
      </c>
    </row>
    <row r="86">
      <c r="A86" t="inlineStr">
        <is>
          <t>INV-2607-0073</t>
        </is>
      </c>
      <c r="B86" t="inlineStr">
        <is>
          <t>B047</t>
        </is>
      </c>
      <c r="C86" t="inlineStr">
        <is>
          <t>MEX</t>
        </is>
      </c>
      <c r="D86" t="inlineStr">
        <is>
          <t>OA</t>
        </is>
      </c>
      <c r="E86" t="inlineStr">
        <is>
          <t>USD</t>
        </is>
      </c>
      <c r="F86" t="inlineStr">
        <is>
          <t>Y</t>
        </is>
      </c>
      <c r="G86" s="32" t="n">
        <v>46217</v>
      </c>
      <c r="H86" s="32" t="n">
        <v>46307</v>
      </c>
      <c r="I86" s="82" t="n">
        <v>4520</v>
      </c>
      <c r="J86" s="82" t="n">
        <v>4520</v>
      </c>
      <c r="K86" t="inlineStr">
        <is>
          <t>N</t>
        </is>
      </c>
      <c r="L86" t="inlineStr">
        <is>
          <t>개별</t>
        </is>
      </c>
      <c r="N86" t="inlineStr">
        <is>
          <t>N</t>
        </is>
      </c>
      <c r="O86" s="37">
        <f>IF($A86="","",AsOf-$H86)</f>
        <v/>
      </c>
      <c r="P86" s="37">
        <f>IF($A86="","",IF($K86="Y","-",IF($O86&gt;=30,"D+30 최종통지·선적보류",IF($O86&gt;=15,"D+15 단호한 통지",IF($O86&gt;=7,"D+7 친절한 리마인더",IF(AND($O86&gt;=-3,$O86&lt;=-1),"D-3 사전 안내","모니터링"))))))</f>
        <v/>
      </c>
      <c r="Q86" s="83">
        <f>IF($A86="","",EDATE($H86,1))</f>
        <v/>
      </c>
      <c r="R86" s="37">
        <f>IF($A86="","",$Q86-AsOf)</f>
        <v/>
      </c>
      <c r="S86" s="37">
        <f>IF($A86="","",IF(OR($K86="Y",$F86&lt;&gt;"Y",$O86&lt;=0),"",IF($R86&lt;0,"통지 기한 경과 — 즉시 확인",IF($R86&lt;=NoticeWarnDays,"통지 기한 임박 — 사람 결정",""))))</f>
        <v/>
      </c>
      <c r="T86" s="83">
        <f>IF(OR($A86="",$F86&lt;&gt;"Y"),"",IF(IF($L86="",InsuranceType,$L86)="포괄",DATE(YEAR($G86),MONTH($G86)+1,20),WORKDAY($G86,10)))</f>
        <v/>
      </c>
      <c r="U86" s="83">
        <f>IF(OR($A86="",$M86=""),"",WORKDAY($M86,10))</f>
        <v/>
      </c>
      <c r="V86" s="37">
        <f>IF($A86="","",IF($N86="Y","사기 의심: 콜백 검증 전 대금 안내 중단",""))</f>
        <v/>
      </c>
      <c r="W86" s="37">
        <f>IF($A86="","",IF(AND($K86="N",$D86&lt;&gt;"LC_SIGHT",$D86&lt;&gt;"LC_USANCE",$D86&lt;&gt;"TT_ADV"),$O86,""))</f>
        <v/>
      </c>
      <c r="X86" s="37">
        <f>IF($A86="",0,IF(AND($K86="N",$D86&lt;&gt;"LC_SIGHT",$D86&lt;&gt;"LC_USANCE",$D86&lt;&gt;"TT_ADV",$O86&gt;=30),1,0))</f>
        <v/>
      </c>
      <c r="Y86" s="37">
        <f>IF($A86="","",IF($O86&lt;=0,"미연체",IF($O86&lt;=30,"1-30",IF($O86&lt;=90,"31-90",IF($O86&lt;=180,"91-180",IF($O86&lt;=365,"181-365","365+"))))))</f>
        <v/>
      </c>
      <c r="Z86" s="37">
        <f>IF($S86="통지 기한 임박 — 사람 결정",COUNTIF($S$5:$S86,"통지 기한 임박 — 사람 결정"),"")</f>
        <v/>
      </c>
      <c r="AB86" s="37">
        <f>IF('02_Buyers'!$A83="","",'02_Buyers'!$A83)</f>
        <v/>
      </c>
      <c r="AC86" s="37">
        <f>IF($AB86="","",'02_Buyers'!$AH83)</f>
        <v/>
      </c>
      <c r="AD86" s="37">
        <f>IF($AB86="","",COUNTIFS(inv_buyer,$AB86,inv_paid,"N"))</f>
        <v/>
      </c>
      <c r="AE86" s="40">
        <f>IF($AB86="","",SUMIFS(inv_usd,inv_buyer,$AB86,inv_paid,"N"))</f>
        <v/>
      </c>
      <c r="AF86" s="37">
        <f>IF($AB86="","",_xlfn.MAXIFS(inv_nonlc_dpd,inv_buyer,$AB86))</f>
        <v/>
      </c>
      <c r="AG86" s="37">
        <f>IF($AB86="","",COUNTIFS(inv_buyer,$AB86,inv_hold30,1))</f>
        <v/>
      </c>
      <c r="AH86" s="37">
        <f>IF($AB86="","",IF(OR($AC86=1,$AG86&gt;0),"선적 보류",""))</f>
        <v/>
      </c>
      <c r="AI86" s="37">
        <f>IF($AH86&lt;&gt;"선적 보류","","내부 에스컬레이션: 여신 한도 동결 제안(사람 승인)")</f>
        <v/>
      </c>
      <c r="AJ86" s="37">
        <f>IF($AB86="","",COUNTIFS(inv_buyer,$AB86,inv_alert,"통지 기한 임박*"))</f>
        <v/>
      </c>
      <c r="AK86" s="40">
        <f>IF($AB86="","",'10_LimitLP'!$F86)</f>
        <v/>
      </c>
      <c r="AL86" s="84">
        <f>IF(OR($AB86="",$AK86&lt;=0),"",$AE86/$AK86)</f>
        <v/>
      </c>
      <c r="AM86" s="37">
        <f>IF($AL86="","",IF($AL86&gt;=0.8,"사용률 80%↑ — 출고 전 사전승인(제18조)",""))</f>
        <v/>
      </c>
      <c r="AN86" s="37">
        <f>IF($AB86="","",IFERROR(IF(INDEX($AU$21:$AU$40,MATCH('02_Buyers'!$S83,$AS$21:$AS$40,0))="","",INDEX($AU$21:$AU$40,MATCH('02_Buyers'!$S83,$AS$21:$AS$40,0))),""))</f>
        <v/>
      </c>
      <c r="AO86" s="37">
        <f>IF($AB86="","",IFERROR(IF(INDEX($AV$21:$AV$40,MATCH('02_Buyers'!$S83,$AS$21:$AS$40,0))="","",INDEX($AV$21:$AV$40,MATCH('02_Buyers'!$S83,$AS$21:$AS$40,0))),""))</f>
        <v/>
      </c>
      <c r="AP86" s="37">
        <f>IF(OR($AB86="",$AN86="",$AO86=""),"",IF($AN86&gt;$AO86,"국가등급 하향 — 한도 재산정",""))</f>
        <v/>
      </c>
      <c r="AQ86" s="37">
        <f>IF($AH86="선적 보류",COUNTIF($AH$5:$AH86,"선적 보류"),"")</f>
        <v/>
      </c>
    </row>
    <row r="87">
      <c r="A87" t="inlineStr">
        <is>
          <t>INV-2607-0098</t>
        </is>
      </c>
      <c r="B87" t="inlineStr">
        <is>
          <t>B047</t>
        </is>
      </c>
      <c r="C87" t="inlineStr">
        <is>
          <t>MEX</t>
        </is>
      </c>
      <c r="D87" t="inlineStr">
        <is>
          <t>OA</t>
        </is>
      </c>
      <c r="E87" t="inlineStr">
        <is>
          <t>USD</t>
        </is>
      </c>
      <c r="F87" t="inlineStr">
        <is>
          <t>Y</t>
        </is>
      </c>
      <c r="G87" s="32" t="n">
        <v>46221</v>
      </c>
      <c r="H87" s="32" t="n">
        <v>46311</v>
      </c>
      <c r="I87" s="82" t="n">
        <v>14480</v>
      </c>
      <c r="J87" s="82" t="n">
        <v>14480</v>
      </c>
      <c r="K87" t="inlineStr">
        <is>
          <t>N</t>
        </is>
      </c>
      <c r="L87" t="inlineStr">
        <is>
          <t>개별</t>
        </is>
      </c>
      <c r="N87" t="inlineStr">
        <is>
          <t>N</t>
        </is>
      </c>
      <c r="O87" s="37">
        <f>IF($A87="","",AsOf-$H87)</f>
        <v/>
      </c>
      <c r="P87" s="37">
        <f>IF($A87="","",IF($K87="Y","-",IF($O87&gt;=30,"D+30 최종통지·선적보류",IF($O87&gt;=15,"D+15 단호한 통지",IF($O87&gt;=7,"D+7 친절한 리마인더",IF(AND($O87&gt;=-3,$O87&lt;=-1),"D-3 사전 안내","모니터링"))))))</f>
        <v/>
      </c>
      <c r="Q87" s="83">
        <f>IF($A87="","",EDATE($H87,1))</f>
        <v/>
      </c>
      <c r="R87" s="37">
        <f>IF($A87="","",$Q87-AsOf)</f>
        <v/>
      </c>
      <c r="S87" s="37">
        <f>IF($A87="","",IF(OR($K87="Y",$F87&lt;&gt;"Y",$O87&lt;=0),"",IF($R87&lt;0,"통지 기한 경과 — 즉시 확인",IF($R87&lt;=NoticeWarnDays,"통지 기한 임박 — 사람 결정",""))))</f>
        <v/>
      </c>
      <c r="T87" s="83">
        <f>IF(OR($A87="",$F87&lt;&gt;"Y"),"",IF(IF($L87="",InsuranceType,$L87)="포괄",DATE(YEAR($G87),MONTH($G87)+1,20),WORKDAY($G87,10)))</f>
        <v/>
      </c>
      <c r="U87" s="83">
        <f>IF(OR($A87="",$M87=""),"",WORKDAY($M87,10))</f>
        <v/>
      </c>
      <c r="V87" s="37">
        <f>IF($A87="","",IF($N87="Y","사기 의심: 콜백 검증 전 대금 안내 중단",""))</f>
        <v/>
      </c>
      <c r="W87" s="37">
        <f>IF($A87="","",IF(AND($K87="N",$D87&lt;&gt;"LC_SIGHT",$D87&lt;&gt;"LC_USANCE",$D87&lt;&gt;"TT_ADV"),$O87,""))</f>
        <v/>
      </c>
      <c r="X87" s="37">
        <f>IF($A87="",0,IF(AND($K87="N",$D87&lt;&gt;"LC_SIGHT",$D87&lt;&gt;"LC_USANCE",$D87&lt;&gt;"TT_ADV",$O87&gt;=30),1,0))</f>
        <v/>
      </c>
      <c r="Y87" s="37">
        <f>IF($A87="","",IF($O87&lt;=0,"미연체",IF($O87&lt;=30,"1-30",IF($O87&lt;=90,"31-90",IF($O87&lt;=180,"91-180",IF($O87&lt;=365,"181-365","365+"))))))</f>
        <v/>
      </c>
      <c r="Z87" s="37">
        <f>IF($S87="통지 기한 임박 — 사람 결정",COUNTIF($S$5:$S87,"통지 기한 임박 — 사람 결정"),"")</f>
        <v/>
      </c>
      <c r="AB87" s="37">
        <f>IF('02_Buyers'!$A84="","",'02_Buyers'!$A84)</f>
        <v/>
      </c>
      <c r="AC87" s="37">
        <f>IF($AB87="","",'02_Buyers'!$AH84)</f>
        <v/>
      </c>
      <c r="AD87" s="37">
        <f>IF($AB87="","",COUNTIFS(inv_buyer,$AB87,inv_paid,"N"))</f>
        <v/>
      </c>
      <c r="AE87" s="40">
        <f>IF($AB87="","",SUMIFS(inv_usd,inv_buyer,$AB87,inv_paid,"N"))</f>
        <v/>
      </c>
      <c r="AF87" s="37">
        <f>IF($AB87="","",_xlfn.MAXIFS(inv_nonlc_dpd,inv_buyer,$AB87))</f>
        <v/>
      </c>
      <c r="AG87" s="37">
        <f>IF($AB87="","",COUNTIFS(inv_buyer,$AB87,inv_hold30,1))</f>
        <v/>
      </c>
      <c r="AH87" s="37">
        <f>IF($AB87="","",IF(OR($AC87=1,$AG87&gt;0),"선적 보류",""))</f>
        <v/>
      </c>
      <c r="AI87" s="37">
        <f>IF($AH87&lt;&gt;"선적 보류","","내부 에스컬레이션: 여신 한도 동결 제안(사람 승인)")</f>
        <v/>
      </c>
      <c r="AJ87" s="37">
        <f>IF($AB87="","",COUNTIFS(inv_buyer,$AB87,inv_alert,"통지 기한 임박*"))</f>
        <v/>
      </c>
      <c r="AK87" s="40">
        <f>IF($AB87="","",'10_LimitLP'!$F87)</f>
        <v/>
      </c>
      <c r="AL87" s="84">
        <f>IF(OR($AB87="",$AK87&lt;=0),"",$AE87/$AK87)</f>
        <v/>
      </c>
      <c r="AM87" s="37">
        <f>IF($AL87="","",IF($AL87&gt;=0.8,"사용률 80%↑ — 출고 전 사전승인(제18조)",""))</f>
        <v/>
      </c>
      <c r="AN87" s="37">
        <f>IF($AB87="","",IFERROR(IF(INDEX($AU$21:$AU$40,MATCH('02_Buyers'!$S84,$AS$21:$AS$40,0))="","",INDEX($AU$21:$AU$40,MATCH('02_Buyers'!$S84,$AS$21:$AS$40,0))),""))</f>
        <v/>
      </c>
      <c r="AO87" s="37">
        <f>IF($AB87="","",IFERROR(IF(INDEX($AV$21:$AV$40,MATCH('02_Buyers'!$S84,$AS$21:$AS$40,0))="","",INDEX($AV$21:$AV$40,MATCH('02_Buyers'!$S84,$AS$21:$AS$40,0))),""))</f>
        <v/>
      </c>
      <c r="AP87" s="37">
        <f>IF(OR($AB87="",$AN87="",$AO87=""),"",IF($AN87&gt;$AO87,"국가등급 하향 — 한도 재산정",""))</f>
        <v/>
      </c>
      <c r="AQ87" s="37">
        <f>IF($AH87="선적 보류",COUNTIF($AH$5:$AH87,"선적 보류"),"")</f>
        <v/>
      </c>
    </row>
    <row r="88">
      <c r="A88" t="inlineStr">
        <is>
          <t>INV-2607-0121</t>
        </is>
      </c>
      <c r="B88" t="inlineStr">
        <is>
          <t>B047</t>
        </is>
      </c>
      <c r="C88" t="inlineStr">
        <is>
          <t>MEX</t>
        </is>
      </c>
      <c r="D88" t="inlineStr">
        <is>
          <t>OA</t>
        </is>
      </c>
      <c r="E88" t="inlineStr">
        <is>
          <t>USD</t>
        </is>
      </c>
      <c r="F88" t="inlineStr">
        <is>
          <t>Y</t>
        </is>
      </c>
      <c r="G88" s="32" t="n">
        <v>46224</v>
      </c>
      <c r="H88" s="32" t="n">
        <v>46314</v>
      </c>
      <c r="I88" s="82" t="n">
        <v>4970</v>
      </c>
      <c r="J88" s="82" t="n">
        <v>4970</v>
      </c>
      <c r="K88" t="inlineStr">
        <is>
          <t>N</t>
        </is>
      </c>
      <c r="L88" t="inlineStr">
        <is>
          <t>개별</t>
        </is>
      </c>
      <c r="N88" t="inlineStr">
        <is>
          <t>N</t>
        </is>
      </c>
      <c r="O88" s="37">
        <f>IF($A88="","",AsOf-$H88)</f>
        <v/>
      </c>
      <c r="P88" s="37">
        <f>IF($A88="","",IF($K88="Y","-",IF($O88&gt;=30,"D+30 최종통지·선적보류",IF($O88&gt;=15,"D+15 단호한 통지",IF($O88&gt;=7,"D+7 친절한 리마인더",IF(AND($O88&gt;=-3,$O88&lt;=-1),"D-3 사전 안내","모니터링"))))))</f>
        <v/>
      </c>
      <c r="Q88" s="83">
        <f>IF($A88="","",EDATE($H88,1))</f>
        <v/>
      </c>
      <c r="R88" s="37">
        <f>IF($A88="","",$Q88-AsOf)</f>
        <v/>
      </c>
      <c r="S88" s="37">
        <f>IF($A88="","",IF(OR($K88="Y",$F88&lt;&gt;"Y",$O88&lt;=0),"",IF($R88&lt;0,"통지 기한 경과 — 즉시 확인",IF($R88&lt;=NoticeWarnDays,"통지 기한 임박 — 사람 결정",""))))</f>
        <v/>
      </c>
      <c r="T88" s="83">
        <f>IF(OR($A88="",$F88&lt;&gt;"Y"),"",IF(IF($L88="",InsuranceType,$L88)="포괄",DATE(YEAR($G88),MONTH($G88)+1,20),WORKDAY($G88,10)))</f>
        <v/>
      </c>
      <c r="U88" s="83">
        <f>IF(OR($A88="",$M88=""),"",WORKDAY($M88,10))</f>
        <v/>
      </c>
      <c r="V88" s="37">
        <f>IF($A88="","",IF($N88="Y","사기 의심: 콜백 검증 전 대금 안내 중단",""))</f>
        <v/>
      </c>
      <c r="W88" s="37">
        <f>IF($A88="","",IF(AND($K88="N",$D88&lt;&gt;"LC_SIGHT",$D88&lt;&gt;"LC_USANCE",$D88&lt;&gt;"TT_ADV"),$O88,""))</f>
        <v/>
      </c>
      <c r="X88" s="37">
        <f>IF($A88="",0,IF(AND($K88="N",$D88&lt;&gt;"LC_SIGHT",$D88&lt;&gt;"LC_USANCE",$D88&lt;&gt;"TT_ADV",$O88&gt;=30),1,0))</f>
        <v/>
      </c>
      <c r="Y88" s="37">
        <f>IF($A88="","",IF($O88&lt;=0,"미연체",IF($O88&lt;=30,"1-30",IF($O88&lt;=90,"31-90",IF($O88&lt;=180,"91-180",IF($O88&lt;=365,"181-365","365+"))))))</f>
        <v/>
      </c>
      <c r="Z88" s="37">
        <f>IF($S88="통지 기한 임박 — 사람 결정",COUNTIF($S$5:$S88,"통지 기한 임박 — 사람 결정"),"")</f>
        <v/>
      </c>
      <c r="AB88" s="37">
        <f>IF('02_Buyers'!$A85="","",'02_Buyers'!$A85)</f>
        <v/>
      </c>
      <c r="AC88" s="37">
        <f>IF($AB88="","",'02_Buyers'!$AH85)</f>
        <v/>
      </c>
      <c r="AD88" s="37">
        <f>IF($AB88="","",COUNTIFS(inv_buyer,$AB88,inv_paid,"N"))</f>
        <v/>
      </c>
      <c r="AE88" s="40">
        <f>IF($AB88="","",SUMIFS(inv_usd,inv_buyer,$AB88,inv_paid,"N"))</f>
        <v/>
      </c>
      <c r="AF88" s="37">
        <f>IF($AB88="","",_xlfn.MAXIFS(inv_nonlc_dpd,inv_buyer,$AB88))</f>
        <v/>
      </c>
      <c r="AG88" s="37">
        <f>IF($AB88="","",COUNTIFS(inv_buyer,$AB88,inv_hold30,1))</f>
        <v/>
      </c>
      <c r="AH88" s="37">
        <f>IF($AB88="","",IF(OR($AC88=1,$AG88&gt;0),"선적 보류",""))</f>
        <v/>
      </c>
      <c r="AI88" s="37">
        <f>IF($AH88&lt;&gt;"선적 보류","","내부 에스컬레이션: 여신 한도 동결 제안(사람 승인)")</f>
        <v/>
      </c>
      <c r="AJ88" s="37">
        <f>IF($AB88="","",COUNTIFS(inv_buyer,$AB88,inv_alert,"통지 기한 임박*"))</f>
        <v/>
      </c>
      <c r="AK88" s="40">
        <f>IF($AB88="","",'10_LimitLP'!$F88)</f>
        <v/>
      </c>
      <c r="AL88" s="84">
        <f>IF(OR($AB88="",$AK88&lt;=0),"",$AE88/$AK88)</f>
        <v/>
      </c>
      <c r="AM88" s="37">
        <f>IF($AL88="","",IF($AL88&gt;=0.8,"사용률 80%↑ — 출고 전 사전승인(제18조)",""))</f>
        <v/>
      </c>
      <c r="AN88" s="37">
        <f>IF($AB88="","",IFERROR(IF(INDEX($AU$21:$AU$40,MATCH('02_Buyers'!$S85,$AS$21:$AS$40,0))="","",INDEX($AU$21:$AU$40,MATCH('02_Buyers'!$S85,$AS$21:$AS$40,0))),""))</f>
        <v/>
      </c>
      <c r="AO88" s="37">
        <f>IF($AB88="","",IFERROR(IF(INDEX($AV$21:$AV$40,MATCH('02_Buyers'!$S85,$AS$21:$AS$40,0))="","",INDEX($AV$21:$AV$40,MATCH('02_Buyers'!$S85,$AS$21:$AS$40,0))),""))</f>
        <v/>
      </c>
      <c r="AP88" s="37">
        <f>IF(OR($AB88="",$AN88="",$AO88=""),"",IF($AN88&gt;$AO88,"국가등급 하향 — 한도 재산정",""))</f>
        <v/>
      </c>
      <c r="AQ88" s="37">
        <f>IF($AH88="선적 보류",COUNTIF($AH$5:$AH88,"선적 보류"),"")</f>
        <v/>
      </c>
    </row>
    <row r="89">
      <c r="A89" t="inlineStr">
        <is>
          <t>INV-2609-0151</t>
        </is>
      </c>
      <c r="B89" t="inlineStr">
        <is>
          <t>B047</t>
        </is>
      </c>
      <c r="C89" t="inlineStr">
        <is>
          <t>MEX</t>
        </is>
      </c>
      <c r="D89" t="inlineStr">
        <is>
          <t>OA</t>
        </is>
      </c>
      <c r="E89" t="inlineStr">
        <is>
          <t>USD</t>
        </is>
      </c>
      <c r="F89" t="inlineStr">
        <is>
          <t>Y</t>
        </is>
      </c>
      <c r="G89" s="32" t="n">
        <v>46293</v>
      </c>
      <c r="H89" s="32" t="n">
        <v>46383</v>
      </c>
      <c r="I89" s="82" t="n">
        <v>3270</v>
      </c>
      <c r="J89" s="82" t="n">
        <v>3270</v>
      </c>
      <c r="K89" t="inlineStr">
        <is>
          <t>N</t>
        </is>
      </c>
      <c r="L89" t="inlineStr">
        <is>
          <t>개별</t>
        </is>
      </c>
      <c r="N89" t="inlineStr">
        <is>
          <t>N</t>
        </is>
      </c>
      <c r="O89" s="37">
        <f>IF($A89="","",AsOf-$H89)</f>
        <v/>
      </c>
      <c r="P89" s="37">
        <f>IF($A89="","",IF($K89="Y","-",IF($O89&gt;=30,"D+30 최종통지·선적보류",IF($O89&gt;=15,"D+15 단호한 통지",IF($O89&gt;=7,"D+7 친절한 리마인더",IF(AND($O89&gt;=-3,$O89&lt;=-1),"D-3 사전 안내","모니터링"))))))</f>
        <v/>
      </c>
      <c r="Q89" s="83">
        <f>IF($A89="","",EDATE($H89,1))</f>
        <v/>
      </c>
      <c r="R89" s="37">
        <f>IF($A89="","",$Q89-AsOf)</f>
        <v/>
      </c>
      <c r="S89" s="37">
        <f>IF($A89="","",IF(OR($K89="Y",$F89&lt;&gt;"Y",$O89&lt;=0),"",IF($R89&lt;0,"통지 기한 경과 — 즉시 확인",IF($R89&lt;=NoticeWarnDays,"통지 기한 임박 — 사람 결정",""))))</f>
        <v/>
      </c>
      <c r="T89" s="83">
        <f>IF(OR($A89="",$F89&lt;&gt;"Y"),"",IF(IF($L89="",InsuranceType,$L89)="포괄",DATE(YEAR($G89),MONTH($G89)+1,20),WORKDAY($G89,10)))</f>
        <v/>
      </c>
      <c r="U89" s="83">
        <f>IF(OR($A89="",$M89=""),"",WORKDAY($M89,10))</f>
        <v/>
      </c>
      <c r="V89" s="37">
        <f>IF($A89="","",IF($N89="Y","사기 의심: 콜백 검증 전 대금 안내 중단",""))</f>
        <v/>
      </c>
      <c r="W89" s="37">
        <f>IF($A89="","",IF(AND($K89="N",$D89&lt;&gt;"LC_SIGHT",$D89&lt;&gt;"LC_USANCE",$D89&lt;&gt;"TT_ADV"),$O89,""))</f>
        <v/>
      </c>
      <c r="X89" s="37">
        <f>IF($A89="",0,IF(AND($K89="N",$D89&lt;&gt;"LC_SIGHT",$D89&lt;&gt;"LC_USANCE",$D89&lt;&gt;"TT_ADV",$O89&gt;=30),1,0))</f>
        <v/>
      </c>
      <c r="Y89" s="37">
        <f>IF($A89="","",IF($O89&lt;=0,"미연체",IF($O89&lt;=30,"1-30",IF($O89&lt;=90,"31-90",IF($O89&lt;=180,"91-180",IF($O89&lt;=365,"181-365","365+"))))))</f>
        <v/>
      </c>
      <c r="Z89" s="37">
        <f>IF($S89="통지 기한 임박 — 사람 결정",COUNTIF($S$5:$S89,"통지 기한 임박 — 사람 결정"),"")</f>
        <v/>
      </c>
      <c r="AB89" s="37">
        <f>IF('02_Buyers'!$A86="","",'02_Buyers'!$A86)</f>
        <v/>
      </c>
      <c r="AC89" s="37">
        <f>IF($AB89="","",'02_Buyers'!$AH86)</f>
        <v/>
      </c>
      <c r="AD89" s="37">
        <f>IF($AB89="","",COUNTIFS(inv_buyer,$AB89,inv_paid,"N"))</f>
        <v/>
      </c>
      <c r="AE89" s="40">
        <f>IF($AB89="","",SUMIFS(inv_usd,inv_buyer,$AB89,inv_paid,"N"))</f>
        <v/>
      </c>
      <c r="AF89" s="37">
        <f>IF($AB89="","",_xlfn.MAXIFS(inv_nonlc_dpd,inv_buyer,$AB89))</f>
        <v/>
      </c>
      <c r="AG89" s="37">
        <f>IF($AB89="","",COUNTIFS(inv_buyer,$AB89,inv_hold30,1))</f>
        <v/>
      </c>
      <c r="AH89" s="37">
        <f>IF($AB89="","",IF(OR($AC89=1,$AG89&gt;0),"선적 보류",""))</f>
        <v/>
      </c>
      <c r="AI89" s="37">
        <f>IF($AH89&lt;&gt;"선적 보류","","내부 에스컬레이션: 여신 한도 동결 제안(사람 승인)")</f>
        <v/>
      </c>
      <c r="AJ89" s="37">
        <f>IF($AB89="","",COUNTIFS(inv_buyer,$AB89,inv_alert,"통지 기한 임박*"))</f>
        <v/>
      </c>
      <c r="AK89" s="40">
        <f>IF($AB89="","",'10_LimitLP'!$F89)</f>
        <v/>
      </c>
      <c r="AL89" s="84">
        <f>IF(OR($AB89="",$AK89&lt;=0),"",$AE89/$AK89)</f>
        <v/>
      </c>
      <c r="AM89" s="37">
        <f>IF($AL89="","",IF($AL89&gt;=0.8,"사용률 80%↑ — 출고 전 사전승인(제18조)",""))</f>
        <v/>
      </c>
      <c r="AN89" s="37">
        <f>IF($AB89="","",IFERROR(IF(INDEX($AU$21:$AU$40,MATCH('02_Buyers'!$S86,$AS$21:$AS$40,0))="","",INDEX($AU$21:$AU$40,MATCH('02_Buyers'!$S86,$AS$21:$AS$40,0))),""))</f>
        <v/>
      </c>
      <c r="AO89" s="37">
        <f>IF($AB89="","",IFERROR(IF(INDEX($AV$21:$AV$40,MATCH('02_Buyers'!$S86,$AS$21:$AS$40,0))="","",INDEX($AV$21:$AV$40,MATCH('02_Buyers'!$S86,$AS$21:$AS$40,0))),""))</f>
        <v/>
      </c>
      <c r="AP89" s="37">
        <f>IF(OR($AB89="",$AN89="",$AO89=""),"",IF($AN89&gt;$AO89,"국가등급 하향 — 한도 재산정",""))</f>
        <v/>
      </c>
      <c r="AQ89" s="37">
        <f>IF($AH89="선적 보류",COUNTIF($AH$5:$AH89,"선적 보류"),"")</f>
        <v/>
      </c>
    </row>
    <row r="90">
      <c r="A90" t="inlineStr">
        <is>
          <t>INV-2606-0003</t>
        </is>
      </c>
      <c r="B90" t="inlineStr">
        <is>
          <t>B048</t>
        </is>
      </c>
      <c r="C90" t="inlineStr">
        <is>
          <t>CHN</t>
        </is>
      </c>
      <c r="D90" t="inlineStr">
        <is>
          <t>OA</t>
        </is>
      </c>
      <c r="E90" t="inlineStr">
        <is>
          <t>USD</t>
        </is>
      </c>
      <c r="F90" t="inlineStr">
        <is>
          <t>Y</t>
        </is>
      </c>
      <c r="G90" s="32" t="n">
        <v>46175</v>
      </c>
      <c r="H90" s="32" t="n">
        <v>46205</v>
      </c>
      <c r="I90" s="82" t="n">
        <v>8720</v>
      </c>
      <c r="J90" s="82" t="n">
        <v>8720</v>
      </c>
      <c r="K90" t="inlineStr">
        <is>
          <t>N</t>
        </is>
      </c>
      <c r="L90" t="inlineStr">
        <is>
          <t>개별</t>
        </is>
      </c>
      <c r="N90" t="inlineStr">
        <is>
          <t>N</t>
        </is>
      </c>
      <c r="O90" s="37">
        <f>IF($A90="","",AsOf-$H90)</f>
        <v/>
      </c>
      <c r="P90" s="37">
        <f>IF($A90="","",IF($K90="Y","-",IF($O90&gt;=30,"D+30 최종통지·선적보류",IF($O90&gt;=15,"D+15 단호한 통지",IF($O90&gt;=7,"D+7 친절한 리마인더",IF(AND($O90&gt;=-3,$O90&lt;=-1),"D-3 사전 안내","모니터링"))))))</f>
        <v/>
      </c>
      <c r="Q90" s="83">
        <f>IF($A90="","",EDATE($H90,1))</f>
        <v/>
      </c>
      <c r="R90" s="37">
        <f>IF($A90="","",$Q90-AsOf)</f>
        <v/>
      </c>
      <c r="S90" s="37">
        <f>IF($A90="","",IF(OR($K90="Y",$F90&lt;&gt;"Y",$O90&lt;=0),"",IF($R90&lt;0,"통지 기한 경과 — 즉시 확인",IF($R90&lt;=NoticeWarnDays,"통지 기한 임박 — 사람 결정",""))))</f>
        <v/>
      </c>
      <c r="T90" s="83">
        <f>IF(OR($A90="",$F90&lt;&gt;"Y"),"",IF(IF($L90="",InsuranceType,$L90)="포괄",DATE(YEAR($G90),MONTH($G90)+1,20),WORKDAY($G90,10)))</f>
        <v/>
      </c>
      <c r="U90" s="83">
        <f>IF(OR($A90="",$M90=""),"",WORKDAY($M90,10))</f>
        <v/>
      </c>
      <c r="V90" s="37">
        <f>IF($A90="","",IF($N90="Y","사기 의심: 콜백 검증 전 대금 안내 중단",""))</f>
        <v/>
      </c>
      <c r="W90" s="37">
        <f>IF($A90="","",IF(AND($K90="N",$D90&lt;&gt;"LC_SIGHT",$D90&lt;&gt;"LC_USANCE",$D90&lt;&gt;"TT_ADV"),$O90,""))</f>
        <v/>
      </c>
      <c r="X90" s="37">
        <f>IF($A90="",0,IF(AND($K90="N",$D90&lt;&gt;"LC_SIGHT",$D90&lt;&gt;"LC_USANCE",$D90&lt;&gt;"TT_ADV",$O90&gt;=30),1,0))</f>
        <v/>
      </c>
      <c r="Y90" s="37">
        <f>IF($A90="","",IF($O90&lt;=0,"미연체",IF($O90&lt;=30,"1-30",IF($O90&lt;=90,"31-90",IF($O90&lt;=180,"91-180",IF($O90&lt;=365,"181-365","365+"))))))</f>
        <v/>
      </c>
      <c r="Z90" s="37">
        <f>IF($S90="통지 기한 임박 — 사람 결정",COUNTIF($S$5:$S90,"통지 기한 임박 — 사람 결정"),"")</f>
        <v/>
      </c>
      <c r="AB90" s="37">
        <f>IF('02_Buyers'!$A87="","",'02_Buyers'!$A87)</f>
        <v/>
      </c>
      <c r="AC90" s="37">
        <f>IF($AB90="","",'02_Buyers'!$AH87)</f>
        <v/>
      </c>
      <c r="AD90" s="37">
        <f>IF($AB90="","",COUNTIFS(inv_buyer,$AB90,inv_paid,"N"))</f>
        <v/>
      </c>
      <c r="AE90" s="40">
        <f>IF($AB90="","",SUMIFS(inv_usd,inv_buyer,$AB90,inv_paid,"N"))</f>
        <v/>
      </c>
      <c r="AF90" s="37">
        <f>IF($AB90="","",_xlfn.MAXIFS(inv_nonlc_dpd,inv_buyer,$AB90))</f>
        <v/>
      </c>
      <c r="AG90" s="37">
        <f>IF($AB90="","",COUNTIFS(inv_buyer,$AB90,inv_hold30,1))</f>
        <v/>
      </c>
      <c r="AH90" s="37">
        <f>IF($AB90="","",IF(OR($AC90=1,$AG90&gt;0),"선적 보류",""))</f>
        <v/>
      </c>
      <c r="AI90" s="37">
        <f>IF($AH90&lt;&gt;"선적 보류","","내부 에스컬레이션: 여신 한도 동결 제안(사람 승인)")</f>
        <v/>
      </c>
      <c r="AJ90" s="37">
        <f>IF($AB90="","",COUNTIFS(inv_buyer,$AB90,inv_alert,"통지 기한 임박*"))</f>
        <v/>
      </c>
      <c r="AK90" s="40">
        <f>IF($AB90="","",'10_LimitLP'!$F90)</f>
        <v/>
      </c>
      <c r="AL90" s="84">
        <f>IF(OR($AB90="",$AK90&lt;=0),"",$AE90/$AK90)</f>
        <v/>
      </c>
      <c r="AM90" s="37">
        <f>IF($AL90="","",IF($AL90&gt;=0.8,"사용률 80%↑ — 출고 전 사전승인(제18조)",""))</f>
        <v/>
      </c>
      <c r="AN90" s="37">
        <f>IF($AB90="","",IFERROR(IF(INDEX($AU$21:$AU$40,MATCH('02_Buyers'!$S87,$AS$21:$AS$40,0))="","",INDEX($AU$21:$AU$40,MATCH('02_Buyers'!$S87,$AS$21:$AS$40,0))),""))</f>
        <v/>
      </c>
      <c r="AO90" s="37">
        <f>IF($AB90="","",IFERROR(IF(INDEX($AV$21:$AV$40,MATCH('02_Buyers'!$S87,$AS$21:$AS$40,0))="","",INDEX($AV$21:$AV$40,MATCH('02_Buyers'!$S87,$AS$21:$AS$40,0))),""))</f>
        <v/>
      </c>
      <c r="AP90" s="37">
        <f>IF(OR($AB90="",$AN90="",$AO90=""),"",IF($AN90&gt;$AO90,"국가등급 하향 — 한도 재산정",""))</f>
        <v/>
      </c>
      <c r="AQ90" s="37">
        <f>IF($AH90="선적 보류",COUNTIF($AH$5:$AH90,"선적 보류"),"")</f>
        <v/>
      </c>
    </row>
    <row r="91">
      <c r="A91" t="inlineStr">
        <is>
          <t>INV-2607-0074</t>
        </is>
      </c>
      <c r="B91" t="inlineStr">
        <is>
          <t>B048</t>
        </is>
      </c>
      <c r="C91" t="inlineStr">
        <is>
          <t>CHN</t>
        </is>
      </c>
      <c r="D91" t="inlineStr">
        <is>
          <t>OA</t>
        </is>
      </c>
      <c r="E91" t="inlineStr">
        <is>
          <t>USD</t>
        </is>
      </c>
      <c r="F91" t="inlineStr">
        <is>
          <t>Y</t>
        </is>
      </c>
      <c r="G91" s="32" t="n">
        <v>46217</v>
      </c>
      <c r="H91" s="32" t="n">
        <v>46247</v>
      </c>
      <c r="I91" s="82" t="n">
        <v>15810</v>
      </c>
      <c r="J91" s="82" t="n">
        <v>15810</v>
      </c>
      <c r="K91" t="inlineStr">
        <is>
          <t>N</t>
        </is>
      </c>
      <c r="L91" t="inlineStr">
        <is>
          <t>개별</t>
        </is>
      </c>
      <c r="N91" t="inlineStr">
        <is>
          <t>N</t>
        </is>
      </c>
      <c r="O91" s="37">
        <f>IF($A91="","",AsOf-$H91)</f>
        <v/>
      </c>
      <c r="P91" s="37">
        <f>IF($A91="","",IF($K91="Y","-",IF($O91&gt;=30,"D+30 최종통지·선적보류",IF($O91&gt;=15,"D+15 단호한 통지",IF($O91&gt;=7,"D+7 친절한 리마인더",IF(AND($O91&gt;=-3,$O91&lt;=-1),"D-3 사전 안내","모니터링"))))))</f>
        <v/>
      </c>
      <c r="Q91" s="83">
        <f>IF($A91="","",EDATE($H91,1))</f>
        <v/>
      </c>
      <c r="R91" s="37">
        <f>IF($A91="","",$Q91-AsOf)</f>
        <v/>
      </c>
      <c r="S91" s="37">
        <f>IF($A91="","",IF(OR($K91="Y",$F91&lt;&gt;"Y",$O91&lt;=0),"",IF($R91&lt;0,"통지 기한 경과 — 즉시 확인",IF($R91&lt;=NoticeWarnDays,"통지 기한 임박 — 사람 결정",""))))</f>
        <v/>
      </c>
      <c r="T91" s="83">
        <f>IF(OR($A91="",$F91&lt;&gt;"Y"),"",IF(IF($L91="",InsuranceType,$L91)="포괄",DATE(YEAR($G91),MONTH($G91)+1,20),WORKDAY($G91,10)))</f>
        <v/>
      </c>
      <c r="U91" s="83">
        <f>IF(OR($A91="",$M91=""),"",WORKDAY($M91,10))</f>
        <v/>
      </c>
      <c r="V91" s="37">
        <f>IF($A91="","",IF($N91="Y","사기 의심: 콜백 검증 전 대금 안내 중단",""))</f>
        <v/>
      </c>
      <c r="W91" s="37">
        <f>IF($A91="","",IF(AND($K91="N",$D91&lt;&gt;"LC_SIGHT",$D91&lt;&gt;"LC_USANCE",$D91&lt;&gt;"TT_ADV"),$O91,""))</f>
        <v/>
      </c>
      <c r="X91" s="37">
        <f>IF($A91="",0,IF(AND($K91="N",$D91&lt;&gt;"LC_SIGHT",$D91&lt;&gt;"LC_USANCE",$D91&lt;&gt;"TT_ADV",$O91&gt;=30),1,0))</f>
        <v/>
      </c>
      <c r="Y91" s="37">
        <f>IF($A91="","",IF($O91&lt;=0,"미연체",IF($O91&lt;=30,"1-30",IF($O91&lt;=90,"31-90",IF($O91&lt;=180,"91-180",IF($O91&lt;=365,"181-365","365+"))))))</f>
        <v/>
      </c>
      <c r="Z91" s="37">
        <f>IF($S91="통지 기한 임박 — 사람 결정",COUNTIF($S$5:$S91,"통지 기한 임박 — 사람 결정"),"")</f>
        <v/>
      </c>
      <c r="AB91" s="37">
        <f>IF('02_Buyers'!$A88="","",'02_Buyers'!$A88)</f>
        <v/>
      </c>
      <c r="AC91" s="37">
        <f>IF($AB91="","",'02_Buyers'!$AH88)</f>
        <v/>
      </c>
      <c r="AD91" s="37">
        <f>IF($AB91="","",COUNTIFS(inv_buyer,$AB91,inv_paid,"N"))</f>
        <v/>
      </c>
      <c r="AE91" s="40">
        <f>IF($AB91="","",SUMIFS(inv_usd,inv_buyer,$AB91,inv_paid,"N"))</f>
        <v/>
      </c>
      <c r="AF91" s="37">
        <f>IF($AB91="","",_xlfn.MAXIFS(inv_nonlc_dpd,inv_buyer,$AB91))</f>
        <v/>
      </c>
      <c r="AG91" s="37">
        <f>IF($AB91="","",COUNTIFS(inv_buyer,$AB91,inv_hold30,1))</f>
        <v/>
      </c>
      <c r="AH91" s="37">
        <f>IF($AB91="","",IF(OR($AC91=1,$AG91&gt;0),"선적 보류",""))</f>
        <v/>
      </c>
      <c r="AI91" s="37">
        <f>IF($AH91&lt;&gt;"선적 보류","","내부 에스컬레이션: 여신 한도 동결 제안(사람 승인)")</f>
        <v/>
      </c>
      <c r="AJ91" s="37">
        <f>IF($AB91="","",COUNTIFS(inv_buyer,$AB91,inv_alert,"통지 기한 임박*"))</f>
        <v/>
      </c>
      <c r="AK91" s="40">
        <f>IF($AB91="","",'10_LimitLP'!$F91)</f>
        <v/>
      </c>
      <c r="AL91" s="84">
        <f>IF(OR($AB91="",$AK91&lt;=0),"",$AE91/$AK91)</f>
        <v/>
      </c>
      <c r="AM91" s="37">
        <f>IF($AL91="","",IF($AL91&gt;=0.8,"사용률 80%↑ — 출고 전 사전승인(제18조)",""))</f>
        <v/>
      </c>
      <c r="AN91" s="37">
        <f>IF($AB91="","",IFERROR(IF(INDEX($AU$21:$AU$40,MATCH('02_Buyers'!$S88,$AS$21:$AS$40,0))="","",INDEX($AU$21:$AU$40,MATCH('02_Buyers'!$S88,$AS$21:$AS$40,0))),""))</f>
        <v/>
      </c>
      <c r="AO91" s="37">
        <f>IF($AB91="","",IFERROR(IF(INDEX($AV$21:$AV$40,MATCH('02_Buyers'!$S88,$AS$21:$AS$40,0))="","",INDEX($AV$21:$AV$40,MATCH('02_Buyers'!$S88,$AS$21:$AS$40,0))),""))</f>
        <v/>
      </c>
      <c r="AP91" s="37">
        <f>IF(OR($AB91="",$AN91="",$AO91=""),"",IF($AN91&gt;$AO91,"국가등급 하향 — 한도 재산정",""))</f>
        <v/>
      </c>
      <c r="AQ91" s="37">
        <f>IF($AH91="선적 보류",COUNTIF($AH$5:$AH91,"선적 보류"),"")</f>
        <v/>
      </c>
    </row>
    <row r="92">
      <c r="A92" t="inlineStr">
        <is>
          <t>INV-2605-0010</t>
        </is>
      </c>
      <c r="B92" t="inlineStr">
        <is>
          <t>B049</t>
        </is>
      </c>
      <c r="C92" t="inlineStr">
        <is>
          <t>ARE</t>
        </is>
      </c>
      <c r="D92" t="inlineStr">
        <is>
          <t>DA</t>
        </is>
      </c>
      <c r="E92" t="inlineStr">
        <is>
          <t>USD</t>
        </is>
      </c>
      <c r="F92" t="inlineStr">
        <is>
          <t>N</t>
        </is>
      </c>
      <c r="G92" s="32" t="n">
        <v>46144</v>
      </c>
      <c r="H92" s="32" t="n">
        <v>46234</v>
      </c>
      <c r="I92" s="82" t="n">
        <v>2820</v>
      </c>
      <c r="J92" s="82" t="n">
        <v>2820</v>
      </c>
      <c r="K92" t="inlineStr">
        <is>
          <t>N</t>
        </is>
      </c>
      <c r="N92" t="inlineStr">
        <is>
          <t>N</t>
        </is>
      </c>
      <c r="O92" s="37">
        <f>IF($A92="","",AsOf-$H92)</f>
        <v/>
      </c>
      <c r="P92" s="37">
        <f>IF($A92="","",IF($K92="Y","-",IF($O92&gt;=30,"D+30 최종통지·선적보류",IF($O92&gt;=15,"D+15 단호한 통지",IF($O92&gt;=7,"D+7 친절한 리마인더",IF(AND($O92&gt;=-3,$O92&lt;=-1),"D-3 사전 안내","모니터링"))))))</f>
        <v/>
      </c>
      <c r="Q92" s="83">
        <f>IF($A92="","",EDATE($H92,1))</f>
        <v/>
      </c>
      <c r="R92" s="37">
        <f>IF($A92="","",$Q92-AsOf)</f>
        <v/>
      </c>
      <c r="S92" s="37">
        <f>IF($A92="","",IF(OR($K92="Y",$F92&lt;&gt;"Y",$O92&lt;=0),"",IF($R92&lt;0,"통지 기한 경과 — 즉시 확인",IF($R92&lt;=NoticeWarnDays,"통지 기한 임박 — 사람 결정",""))))</f>
        <v/>
      </c>
      <c r="T92" s="83">
        <f>IF(OR($A92="",$F92&lt;&gt;"Y"),"",IF(IF($L92="",InsuranceType,$L92)="포괄",DATE(YEAR($G92),MONTH($G92)+1,20),WORKDAY($G92,10)))</f>
        <v/>
      </c>
      <c r="U92" s="83">
        <f>IF(OR($A92="",$M92=""),"",WORKDAY($M92,10))</f>
        <v/>
      </c>
      <c r="V92" s="37">
        <f>IF($A92="","",IF($N92="Y","사기 의심: 콜백 검증 전 대금 안내 중단",""))</f>
        <v/>
      </c>
      <c r="W92" s="37">
        <f>IF($A92="","",IF(AND($K92="N",$D92&lt;&gt;"LC_SIGHT",$D92&lt;&gt;"LC_USANCE",$D92&lt;&gt;"TT_ADV"),$O92,""))</f>
        <v/>
      </c>
      <c r="X92" s="37">
        <f>IF($A92="",0,IF(AND($K92="N",$D92&lt;&gt;"LC_SIGHT",$D92&lt;&gt;"LC_USANCE",$D92&lt;&gt;"TT_ADV",$O92&gt;=30),1,0))</f>
        <v/>
      </c>
      <c r="Y92" s="37">
        <f>IF($A92="","",IF($O92&lt;=0,"미연체",IF($O92&lt;=30,"1-30",IF($O92&lt;=90,"31-90",IF($O92&lt;=180,"91-180",IF($O92&lt;=365,"181-365","365+"))))))</f>
        <v/>
      </c>
      <c r="Z92" s="37">
        <f>IF($S92="통지 기한 임박 — 사람 결정",COUNTIF($S$5:$S92,"통지 기한 임박 — 사람 결정"),"")</f>
        <v/>
      </c>
      <c r="AB92" s="37">
        <f>IF('02_Buyers'!$A89="","",'02_Buyers'!$A89)</f>
        <v/>
      </c>
      <c r="AC92" s="37">
        <f>IF($AB92="","",'02_Buyers'!$AH89)</f>
        <v/>
      </c>
      <c r="AD92" s="37">
        <f>IF($AB92="","",COUNTIFS(inv_buyer,$AB92,inv_paid,"N"))</f>
        <v/>
      </c>
      <c r="AE92" s="40">
        <f>IF($AB92="","",SUMIFS(inv_usd,inv_buyer,$AB92,inv_paid,"N"))</f>
        <v/>
      </c>
      <c r="AF92" s="37">
        <f>IF($AB92="","",_xlfn.MAXIFS(inv_nonlc_dpd,inv_buyer,$AB92))</f>
        <v/>
      </c>
      <c r="AG92" s="37">
        <f>IF($AB92="","",COUNTIFS(inv_buyer,$AB92,inv_hold30,1))</f>
        <v/>
      </c>
      <c r="AH92" s="37">
        <f>IF($AB92="","",IF(OR($AC92=1,$AG92&gt;0),"선적 보류",""))</f>
        <v/>
      </c>
      <c r="AI92" s="37">
        <f>IF($AH92&lt;&gt;"선적 보류","","내부 에스컬레이션: 여신 한도 동결 제안(사람 승인)")</f>
        <v/>
      </c>
      <c r="AJ92" s="37">
        <f>IF($AB92="","",COUNTIFS(inv_buyer,$AB92,inv_alert,"통지 기한 임박*"))</f>
        <v/>
      </c>
      <c r="AK92" s="40">
        <f>IF($AB92="","",'10_LimitLP'!$F92)</f>
        <v/>
      </c>
      <c r="AL92" s="84">
        <f>IF(OR($AB92="",$AK92&lt;=0),"",$AE92/$AK92)</f>
        <v/>
      </c>
      <c r="AM92" s="37">
        <f>IF($AL92="","",IF($AL92&gt;=0.8,"사용률 80%↑ — 출고 전 사전승인(제18조)",""))</f>
        <v/>
      </c>
      <c r="AN92" s="37">
        <f>IF($AB92="","",IFERROR(IF(INDEX($AU$21:$AU$40,MATCH('02_Buyers'!$S89,$AS$21:$AS$40,0))="","",INDEX($AU$21:$AU$40,MATCH('02_Buyers'!$S89,$AS$21:$AS$40,0))),""))</f>
        <v/>
      </c>
      <c r="AO92" s="37">
        <f>IF($AB92="","",IFERROR(IF(INDEX($AV$21:$AV$40,MATCH('02_Buyers'!$S89,$AS$21:$AS$40,0))="","",INDEX($AV$21:$AV$40,MATCH('02_Buyers'!$S89,$AS$21:$AS$40,0))),""))</f>
        <v/>
      </c>
      <c r="AP92" s="37">
        <f>IF(OR($AB92="",$AN92="",$AO92=""),"",IF($AN92&gt;$AO92,"국가등급 하향 — 한도 재산정",""))</f>
        <v/>
      </c>
      <c r="AQ92" s="37">
        <f>IF($AH92="선적 보류",COUNTIF($AH$5:$AH92,"선적 보류"),"")</f>
        <v/>
      </c>
    </row>
    <row r="93">
      <c r="A93" t="inlineStr">
        <is>
          <t>INV-2607-0048</t>
        </is>
      </c>
      <c r="B93" t="inlineStr">
        <is>
          <t>B049</t>
        </is>
      </c>
      <c r="C93" t="inlineStr">
        <is>
          <t>ARE</t>
        </is>
      </c>
      <c r="D93" t="inlineStr">
        <is>
          <t>DA</t>
        </is>
      </c>
      <c r="E93" t="inlineStr">
        <is>
          <t>USD</t>
        </is>
      </c>
      <c r="F93" t="inlineStr">
        <is>
          <t>N</t>
        </is>
      </c>
      <c r="G93" s="32" t="n">
        <v>46213</v>
      </c>
      <c r="H93" s="32" t="n">
        <v>46303</v>
      </c>
      <c r="I93" s="82" t="n">
        <v>4820</v>
      </c>
      <c r="J93" s="82" t="n">
        <v>4820</v>
      </c>
      <c r="K93" t="inlineStr">
        <is>
          <t>N</t>
        </is>
      </c>
      <c r="N93" t="inlineStr">
        <is>
          <t>N</t>
        </is>
      </c>
      <c r="O93" s="37">
        <f>IF($A93="","",AsOf-$H93)</f>
        <v/>
      </c>
      <c r="P93" s="37">
        <f>IF($A93="","",IF($K93="Y","-",IF($O93&gt;=30,"D+30 최종통지·선적보류",IF($O93&gt;=15,"D+15 단호한 통지",IF($O93&gt;=7,"D+7 친절한 리마인더",IF(AND($O93&gt;=-3,$O93&lt;=-1),"D-3 사전 안내","모니터링"))))))</f>
        <v/>
      </c>
      <c r="Q93" s="83">
        <f>IF($A93="","",EDATE($H93,1))</f>
        <v/>
      </c>
      <c r="R93" s="37">
        <f>IF($A93="","",$Q93-AsOf)</f>
        <v/>
      </c>
      <c r="S93" s="37">
        <f>IF($A93="","",IF(OR($K93="Y",$F93&lt;&gt;"Y",$O93&lt;=0),"",IF($R93&lt;0,"통지 기한 경과 — 즉시 확인",IF($R93&lt;=NoticeWarnDays,"통지 기한 임박 — 사람 결정",""))))</f>
        <v/>
      </c>
      <c r="T93" s="83">
        <f>IF(OR($A93="",$F93&lt;&gt;"Y"),"",IF(IF($L93="",InsuranceType,$L93)="포괄",DATE(YEAR($G93),MONTH($G93)+1,20),WORKDAY($G93,10)))</f>
        <v/>
      </c>
      <c r="U93" s="83">
        <f>IF(OR($A93="",$M93=""),"",WORKDAY($M93,10))</f>
        <v/>
      </c>
      <c r="V93" s="37">
        <f>IF($A93="","",IF($N93="Y","사기 의심: 콜백 검증 전 대금 안내 중단",""))</f>
        <v/>
      </c>
      <c r="W93" s="37">
        <f>IF($A93="","",IF(AND($K93="N",$D93&lt;&gt;"LC_SIGHT",$D93&lt;&gt;"LC_USANCE",$D93&lt;&gt;"TT_ADV"),$O93,""))</f>
        <v/>
      </c>
      <c r="X93" s="37">
        <f>IF($A93="",0,IF(AND($K93="N",$D93&lt;&gt;"LC_SIGHT",$D93&lt;&gt;"LC_USANCE",$D93&lt;&gt;"TT_ADV",$O93&gt;=30),1,0))</f>
        <v/>
      </c>
      <c r="Y93" s="37">
        <f>IF($A93="","",IF($O93&lt;=0,"미연체",IF($O93&lt;=30,"1-30",IF($O93&lt;=90,"31-90",IF($O93&lt;=180,"91-180",IF($O93&lt;=365,"181-365","365+"))))))</f>
        <v/>
      </c>
      <c r="Z93" s="37">
        <f>IF($S93="통지 기한 임박 — 사람 결정",COUNTIF($S$5:$S93,"통지 기한 임박 — 사람 결정"),"")</f>
        <v/>
      </c>
      <c r="AB93" s="37">
        <f>IF('02_Buyers'!$A90="","",'02_Buyers'!$A90)</f>
        <v/>
      </c>
      <c r="AC93" s="37">
        <f>IF($AB93="","",'02_Buyers'!$AH90)</f>
        <v/>
      </c>
      <c r="AD93" s="37">
        <f>IF($AB93="","",COUNTIFS(inv_buyer,$AB93,inv_paid,"N"))</f>
        <v/>
      </c>
      <c r="AE93" s="40">
        <f>IF($AB93="","",SUMIFS(inv_usd,inv_buyer,$AB93,inv_paid,"N"))</f>
        <v/>
      </c>
      <c r="AF93" s="37">
        <f>IF($AB93="","",_xlfn.MAXIFS(inv_nonlc_dpd,inv_buyer,$AB93))</f>
        <v/>
      </c>
      <c r="AG93" s="37">
        <f>IF($AB93="","",COUNTIFS(inv_buyer,$AB93,inv_hold30,1))</f>
        <v/>
      </c>
      <c r="AH93" s="37">
        <f>IF($AB93="","",IF(OR($AC93=1,$AG93&gt;0),"선적 보류",""))</f>
        <v/>
      </c>
      <c r="AI93" s="37">
        <f>IF($AH93&lt;&gt;"선적 보류","","내부 에스컬레이션: 여신 한도 동결 제안(사람 승인)")</f>
        <v/>
      </c>
      <c r="AJ93" s="37">
        <f>IF($AB93="","",COUNTIFS(inv_buyer,$AB93,inv_alert,"통지 기한 임박*"))</f>
        <v/>
      </c>
      <c r="AK93" s="40">
        <f>IF($AB93="","",'10_LimitLP'!$F93)</f>
        <v/>
      </c>
      <c r="AL93" s="84">
        <f>IF(OR($AB93="",$AK93&lt;=0),"",$AE93/$AK93)</f>
        <v/>
      </c>
      <c r="AM93" s="37">
        <f>IF($AL93="","",IF($AL93&gt;=0.8,"사용률 80%↑ — 출고 전 사전승인(제18조)",""))</f>
        <v/>
      </c>
      <c r="AN93" s="37">
        <f>IF($AB93="","",IFERROR(IF(INDEX($AU$21:$AU$40,MATCH('02_Buyers'!$S90,$AS$21:$AS$40,0))="","",INDEX($AU$21:$AU$40,MATCH('02_Buyers'!$S90,$AS$21:$AS$40,0))),""))</f>
        <v/>
      </c>
      <c r="AO93" s="37">
        <f>IF($AB93="","",IFERROR(IF(INDEX($AV$21:$AV$40,MATCH('02_Buyers'!$S90,$AS$21:$AS$40,0))="","",INDEX($AV$21:$AV$40,MATCH('02_Buyers'!$S90,$AS$21:$AS$40,0))),""))</f>
        <v/>
      </c>
      <c r="AP93" s="37">
        <f>IF(OR($AB93="",$AN93="",$AO93=""),"",IF($AN93&gt;$AO93,"국가등급 하향 — 한도 재산정",""))</f>
        <v/>
      </c>
      <c r="AQ93" s="37">
        <f>IF($AH93="선적 보류",COUNTIF($AH$5:$AH93,"선적 보류"),"")</f>
        <v/>
      </c>
    </row>
    <row r="94">
      <c r="A94" t="inlineStr">
        <is>
          <t>INV-2607-0049</t>
        </is>
      </c>
      <c r="B94" t="inlineStr">
        <is>
          <t>B049</t>
        </is>
      </c>
      <c r="C94" t="inlineStr">
        <is>
          <t>ARE</t>
        </is>
      </c>
      <c r="D94" t="inlineStr">
        <is>
          <t>DA</t>
        </is>
      </c>
      <c r="E94" t="inlineStr">
        <is>
          <t>USD</t>
        </is>
      </c>
      <c r="F94" t="inlineStr">
        <is>
          <t>N</t>
        </is>
      </c>
      <c r="G94" s="32" t="n">
        <v>46213</v>
      </c>
      <c r="H94" s="32" t="n">
        <v>46303</v>
      </c>
      <c r="I94" s="82" t="n">
        <v>3270</v>
      </c>
      <c r="J94" s="82" t="n">
        <v>3270</v>
      </c>
      <c r="K94" t="inlineStr">
        <is>
          <t>N</t>
        </is>
      </c>
      <c r="N94" t="inlineStr">
        <is>
          <t>N</t>
        </is>
      </c>
      <c r="O94" s="37">
        <f>IF($A94="","",AsOf-$H94)</f>
        <v/>
      </c>
      <c r="P94" s="37">
        <f>IF($A94="","",IF($K94="Y","-",IF($O94&gt;=30,"D+30 최종통지·선적보류",IF($O94&gt;=15,"D+15 단호한 통지",IF($O94&gt;=7,"D+7 친절한 리마인더",IF(AND($O94&gt;=-3,$O94&lt;=-1),"D-3 사전 안내","모니터링"))))))</f>
        <v/>
      </c>
      <c r="Q94" s="83">
        <f>IF($A94="","",EDATE($H94,1))</f>
        <v/>
      </c>
      <c r="R94" s="37">
        <f>IF($A94="","",$Q94-AsOf)</f>
        <v/>
      </c>
      <c r="S94" s="37">
        <f>IF($A94="","",IF(OR($K94="Y",$F94&lt;&gt;"Y",$O94&lt;=0),"",IF($R94&lt;0,"통지 기한 경과 — 즉시 확인",IF($R94&lt;=NoticeWarnDays,"통지 기한 임박 — 사람 결정",""))))</f>
        <v/>
      </c>
      <c r="T94" s="83">
        <f>IF(OR($A94="",$F94&lt;&gt;"Y"),"",IF(IF($L94="",InsuranceType,$L94)="포괄",DATE(YEAR($G94),MONTH($G94)+1,20),WORKDAY($G94,10)))</f>
        <v/>
      </c>
      <c r="U94" s="83">
        <f>IF(OR($A94="",$M94=""),"",WORKDAY($M94,10))</f>
        <v/>
      </c>
      <c r="V94" s="37">
        <f>IF($A94="","",IF($N94="Y","사기 의심: 콜백 검증 전 대금 안내 중단",""))</f>
        <v/>
      </c>
      <c r="W94" s="37">
        <f>IF($A94="","",IF(AND($K94="N",$D94&lt;&gt;"LC_SIGHT",$D94&lt;&gt;"LC_USANCE",$D94&lt;&gt;"TT_ADV"),$O94,""))</f>
        <v/>
      </c>
      <c r="X94" s="37">
        <f>IF($A94="",0,IF(AND($K94="N",$D94&lt;&gt;"LC_SIGHT",$D94&lt;&gt;"LC_USANCE",$D94&lt;&gt;"TT_ADV",$O94&gt;=30),1,0))</f>
        <v/>
      </c>
      <c r="Y94" s="37">
        <f>IF($A94="","",IF($O94&lt;=0,"미연체",IF($O94&lt;=30,"1-30",IF($O94&lt;=90,"31-90",IF($O94&lt;=180,"91-180",IF($O94&lt;=365,"181-365","365+"))))))</f>
        <v/>
      </c>
      <c r="Z94" s="37">
        <f>IF($S94="통지 기한 임박 — 사람 결정",COUNTIF($S$5:$S94,"통지 기한 임박 — 사람 결정"),"")</f>
        <v/>
      </c>
      <c r="AB94" s="37">
        <f>IF('02_Buyers'!$A91="","",'02_Buyers'!$A91)</f>
        <v/>
      </c>
      <c r="AC94" s="37">
        <f>IF($AB94="","",'02_Buyers'!$AH91)</f>
        <v/>
      </c>
      <c r="AD94" s="37">
        <f>IF($AB94="","",COUNTIFS(inv_buyer,$AB94,inv_paid,"N"))</f>
        <v/>
      </c>
      <c r="AE94" s="40">
        <f>IF($AB94="","",SUMIFS(inv_usd,inv_buyer,$AB94,inv_paid,"N"))</f>
        <v/>
      </c>
      <c r="AF94" s="37">
        <f>IF($AB94="","",_xlfn.MAXIFS(inv_nonlc_dpd,inv_buyer,$AB94))</f>
        <v/>
      </c>
      <c r="AG94" s="37">
        <f>IF($AB94="","",COUNTIFS(inv_buyer,$AB94,inv_hold30,1))</f>
        <v/>
      </c>
      <c r="AH94" s="37">
        <f>IF($AB94="","",IF(OR($AC94=1,$AG94&gt;0),"선적 보류",""))</f>
        <v/>
      </c>
      <c r="AI94" s="37">
        <f>IF($AH94&lt;&gt;"선적 보류","","내부 에스컬레이션: 여신 한도 동결 제안(사람 승인)")</f>
        <v/>
      </c>
      <c r="AJ94" s="37">
        <f>IF($AB94="","",COUNTIFS(inv_buyer,$AB94,inv_alert,"통지 기한 임박*"))</f>
        <v/>
      </c>
      <c r="AK94" s="40">
        <f>IF($AB94="","",'10_LimitLP'!$F94)</f>
        <v/>
      </c>
      <c r="AL94" s="84">
        <f>IF(OR($AB94="",$AK94&lt;=0),"",$AE94/$AK94)</f>
        <v/>
      </c>
      <c r="AM94" s="37">
        <f>IF($AL94="","",IF($AL94&gt;=0.8,"사용률 80%↑ — 출고 전 사전승인(제18조)",""))</f>
        <v/>
      </c>
      <c r="AN94" s="37">
        <f>IF($AB94="","",IFERROR(IF(INDEX($AU$21:$AU$40,MATCH('02_Buyers'!$S91,$AS$21:$AS$40,0))="","",INDEX($AU$21:$AU$40,MATCH('02_Buyers'!$S91,$AS$21:$AS$40,0))),""))</f>
        <v/>
      </c>
      <c r="AO94" s="37">
        <f>IF($AB94="","",IFERROR(IF(INDEX($AV$21:$AV$40,MATCH('02_Buyers'!$S91,$AS$21:$AS$40,0))="","",INDEX($AV$21:$AV$40,MATCH('02_Buyers'!$S91,$AS$21:$AS$40,0))),""))</f>
        <v/>
      </c>
      <c r="AP94" s="37">
        <f>IF(OR($AB94="",$AN94="",$AO94=""),"",IF($AN94&gt;$AO94,"국가등급 하향 — 한도 재산정",""))</f>
        <v/>
      </c>
      <c r="AQ94" s="37">
        <f>IF($AH94="선적 보류",COUNTIF($AH$5:$AH94,"선적 보류"),"")</f>
        <v/>
      </c>
    </row>
    <row r="95">
      <c r="A95" t="inlineStr">
        <is>
          <t>INV-2608-0043</t>
        </is>
      </c>
      <c r="B95" t="inlineStr">
        <is>
          <t>B049</t>
        </is>
      </c>
      <c r="C95" t="inlineStr">
        <is>
          <t>ARE</t>
        </is>
      </c>
      <c r="D95" t="inlineStr">
        <is>
          <t>DA</t>
        </is>
      </c>
      <c r="E95" t="inlineStr">
        <is>
          <t>USD</t>
        </is>
      </c>
      <c r="F95" t="inlineStr">
        <is>
          <t>N</t>
        </is>
      </c>
      <c r="G95" s="32" t="n">
        <v>46244</v>
      </c>
      <c r="H95" s="32" t="n">
        <v>46334</v>
      </c>
      <c r="I95" s="82" t="n">
        <v>24300</v>
      </c>
      <c r="J95" s="82" t="n">
        <v>24300</v>
      </c>
      <c r="K95" t="inlineStr">
        <is>
          <t>N</t>
        </is>
      </c>
      <c r="N95" t="inlineStr">
        <is>
          <t>N</t>
        </is>
      </c>
      <c r="O95" s="37">
        <f>IF($A95="","",AsOf-$H95)</f>
        <v/>
      </c>
      <c r="P95" s="37">
        <f>IF($A95="","",IF($K95="Y","-",IF($O95&gt;=30,"D+30 최종통지·선적보류",IF($O95&gt;=15,"D+15 단호한 통지",IF($O95&gt;=7,"D+7 친절한 리마인더",IF(AND($O95&gt;=-3,$O95&lt;=-1),"D-3 사전 안내","모니터링"))))))</f>
        <v/>
      </c>
      <c r="Q95" s="83">
        <f>IF($A95="","",EDATE($H95,1))</f>
        <v/>
      </c>
      <c r="R95" s="37">
        <f>IF($A95="","",$Q95-AsOf)</f>
        <v/>
      </c>
      <c r="S95" s="37">
        <f>IF($A95="","",IF(OR($K95="Y",$F95&lt;&gt;"Y",$O95&lt;=0),"",IF($R95&lt;0,"통지 기한 경과 — 즉시 확인",IF($R95&lt;=NoticeWarnDays,"통지 기한 임박 — 사람 결정",""))))</f>
        <v/>
      </c>
      <c r="T95" s="83">
        <f>IF(OR($A95="",$F95&lt;&gt;"Y"),"",IF(IF($L95="",InsuranceType,$L95)="포괄",DATE(YEAR($G95),MONTH($G95)+1,20),WORKDAY($G95,10)))</f>
        <v/>
      </c>
      <c r="U95" s="83">
        <f>IF(OR($A95="",$M95=""),"",WORKDAY($M95,10))</f>
        <v/>
      </c>
      <c r="V95" s="37">
        <f>IF($A95="","",IF($N95="Y","사기 의심: 콜백 검증 전 대금 안내 중단",""))</f>
        <v/>
      </c>
      <c r="W95" s="37">
        <f>IF($A95="","",IF(AND($K95="N",$D95&lt;&gt;"LC_SIGHT",$D95&lt;&gt;"LC_USANCE",$D95&lt;&gt;"TT_ADV"),$O95,""))</f>
        <v/>
      </c>
      <c r="X95" s="37">
        <f>IF($A95="",0,IF(AND($K95="N",$D95&lt;&gt;"LC_SIGHT",$D95&lt;&gt;"LC_USANCE",$D95&lt;&gt;"TT_ADV",$O95&gt;=30),1,0))</f>
        <v/>
      </c>
      <c r="Y95" s="37">
        <f>IF($A95="","",IF($O95&lt;=0,"미연체",IF($O95&lt;=30,"1-30",IF($O95&lt;=90,"31-90",IF($O95&lt;=180,"91-180",IF($O95&lt;=365,"181-365","365+"))))))</f>
        <v/>
      </c>
      <c r="Z95" s="37">
        <f>IF($S95="통지 기한 임박 — 사람 결정",COUNTIF($S$5:$S95,"통지 기한 임박 — 사람 결정"),"")</f>
        <v/>
      </c>
      <c r="AB95" s="37">
        <f>IF('02_Buyers'!$A92="","",'02_Buyers'!$A92)</f>
        <v/>
      </c>
      <c r="AC95" s="37">
        <f>IF($AB95="","",'02_Buyers'!$AH92)</f>
        <v/>
      </c>
      <c r="AD95" s="37">
        <f>IF($AB95="","",COUNTIFS(inv_buyer,$AB95,inv_paid,"N"))</f>
        <v/>
      </c>
      <c r="AE95" s="40">
        <f>IF($AB95="","",SUMIFS(inv_usd,inv_buyer,$AB95,inv_paid,"N"))</f>
        <v/>
      </c>
      <c r="AF95" s="37">
        <f>IF($AB95="","",_xlfn.MAXIFS(inv_nonlc_dpd,inv_buyer,$AB95))</f>
        <v/>
      </c>
      <c r="AG95" s="37">
        <f>IF($AB95="","",COUNTIFS(inv_buyer,$AB95,inv_hold30,1))</f>
        <v/>
      </c>
      <c r="AH95" s="37">
        <f>IF($AB95="","",IF(OR($AC95=1,$AG95&gt;0),"선적 보류",""))</f>
        <v/>
      </c>
      <c r="AI95" s="37">
        <f>IF($AH95&lt;&gt;"선적 보류","","내부 에스컬레이션: 여신 한도 동결 제안(사람 승인)")</f>
        <v/>
      </c>
      <c r="AJ95" s="37">
        <f>IF($AB95="","",COUNTIFS(inv_buyer,$AB95,inv_alert,"통지 기한 임박*"))</f>
        <v/>
      </c>
      <c r="AK95" s="40">
        <f>IF($AB95="","",'10_LimitLP'!$F95)</f>
        <v/>
      </c>
      <c r="AL95" s="84">
        <f>IF(OR($AB95="",$AK95&lt;=0),"",$AE95/$AK95)</f>
        <v/>
      </c>
      <c r="AM95" s="37">
        <f>IF($AL95="","",IF($AL95&gt;=0.8,"사용률 80%↑ — 출고 전 사전승인(제18조)",""))</f>
        <v/>
      </c>
      <c r="AN95" s="37">
        <f>IF($AB95="","",IFERROR(IF(INDEX($AU$21:$AU$40,MATCH('02_Buyers'!$S92,$AS$21:$AS$40,0))="","",INDEX($AU$21:$AU$40,MATCH('02_Buyers'!$S92,$AS$21:$AS$40,0))),""))</f>
        <v/>
      </c>
      <c r="AO95" s="37">
        <f>IF($AB95="","",IFERROR(IF(INDEX($AV$21:$AV$40,MATCH('02_Buyers'!$S92,$AS$21:$AS$40,0))="","",INDEX($AV$21:$AV$40,MATCH('02_Buyers'!$S92,$AS$21:$AS$40,0))),""))</f>
        <v/>
      </c>
      <c r="AP95" s="37">
        <f>IF(OR($AB95="",$AN95="",$AO95=""),"",IF($AN95&gt;$AO95,"국가등급 하향 — 한도 재산정",""))</f>
        <v/>
      </c>
      <c r="AQ95" s="37">
        <f>IF($AH95="선적 보류",COUNTIF($AH$5:$AH95,"선적 보류"),"")</f>
        <v/>
      </c>
    </row>
    <row r="96">
      <c r="A96" t="inlineStr">
        <is>
          <t>INV-2608-0049</t>
        </is>
      </c>
      <c r="B96" t="inlineStr">
        <is>
          <t>B050</t>
        </is>
      </c>
      <c r="C96" t="inlineStr">
        <is>
          <t>USA</t>
        </is>
      </c>
      <c r="D96" t="inlineStr">
        <is>
          <t>OA</t>
        </is>
      </c>
      <c r="E96" t="inlineStr">
        <is>
          <t>USD</t>
        </is>
      </c>
      <c r="F96" t="inlineStr">
        <is>
          <t>Y</t>
        </is>
      </c>
      <c r="G96" s="32" t="n">
        <v>46245</v>
      </c>
      <c r="H96" s="32" t="n">
        <v>46305</v>
      </c>
      <c r="I96" s="82" t="n">
        <v>3260</v>
      </c>
      <c r="J96" s="82" t="n">
        <v>3260</v>
      </c>
      <c r="K96" t="inlineStr">
        <is>
          <t>N</t>
        </is>
      </c>
      <c r="L96" t="inlineStr">
        <is>
          <t>개별</t>
        </is>
      </c>
      <c r="N96" t="inlineStr">
        <is>
          <t>N</t>
        </is>
      </c>
      <c r="O96" s="37">
        <f>IF($A96="","",AsOf-$H96)</f>
        <v/>
      </c>
      <c r="P96" s="37">
        <f>IF($A96="","",IF($K96="Y","-",IF($O96&gt;=30,"D+30 최종통지·선적보류",IF($O96&gt;=15,"D+15 단호한 통지",IF($O96&gt;=7,"D+7 친절한 리마인더",IF(AND($O96&gt;=-3,$O96&lt;=-1),"D-3 사전 안내","모니터링"))))))</f>
        <v/>
      </c>
      <c r="Q96" s="83">
        <f>IF($A96="","",EDATE($H96,1))</f>
        <v/>
      </c>
      <c r="R96" s="37">
        <f>IF($A96="","",$Q96-AsOf)</f>
        <v/>
      </c>
      <c r="S96" s="37">
        <f>IF($A96="","",IF(OR($K96="Y",$F96&lt;&gt;"Y",$O96&lt;=0),"",IF($R96&lt;0,"통지 기한 경과 — 즉시 확인",IF($R96&lt;=NoticeWarnDays,"통지 기한 임박 — 사람 결정",""))))</f>
        <v/>
      </c>
      <c r="T96" s="83">
        <f>IF(OR($A96="",$F96&lt;&gt;"Y"),"",IF(IF($L96="",InsuranceType,$L96)="포괄",DATE(YEAR($G96),MONTH($G96)+1,20),WORKDAY($G96,10)))</f>
        <v/>
      </c>
      <c r="U96" s="83">
        <f>IF(OR($A96="",$M96=""),"",WORKDAY($M96,10))</f>
        <v/>
      </c>
      <c r="V96" s="37">
        <f>IF($A96="","",IF($N96="Y","사기 의심: 콜백 검증 전 대금 안내 중단",""))</f>
        <v/>
      </c>
      <c r="W96" s="37">
        <f>IF($A96="","",IF(AND($K96="N",$D96&lt;&gt;"LC_SIGHT",$D96&lt;&gt;"LC_USANCE",$D96&lt;&gt;"TT_ADV"),$O96,""))</f>
        <v/>
      </c>
      <c r="X96" s="37">
        <f>IF($A96="",0,IF(AND($K96="N",$D96&lt;&gt;"LC_SIGHT",$D96&lt;&gt;"LC_USANCE",$D96&lt;&gt;"TT_ADV",$O96&gt;=30),1,0))</f>
        <v/>
      </c>
      <c r="Y96" s="37">
        <f>IF($A96="","",IF($O96&lt;=0,"미연체",IF($O96&lt;=30,"1-30",IF($O96&lt;=90,"31-90",IF($O96&lt;=180,"91-180",IF($O96&lt;=365,"181-365","365+"))))))</f>
        <v/>
      </c>
      <c r="Z96" s="37">
        <f>IF($S96="통지 기한 임박 — 사람 결정",COUNTIF($S$5:$S96,"통지 기한 임박 — 사람 결정"),"")</f>
        <v/>
      </c>
      <c r="AB96" s="37">
        <f>IF('02_Buyers'!$A93="","",'02_Buyers'!$A93)</f>
        <v/>
      </c>
      <c r="AC96" s="37">
        <f>IF($AB96="","",'02_Buyers'!$AH93)</f>
        <v/>
      </c>
      <c r="AD96" s="37">
        <f>IF($AB96="","",COUNTIFS(inv_buyer,$AB96,inv_paid,"N"))</f>
        <v/>
      </c>
      <c r="AE96" s="40">
        <f>IF($AB96="","",SUMIFS(inv_usd,inv_buyer,$AB96,inv_paid,"N"))</f>
        <v/>
      </c>
      <c r="AF96" s="37">
        <f>IF($AB96="","",_xlfn.MAXIFS(inv_nonlc_dpd,inv_buyer,$AB96))</f>
        <v/>
      </c>
      <c r="AG96" s="37">
        <f>IF($AB96="","",COUNTIFS(inv_buyer,$AB96,inv_hold30,1))</f>
        <v/>
      </c>
      <c r="AH96" s="37">
        <f>IF($AB96="","",IF(OR($AC96=1,$AG96&gt;0),"선적 보류",""))</f>
        <v/>
      </c>
      <c r="AI96" s="37">
        <f>IF($AH96&lt;&gt;"선적 보류","","내부 에스컬레이션: 여신 한도 동결 제안(사람 승인)")</f>
        <v/>
      </c>
      <c r="AJ96" s="37">
        <f>IF($AB96="","",COUNTIFS(inv_buyer,$AB96,inv_alert,"통지 기한 임박*"))</f>
        <v/>
      </c>
      <c r="AK96" s="40">
        <f>IF($AB96="","",'10_LimitLP'!$F96)</f>
        <v/>
      </c>
      <c r="AL96" s="84">
        <f>IF(OR($AB96="",$AK96&lt;=0),"",$AE96/$AK96)</f>
        <v/>
      </c>
      <c r="AM96" s="37">
        <f>IF($AL96="","",IF($AL96&gt;=0.8,"사용률 80%↑ — 출고 전 사전승인(제18조)",""))</f>
        <v/>
      </c>
      <c r="AN96" s="37">
        <f>IF($AB96="","",IFERROR(IF(INDEX($AU$21:$AU$40,MATCH('02_Buyers'!$S93,$AS$21:$AS$40,0))="","",INDEX($AU$21:$AU$40,MATCH('02_Buyers'!$S93,$AS$21:$AS$40,0))),""))</f>
        <v/>
      </c>
      <c r="AO96" s="37">
        <f>IF($AB96="","",IFERROR(IF(INDEX($AV$21:$AV$40,MATCH('02_Buyers'!$S93,$AS$21:$AS$40,0))="","",INDEX($AV$21:$AV$40,MATCH('02_Buyers'!$S93,$AS$21:$AS$40,0))),""))</f>
        <v/>
      </c>
      <c r="AP96" s="37">
        <f>IF(OR($AB96="",$AN96="",$AO96=""),"",IF($AN96&gt;$AO96,"국가등급 하향 — 한도 재산정",""))</f>
        <v/>
      </c>
      <c r="AQ96" s="37">
        <f>IF($AH96="선적 보류",COUNTIF($AH$5:$AH96,"선적 보류"),"")</f>
        <v/>
      </c>
    </row>
    <row r="97">
      <c r="A97" t="inlineStr">
        <is>
          <t>INV-2608-0141</t>
        </is>
      </c>
      <c r="B97" t="inlineStr">
        <is>
          <t>B050</t>
        </is>
      </c>
      <c r="C97" t="inlineStr">
        <is>
          <t>USA</t>
        </is>
      </c>
      <c r="D97" t="inlineStr">
        <is>
          <t>OA</t>
        </is>
      </c>
      <c r="E97" t="inlineStr">
        <is>
          <t>USD</t>
        </is>
      </c>
      <c r="F97" t="inlineStr">
        <is>
          <t>Y</t>
        </is>
      </c>
      <c r="G97" s="32" t="n">
        <v>46263</v>
      </c>
      <c r="H97" s="32" t="n">
        <v>46323</v>
      </c>
      <c r="I97" s="82" t="n">
        <v>39580</v>
      </c>
      <c r="J97" s="82" t="n">
        <v>39580</v>
      </c>
      <c r="K97" t="inlineStr">
        <is>
          <t>N</t>
        </is>
      </c>
      <c r="L97" t="inlineStr">
        <is>
          <t>개별</t>
        </is>
      </c>
      <c r="N97" t="inlineStr">
        <is>
          <t>N</t>
        </is>
      </c>
      <c r="O97" s="37">
        <f>IF($A97="","",AsOf-$H97)</f>
        <v/>
      </c>
      <c r="P97" s="37">
        <f>IF($A97="","",IF($K97="Y","-",IF($O97&gt;=30,"D+30 최종통지·선적보류",IF($O97&gt;=15,"D+15 단호한 통지",IF($O97&gt;=7,"D+7 친절한 리마인더",IF(AND($O97&gt;=-3,$O97&lt;=-1),"D-3 사전 안내","모니터링"))))))</f>
        <v/>
      </c>
      <c r="Q97" s="83">
        <f>IF($A97="","",EDATE($H97,1))</f>
        <v/>
      </c>
      <c r="R97" s="37">
        <f>IF($A97="","",$Q97-AsOf)</f>
        <v/>
      </c>
      <c r="S97" s="37">
        <f>IF($A97="","",IF(OR($K97="Y",$F97&lt;&gt;"Y",$O97&lt;=0),"",IF($R97&lt;0,"통지 기한 경과 — 즉시 확인",IF($R97&lt;=NoticeWarnDays,"통지 기한 임박 — 사람 결정",""))))</f>
        <v/>
      </c>
      <c r="T97" s="83">
        <f>IF(OR($A97="",$F97&lt;&gt;"Y"),"",IF(IF($L97="",InsuranceType,$L97)="포괄",DATE(YEAR($G97),MONTH($G97)+1,20),WORKDAY($G97,10)))</f>
        <v/>
      </c>
      <c r="U97" s="83">
        <f>IF(OR($A97="",$M97=""),"",WORKDAY($M97,10))</f>
        <v/>
      </c>
      <c r="V97" s="37">
        <f>IF($A97="","",IF($N97="Y","사기 의심: 콜백 검증 전 대금 안내 중단",""))</f>
        <v/>
      </c>
      <c r="W97" s="37">
        <f>IF($A97="","",IF(AND($K97="N",$D97&lt;&gt;"LC_SIGHT",$D97&lt;&gt;"LC_USANCE",$D97&lt;&gt;"TT_ADV"),$O97,""))</f>
        <v/>
      </c>
      <c r="X97" s="37">
        <f>IF($A97="",0,IF(AND($K97="N",$D97&lt;&gt;"LC_SIGHT",$D97&lt;&gt;"LC_USANCE",$D97&lt;&gt;"TT_ADV",$O97&gt;=30),1,0))</f>
        <v/>
      </c>
      <c r="Y97" s="37">
        <f>IF($A97="","",IF($O97&lt;=0,"미연체",IF($O97&lt;=30,"1-30",IF($O97&lt;=90,"31-90",IF($O97&lt;=180,"91-180",IF($O97&lt;=365,"181-365","365+"))))))</f>
        <v/>
      </c>
      <c r="Z97" s="37">
        <f>IF($S97="통지 기한 임박 — 사람 결정",COUNTIF($S$5:$S97,"통지 기한 임박 — 사람 결정"),"")</f>
        <v/>
      </c>
      <c r="AB97" s="37">
        <f>IF('02_Buyers'!$A94="","",'02_Buyers'!$A94)</f>
        <v/>
      </c>
      <c r="AC97" s="37">
        <f>IF($AB97="","",'02_Buyers'!$AH94)</f>
        <v/>
      </c>
      <c r="AD97" s="37">
        <f>IF($AB97="","",COUNTIFS(inv_buyer,$AB97,inv_paid,"N"))</f>
        <v/>
      </c>
      <c r="AE97" s="40">
        <f>IF($AB97="","",SUMIFS(inv_usd,inv_buyer,$AB97,inv_paid,"N"))</f>
        <v/>
      </c>
      <c r="AF97" s="37">
        <f>IF($AB97="","",_xlfn.MAXIFS(inv_nonlc_dpd,inv_buyer,$AB97))</f>
        <v/>
      </c>
      <c r="AG97" s="37">
        <f>IF($AB97="","",COUNTIFS(inv_buyer,$AB97,inv_hold30,1))</f>
        <v/>
      </c>
      <c r="AH97" s="37">
        <f>IF($AB97="","",IF(OR($AC97=1,$AG97&gt;0),"선적 보류",""))</f>
        <v/>
      </c>
      <c r="AI97" s="37">
        <f>IF($AH97&lt;&gt;"선적 보류","","내부 에스컬레이션: 여신 한도 동결 제안(사람 승인)")</f>
        <v/>
      </c>
      <c r="AJ97" s="37">
        <f>IF($AB97="","",COUNTIFS(inv_buyer,$AB97,inv_alert,"통지 기한 임박*"))</f>
        <v/>
      </c>
      <c r="AK97" s="40">
        <f>IF($AB97="","",'10_LimitLP'!$F97)</f>
        <v/>
      </c>
      <c r="AL97" s="84">
        <f>IF(OR($AB97="",$AK97&lt;=0),"",$AE97/$AK97)</f>
        <v/>
      </c>
      <c r="AM97" s="37">
        <f>IF($AL97="","",IF($AL97&gt;=0.8,"사용률 80%↑ — 출고 전 사전승인(제18조)",""))</f>
        <v/>
      </c>
      <c r="AN97" s="37">
        <f>IF($AB97="","",IFERROR(IF(INDEX($AU$21:$AU$40,MATCH('02_Buyers'!$S94,$AS$21:$AS$40,0))="","",INDEX($AU$21:$AU$40,MATCH('02_Buyers'!$S94,$AS$21:$AS$40,0))),""))</f>
        <v/>
      </c>
      <c r="AO97" s="37">
        <f>IF($AB97="","",IFERROR(IF(INDEX($AV$21:$AV$40,MATCH('02_Buyers'!$S94,$AS$21:$AS$40,0))="","",INDEX($AV$21:$AV$40,MATCH('02_Buyers'!$S94,$AS$21:$AS$40,0))),""))</f>
        <v/>
      </c>
      <c r="AP97" s="37">
        <f>IF(OR($AB97="",$AN97="",$AO97=""),"",IF($AN97&gt;$AO97,"국가등급 하향 — 한도 재산정",""))</f>
        <v/>
      </c>
      <c r="AQ97" s="37">
        <f>IF($AH97="선적 보류",COUNTIF($AH$5:$AH97,"선적 보류"),"")</f>
        <v/>
      </c>
    </row>
    <row r="98">
      <c r="A98" t="inlineStr">
        <is>
          <t>INV-2608-0145</t>
        </is>
      </c>
      <c r="B98" t="inlineStr">
        <is>
          <t>B050</t>
        </is>
      </c>
      <c r="C98" t="inlineStr">
        <is>
          <t>USA</t>
        </is>
      </c>
      <c r="D98" t="inlineStr">
        <is>
          <t>OA</t>
        </is>
      </c>
      <c r="E98" t="inlineStr">
        <is>
          <t>USD</t>
        </is>
      </c>
      <c r="F98" t="inlineStr">
        <is>
          <t>Y</t>
        </is>
      </c>
      <c r="G98" s="32" t="n">
        <v>46264</v>
      </c>
      <c r="H98" s="32" t="n">
        <v>46324</v>
      </c>
      <c r="I98" s="82" t="n">
        <v>12930</v>
      </c>
      <c r="J98" s="82" t="n">
        <v>12930</v>
      </c>
      <c r="K98" t="inlineStr">
        <is>
          <t>N</t>
        </is>
      </c>
      <c r="L98" t="inlineStr">
        <is>
          <t>개별</t>
        </is>
      </c>
      <c r="N98" t="inlineStr">
        <is>
          <t>N</t>
        </is>
      </c>
      <c r="O98" s="37">
        <f>IF($A98="","",AsOf-$H98)</f>
        <v/>
      </c>
      <c r="P98" s="37">
        <f>IF($A98="","",IF($K98="Y","-",IF($O98&gt;=30,"D+30 최종통지·선적보류",IF($O98&gt;=15,"D+15 단호한 통지",IF($O98&gt;=7,"D+7 친절한 리마인더",IF(AND($O98&gt;=-3,$O98&lt;=-1),"D-3 사전 안내","모니터링"))))))</f>
        <v/>
      </c>
      <c r="Q98" s="83">
        <f>IF($A98="","",EDATE($H98,1))</f>
        <v/>
      </c>
      <c r="R98" s="37">
        <f>IF($A98="","",$Q98-AsOf)</f>
        <v/>
      </c>
      <c r="S98" s="37">
        <f>IF($A98="","",IF(OR($K98="Y",$F98&lt;&gt;"Y",$O98&lt;=0),"",IF($R98&lt;0,"통지 기한 경과 — 즉시 확인",IF($R98&lt;=NoticeWarnDays,"통지 기한 임박 — 사람 결정",""))))</f>
        <v/>
      </c>
      <c r="T98" s="83">
        <f>IF(OR($A98="",$F98&lt;&gt;"Y"),"",IF(IF($L98="",InsuranceType,$L98)="포괄",DATE(YEAR($G98),MONTH($G98)+1,20),WORKDAY($G98,10)))</f>
        <v/>
      </c>
      <c r="U98" s="83">
        <f>IF(OR($A98="",$M98=""),"",WORKDAY($M98,10))</f>
        <v/>
      </c>
      <c r="V98" s="37">
        <f>IF($A98="","",IF($N98="Y","사기 의심: 콜백 검증 전 대금 안내 중단",""))</f>
        <v/>
      </c>
      <c r="W98" s="37">
        <f>IF($A98="","",IF(AND($K98="N",$D98&lt;&gt;"LC_SIGHT",$D98&lt;&gt;"LC_USANCE",$D98&lt;&gt;"TT_ADV"),$O98,""))</f>
        <v/>
      </c>
      <c r="X98" s="37">
        <f>IF($A98="",0,IF(AND($K98="N",$D98&lt;&gt;"LC_SIGHT",$D98&lt;&gt;"LC_USANCE",$D98&lt;&gt;"TT_ADV",$O98&gt;=30),1,0))</f>
        <v/>
      </c>
      <c r="Y98" s="37">
        <f>IF($A98="","",IF($O98&lt;=0,"미연체",IF($O98&lt;=30,"1-30",IF($O98&lt;=90,"31-90",IF($O98&lt;=180,"91-180",IF($O98&lt;=365,"181-365","365+"))))))</f>
        <v/>
      </c>
      <c r="Z98" s="37">
        <f>IF($S98="통지 기한 임박 — 사람 결정",COUNTIF($S$5:$S98,"통지 기한 임박 — 사람 결정"),"")</f>
        <v/>
      </c>
      <c r="AB98" s="37">
        <f>IF('02_Buyers'!$A95="","",'02_Buyers'!$A95)</f>
        <v/>
      </c>
      <c r="AC98" s="37">
        <f>IF($AB98="","",'02_Buyers'!$AH95)</f>
        <v/>
      </c>
      <c r="AD98" s="37">
        <f>IF($AB98="","",COUNTIFS(inv_buyer,$AB98,inv_paid,"N"))</f>
        <v/>
      </c>
      <c r="AE98" s="40">
        <f>IF($AB98="","",SUMIFS(inv_usd,inv_buyer,$AB98,inv_paid,"N"))</f>
        <v/>
      </c>
      <c r="AF98" s="37">
        <f>IF($AB98="","",_xlfn.MAXIFS(inv_nonlc_dpd,inv_buyer,$AB98))</f>
        <v/>
      </c>
      <c r="AG98" s="37">
        <f>IF($AB98="","",COUNTIFS(inv_buyer,$AB98,inv_hold30,1))</f>
        <v/>
      </c>
      <c r="AH98" s="37">
        <f>IF($AB98="","",IF(OR($AC98=1,$AG98&gt;0),"선적 보류",""))</f>
        <v/>
      </c>
      <c r="AI98" s="37">
        <f>IF($AH98&lt;&gt;"선적 보류","","내부 에스컬레이션: 여신 한도 동결 제안(사람 승인)")</f>
        <v/>
      </c>
      <c r="AJ98" s="37">
        <f>IF($AB98="","",COUNTIFS(inv_buyer,$AB98,inv_alert,"통지 기한 임박*"))</f>
        <v/>
      </c>
      <c r="AK98" s="40">
        <f>IF($AB98="","",'10_LimitLP'!$F98)</f>
        <v/>
      </c>
      <c r="AL98" s="84">
        <f>IF(OR($AB98="",$AK98&lt;=0),"",$AE98/$AK98)</f>
        <v/>
      </c>
      <c r="AM98" s="37">
        <f>IF($AL98="","",IF($AL98&gt;=0.8,"사용률 80%↑ — 출고 전 사전승인(제18조)",""))</f>
        <v/>
      </c>
      <c r="AN98" s="37">
        <f>IF($AB98="","",IFERROR(IF(INDEX($AU$21:$AU$40,MATCH('02_Buyers'!$S95,$AS$21:$AS$40,0))="","",INDEX($AU$21:$AU$40,MATCH('02_Buyers'!$S95,$AS$21:$AS$40,0))),""))</f>
        <v/>
      </c>
      <c r="AO98" s="37">
        <f>IF($AB98="","",IFERROR(IF(INDEX($AV$21:$AV$40,MATCH('02_Buyers'!$S95,$AS$21:$AS$40,0))="","",INDEX($AV$21:$AV$40,MATCH('02_Buyers'!$S95,$AS$21:$AS$40,0))),""))</f>
        <v/>
      </c>
      <c r="AP98" s="37">
        <f>IF(OR($AB98="",$AN98="",$AO98=""),"",IF($AN98&gt;$AO98,"국가등급 하향 — 한도 재산정",""))</f>
        <v/>
      </c>
      <c r="AQ98" s="37">
        <f>IF($AH98="선적 보류",COUNTIF($AH$5:$AH98,"선적 보류"),"")</f>
        <v/>
      </c>
    </row>
    <row r="99">
      <c r="A99" t="inlineStr">
        <is>
          <t>INV-2609-0071</t>
        </is>
      </c>
      <c r="B99" t="inlineStr">
        <is>
          <t>B050</t>
        </is>
      </c>
      <c r="C99" t="inlineStr">
        <is>
          <t>USA</t>
        </is>
      </c>
      <c r="D99" t="inlineStr">
        <is>
          <t>OA</t>
        </is>
      </c>
      <c r="E99" t="inlineStr">
        <is>
          <t>USD</t>
        </is>
      </c>
      <c r="F99" t="inlineStr">
        <is>
          <t>Y</t>
        </is>
      </c>
      <c r="G99" s="32" t="n">
        <v>46278</v>
      </c>
      <c r="H99" s="32" t="n">
        <v>46338</v>
      </c>
      <c r="I99" s="82" t="n">
        <v>12660</v>
      </c>
      <c r="J99" s="82" t="n">
        <v>12660</v>
      </c>
      <c r="K99" t="inlineStr">
        <is>
          <t>N</t>
        </is>
      </c>
      <c r="L99" t="inlineStr">
        <is>
          <t>개별</t>
        </is>
      </c>
      <c r="N99" t="inlineStr">
        <is>
          <t>N</t>
        </is>
      </c>
      <c r="O99" s="37">
        <f>IF($A99="","",AsOf-$H99)</f>
        <v/>
      </c>
      <c r="P99" s="37">
        <f>IF($A99="","",IF($K99="Y","-",IF($O99&gt;=30,"D+30 최종통지·선적보류",IF($O99&gt;=15,"D+15 단호한 통지",IF($O99&gt;=7,"D+7 친절한 리마인더",IF(AND($O99&gt;=-3,$O99&lt;=-1),"D-3 사전 안내","모니터링"))))))</f>
        <v/>
      </c>
      <c r="Q99" s="83">
        <f>IF($A99="","",EDATE($H99,1))</f>
        <v/>
      </c>
      <c r="R99" s="37">
        <f>IF($A99="","",$Q99-AsOf)</f>
        <v/>
      </c>
      <c r="S99" s="37">
        <f>IF($A99="","",IF(OR($K99="Y",$F99&lt;&gt;"Y",$O99&lt;=0),"",IF($R99&lt;0,"통지 기한 경과 — 즉시 확인",IF($R99&lt;=NoticeWarnDays,"통지 기한 임박 — 사람 결정",""))))</f>
        <v/>
      </c>
      <c r="T99" s="83">
        <f>IF(OR($A99="",$F99&lt;&gt;"Y"),"",IF(IF($L99="",InsuranceType,$L99)="포괄",DATE(YEAR($G99),MONTH($G99)+1,20),WORKDAY($G99,10)))</f>
        <v/>
      </c>
      <c r="U99" s="83">
        <f>IF(OR($A99="",$M99=""),"",WORKDAY($M99,10))</f>
        <v/>
      </c>
      <c r="V99" s="37">
        <f>IF($A99="","",IF($N99="Y","사기 의심: 콜백 검증 전 대금 안내 중단",""))</f>
        <v/>
      </c>
      <c r="W99" s="37">
        <f>IF($A99="","",IF(AND($K99="N",$D99&lt;&gt;"LC_SIGHT",$D99&lt;&gt;"LC_USANCE",$D99&lt;&gt;"TT_ADV"),$O99,""))</f>
        <v/>
      </c>
      <c r="X99" s="37">
        <f>IF($A99="",0,IF(AND($K99="N",$D99&lt;&gt;"LC_SIGHT",$D99&lt;&gt;"LC_USANCE",$D99&lt;&gt;"TT_ADV",$O99&gt;=30),1,0))</f>
        <v/>
      </c>
      <c r="Y99" s="37">
        <f>IF($A99="","",IF($O99&lt;=0,"미연체",IF($O99&lt;=30,"1-30",IF($O99&lt;=90,"31-90",IF($O99&lt;=180,"91-180",IF($O99&lt;=365,"181-365","365+"))))))</f>
        <v/>
      </c>
      <c r="Z99" s="37">
        <f>IF($S99="통지 기한 임박 — 사람 결정",COUNTIF($S$5:$S99,"통지 기한 임박 — 사람 결정"),"")</f>
        <v/>
      </c>
      <c r="AB99" s="37">
        <f>IF('02_Buyers'!$A96="","",'02_Buyers'!$A96)</f>
        <v/>
      </c>
      <c r="AC99" s="37">
        <f>IF($AB99="","",'02_Buyers'!$AH96)</f>
        <v/>
      </c>
      <c r="AD99" s="37">
        <f>IF($AB99="","",COUNTIFS(inv_buyer,$AB99,inv_paid,"N"))</f>
        <v/>
      </c>
      <c r="AE99" s="40">
        <f>IF($AB99="","",SUMIFS(inv_usd,inv_buyer,$AB99,inv_paid,"N"))</f>
        <v/>
      </c>
      <c r="AF99" s="37">
        <f>IF($AB99="","",_xlfn.MAXIFS(inv_nonlc_dpd,inv_buyer,$AB99))</f>
        <v/>
      </c>
      <c r="AG99" s="37">
        <f>IF($AB99="","",COUNTIFS(inv_buyer,$AB99,inv_hold30,1))</f>
        <v/>
      </c>
      <c r="AH99" s="37">
        <f>IF($AB99="","",IF(OR($AC99=1,$AG99&gt;0),"선적 보류",""))</f>
        <v/>
      </c>
      <c r="AI99" s="37">
        <f>IF($AH99&lt;&gt;"선적 보류","","내부 에스컬레이션: 여신 한도 동결 제안(사람 승인)")</f>
        <v/>
      </c>
      <c r="AJ99" s="37">
        <f>IF($AB99="","",COUNTIFS(inv_buyer,$AB99,inv_alert,"통지 기한 임박*"))</f>
        <v/>
      </c>
      <c r="AK99" s="40">
        <f>IF($AB99="","",'10_LimitLP'!$F99)</f>
        <v/>
      </c>
      <c r="AL99" s="84">
        <f>IF(OR($AB99="",$AK99&lt;=0),"",$AE99/$AK99)</f>
        <v/>
      </c>
      <c r="AM99" s="37">
        <f>IF($AL99="","",IF($AL99&gt;=0.8,"사용률 80%↑ — 출고 전 사전승인(제18조)",""))</f>
        <v/>
      </c>
      <c r="AN99" s="37">
        <f>IF($AB99="","",IFERROR(IF(INDEX($AU$21:$AU$40,MATCH('02_Buyers'!$S96,$AS$21:$AS$40,0))="","",INDEX($AU$21:$AU$40,MATCH('02_Buyers'!$S96,$AS$21:$AS$40,0))),""))</f>
        <v/>
      </c>
      <c r="AO99" s="37">
        <f>IF($AB99="","",IFERROR(IF(INDEX($AV$21:$AV$40,MATCH('02_Buyers'!$S96,$AS$21:$AS$40,0))="","",INDEX($AV$21:$AV$40,MATCH('02_Buyers'!$S96,$AS$21:$AS$40,0))),""))</f>
        <v/>
      </c>
      <c r="AP99" s="37">
        <f>IF(OR($AB99="",$AN99="",$AO99=""),"",IF($AN99&gt;$AO99,"국가등급 하향 — 한도 재산정",""))</f>
        <v/>
      </c>
      <c r="AQ99" s="37">
        <f>IF($AH99="선적 보류",COUNTIF($AH$5:$AH99,"선적 보류"),"")</f>
        <v/>
      </c>
    </row>
    <row r="100">
      <c r="A100" t="inlineStr">
        <is>
          <t>INV-2609-0152</t>
        </is>
      </c>
      <c r="B100" t="inlineStr">
        <is>
          <t>B050</t>
        </is>
      </c>
      <c r="C100" t="inlineStr">
        <is>
          <t>USA</t>
        </is>
      </c>
      <c r="D100" t="inlineStr">
        <is>
          <t>OA</t>
        </is>
      </c>
      <c r="E100" t="inlineStr">
        <is>
          <t>USD</t>
        </is>
      </c>
      <c r="F100" t="inlineStr">
        <is>
          <t>Y</t>
        </is>
      </c>
      <c r="G100" s="32" t="n">
        <v>46293</v>
      </c>
      <c r="H100" s="32" t="n">
        <v>46353</v>
      </c>
      <c r="I100" s="82" t="n">
        <v>1930</v>
      </c>
      <c r="J100" s="82" t="n">
        <v>1930</v>
      </c>
      <c r="K100" t="inlineStr">
        <is>
          <t>N</t>
        </is>
      </c>
      <c r="L100" t="inlineStr">
        <is>
          <t>개별</t>
        </is>
      </c>
      <c r="N100" t="inlineStr">
        <is>
          <t>N</t>
        </is>
      </c>
      <c r="O100" s="37">
        <f>IF($A100="","",AsOf-$H100)</f>
        <v/>
      </c>
      <c r="P100" s="37">
        <f>IF($A100="","",IF($K100="Y","-",IF($O100&gt;=30,"D+30 최종통지·선적보류",IF($O100&gt;=15,"D+15 단호한 통지",IF($O100&gt;=7,"D+7 친절한 리마인더",IF(AND($O100&gt;=-3,$O100&lt;=-1),"D-3 사전 안내","모니터링"))))))</f>
        <v/>
      </c>
      <c r="Q100" s="83">
        <f>IF($A100="","",EDATE($H100,1))</f>
        <v/>
      </c>
      <c r="R100" s="37">
        <f>IF($A100="","",$Q100-AsOf)</f>
        <v/>
      </c>
      <c r="S100" s="37">
        <f>IF($A100="","",IF(OR($K100="Y",$F100&lt;&gt;"Y",$O100&lt;=0),"",IF($R100&lt;0,"통지 기한 경과 — 즉시 확인",IF($R100&lt;=NoticeWarnDays,"통지 기한 임박 — 사람 결정",""))))</f>
        <v/>
      </c>
      <c r="T100" s="83">
        <f>IF(OR($A100="",$F100&lt;&gt;"Y"),"",IF(IF($L100="",InsuranceType,$L100)="포괄",DATE(YEAR($G100),MONTH($G100)+1,20),WORKDAY($G100,10)))</f>
        <v/>
      </c>
      <c r="U100" s="83">
        <f>IF(OR($A100="",$M100=""),"",WORKDAY($M100,10))</f>
        <v/>
      </c>
      <c r="V100" s="37">
        <f>IF($A100="","",IF($N100="Y","사기 의심: 콜백 검증 전 대금 안내 중단",""))</f>
        <v/>
      </c>
      <c r="W100" s="37">
        <f>IF($A100="","",IF(AND($K100="N",$D100&lt;&gt;"LC_SIGHT",$D100&lt;&gt;"LC_USANCE",$D100&lt;&gt;"TT_ADV"),$O100,""))</f>
        <v/>
      </c>
      <c r="X100" s="37">
        <f>IF($A100="",0,IF(AND($K100="N",$D100&lt;&gt;"LC_SIGHT",$D100&lt;&gt;"LC_USANCE",$D100&lt;&gt;"TT_ADV",$O100&gt;=30),1,0))</f>
        <v/>
      </c>
      <c r="Y100" s="37">
        <f>IF($A100="","",IF($O100&lt;=0,"미연체",IF($O100&lt;=30,"1-30",IF($O100&lt;=90,"31-90",IF($O100&lt;=180,"91-180",IF($O100&lt;=365,"181-365","365+"))))))</f>
        <v/>
      </c>
      <c r="Z100" s="37">
        <f>IF($S100="통지 기한 임박 — 사람 결정",COUNTIF($S$5:$S100,"통지 기한 임박 — 사람 결정"),"")</f>
        <v/>
      </c>
      <c r="AB100" s="37">
        <f>IF('02_Buyers'!$A97="","",'02_Buyers'!$A97)</f>
        <v/>
      </c>
      <c r="AC100" s="37">
        <f>IF($AB100="","",'02_Buyers'!$AH97)</f>
        <v/>
      </c>
      <c r="AD100" s="37">
        <f>IF($AB100="","",COUNTIFS(inv_buyer,$AB100,inv_paid,"N"))</f>
        <v/>
      </c>
      <c r="AE100" s="40">
        <f>IF($AB100="","",SUMIFS(inv_usd,inv_buyer,$AB100,inv_paid,"N"))</f>
        <v/>
      </c>
      <c r="AF100" s="37">
        <f>IF($AB100="","",_xlfn.MAXIFS(inv_nonlc_dpd,inv_buyer,$AB100))</f>
        <v/>
      </c>
      <c r="AG100" s="37">
        <f>IF($AB100="","",COUNTIFS(inv_buyer,$AB100,inv_hold30,1))</f>
        <v/>
      </c>
      <c r="AH100" s="37">
        <f>IF($AB100="","",IF(OR($AC100=1,$AG100&gt;0),"선적 보류",""))</f>
        <v/>
      </c>
      <c r="AI100" s="37">
        <f>IF($AH100&lt;&gt;"선적 보류","","내부 에스컬레이션: 여신 한도 동결 제안(사람 승인)")</f>
        <v/>
      </c>
      <c r="AJ100" s="37">
        <f>IF($AB100="","",COUNTIFS(inv_buyer,$AB100,inv_alert,"통지 기한 임박*"))</f>
        <v/>
      </c>
      <c r="AK100" s="40">
        <f>IF($AB100="","",'10_LimitLP'!$F100)</f>
        <v/>
      </c>
      <c r="AL100" s="84">
        <f>IF(OR($AB100="",$AK100&lt;=0),"",$AE100/$AK100)</f>
        <v/>
      </c>
      <c r="AM100" s="37">
        <f>IF($AL100="","",IF($AL100&gt;=0.8,"사용률 80%↑ — 출고 전 사전승인(제18조)",""))</f>
        <v/>
      </c>
      <c r="AN100" s="37">
        <f>IF($AB100="","",IFERROR(IF(INDEX($AU$21:$AU$40,MATCH('02_Buyers'!$S97,$AS$21:$AS$40,0))="","",INDEX($AU$21:$AU$40,MATCH('02_Buyers'!$S97,$AS$21:$AS$40,0))),""))</f>
        <v/>
      </c>
      <c r="AO100" s="37">
        <f>IF($AB100="","",IFERROR(IF(INDEX($AV$21:$AV$40,MATCH('02_Buyers'!$S97,$AS$21:$AS$40,0))="","",INDEX($AV$21:$AV$40,MATCH('02_Buyers'!$S97,$AS$21:$AS$40,0))),""))</f>
        <v/>
      </c>
      <c r="AP100" s="37">
        <f>IF(OR($AB100="",$AN100="",$AO100=""),"",IF($AN100&gt;$AO100,"국가등급 하향 — 한도 재산정",""))</f>
        <v/>
      </c>
      <c r="AQ100" s="37">
        <f>IF($AH100="선적 보류",COUNTIF($AH$5:$AH100,"선적 보류"),"")</f>
        <v/>
      </c>
    </row>
    <row r="101">
      <c r="A101" t="inlineStr">
        <is>
          <t>INV-2608-0098</t>
        </is>
      </c>
      <c r="B101" t="inlineStr">
        <is>
          <t>B053</t>
        </is>
      </c>
      <c r="C101" t="inlineStr">
        <is>
          <t>DEU</t>
        </is>
      </c>
      <c r="D101" t="inlineStr">
        <is>
          <t>OA</t>
        </is>
      </c>
      <c r="E101" t="inlineStr">
        <is>
          <t>EUR</t>
        </is>
      </c>
      <c r="F101" t="inlineStr">
        <is>
          <t>N</t>
        </is>
      </c>
      <c r="G101" s="32" t="n">
        <v>46255</v>
      </c>
      <c r="H101" s="32" t="n">
        <v>46315</v>
      </c>
      <c r="I101" s="82" t="n">
        <v>18450</v>
      </c>
      <c r="J101" s="82" t="n">
        <v>21032.98</v>
      </c>
      <c r="K101" t="inlineStr">
        <is>
          <t>N</t>
        </is>
      </c>
      <c r="N101" t="inlineStr">
        <is>
          <t>N</t>
        </is>
      </c>
      <c r="O101" s="37">
        <f>IF($A101="","",AsOf-$H101)</f>
        <v/>
      </c>
      <c r="P101" s="37">
        <f>IF($A101="","",IF($K101="Y","-",IF($O101&gt;=30,"D+30 최종통지·선적보류",IF($O101&gt;=15,"D+15 단호한 통지",IF($O101&gt;=7,"D+7 친절한 리마인더",IF(AND($O101&gt;=-3,$O101&lt;=-1),"D-3 사전 안내","모니터링"))))))</f>
        <v/>
      </c>
      <c r="Q101" s="83">
        <f>IF($A101="","",EDATE($H101,1))</f>
        <v/>
      </c>
      <c r="R101" s="37">
        <f>IF($A101="","",$Q101-AsOf)</f>
        <v/>
      </c>
      <c r="S101" s="37">
        <f>IF($A101="","",IF(OR($K101="Y",$F101&lt;&gt;"Y",$O101&lt;=0),"",IF($R101&lt;0,"통지 기한 경과 — 즉시 확인",IF($R101&lt;=NoticeWarnDays,"통지 기한 임박 — 사람 결정",""))))</f>
        <v/>
      </c>
      <c r="T101" s="83">
        <f>IF(OR($A101="",$F101&lt;&gt;"Y"),"",IF(IF($L101="",InsuranceType,$L101)="포괄",DATE(YEAR($G101),MONTH($G101)+1,20),WORKDAY($G101,10)))</f>
        <v/>
      </c>
      <c r="U101" s="83">
        <f>IF(OR($A101="",$M101=""),"",WORKDAY($M101,10))</f>
        <v/>
      </c>
      <c r="V101" s="37">
        <f>IF($A101="","",IF($N101="Y","사기 의심: 콜백 검증 전 대금 안내 중단",""))</f>
        <v/>
      </c>
      <c r="W101" s="37">
        <f>IF($A101="","",IF(AND($K101="N",$D101&lt;&gt;"LC_SIGHT",$D101&lt;&gt;"LC_USANCE",$D101&lt;&gt;"TT_ADV"),$O101,""))</f>
        <v/>
      </c>
      <c r="X101" s="37">
        <f>IF($A101="",0,IF(AND($K101="N",$D101&lt;&gt;"LC_SIGHT",$D101&lt;&gt;"LC_USANCE",$D101&lt;&gt;"TT_ADV",$O101&gt;=30),1,0))</f>
        <v/>
      </c>
      <c r="Y101" s="37">
        <f>IF($A101="","",IF($O101&lt;=0,"미연체",IF($O101&lt;=30,"1-30",IF($O101&lt;=90,"31-90",IF($O101&lt;=180,"91-180",IF($O101&lt;=365,"181-365","365+"))))))</f>
        <v/>
      </c>
      <c r="Z101" s="37">
        <f>IF($S101="통지 기한 임박 — 사람 결정",COUNTIF($S$5:$S101,"통지 기한 임박 — 사람 결정"),"")</f>
        <v/>
      </c>
      <c r="AB101" s="37">
        <f>IF('02_Buyers'!$A98="","",'02_Buyers'!$A98)</f>
        <v/>
      </c>
      <c r="AC101" s="37">
        <f>IF($AB101="","",'02_Buyers'!$AH98)</f>
        <v/>
      </c>
      <c r="AD101" s="37">
        <f>IF($AB101="","",COUNTIFS(inv_buyer,$AB101,inv_paid,"N"))</f>
        <v/>
      </c>
      <c r="AE101" s="40">
        <f>IF($AB101="","",SUMIFS(inv_usd,inv_buyer,$AB101,inv_paid,"N"))</f>
        <v/>
      </c>
      <c r="AF101" s="37">
        <f>IF($AB101="","",_xlfn.MAXIFS(inv_nonlc_dpd,inv_buyer,$AB101))</f>
        <v/>
      </c>
      <c r="AG101" s="37">
        <f>IF($AB101="","",COUNTIFS(inv_buyer,$AB101,inv_hold30,1))</f>
        <v/>
      </c>
      <c r="AH101" s="37">
        <f>IF($AB101="","",IF(OR($AC101=1,$AG101&gt;0),"선적 보류",""))</f>
        <v/>
      </c>
      <c r="AI101" s="37">
        <f>IF($AH101&lt;&gt;"선적 보류","","내부 에스컬레이션: 여신 한도 동결 제안(사람 승인)")</f>
        <v/>
      </c>
      <c r="AJ101" s="37">
        <f>IF($AB101="","",COUNTIFS(inv_buyer,$AB101,inv_alert,"통지 기한 임박*"))</f>
        <v/>
      </c>
      <c r="AK101" s="40">
        <f>IF($AB101="","",'10_LimitLP'!$F101)</f>
        <v/>
      </c>
      <c r="AL101" s="84">
        <f>IF(OR($AB101="",$AK101&lt;=0),"",$AE101/$AK101)</f>
        <v/>
      </c>
      <c r="AM101" s="37">
        <f>IF($AL101="","",IF($AL101&gt;=0.8,"사용률 80%↑ — 출고 전 사전승인(제18조)",""))</f>
        <v/>
      </c>
      <c r="AN101" s="37">
        <f>IF($AB101="","",IFERROR(IF(INDEX($AU$21:$AU$40,MATCH('02_Buyers'!$S98,$AS$21:$AS$40,0))="","",INDEX($AU$21:$AU$40,MATCH('02_Buyers'!$S98,$AS$21:$AS$40,0))),""))</f>
        <v/>
      </c>
      <c r="AO101" s="37">
        <f>IF($AB101="","",IFERROR(IF(INDEX($AV$21:$AV$40,MATCH('02_Buyers'!$S98,$AS$21:$AS$40,0))="","",INDEX($AV$21:$AV$40,MATCH('02_Buyers'!$S98,$AS$21:$AS$40,0))),""))</f>
        <v/>
      </c>
      <c r="AP101" s="37">
        <f>IF(OR($AB101="",$AN101="",$AO101=""),"",IF($AN101&gt;$AO101,"국가등급 하향 — 한도 재산정",""))</f>
        <v/>
      </c>
      <c r="AQ101" s="37">
        <f>IF($AH101="선적 보류",COUNTIF($AH$5:$AH101,"선적 보류"),"")</f>
        <v/>
      </c>
    </row>
    <row r="102">
      <c r="A102" t="inlineStr">
        <is>
          <t>INV-2609-0006</t>
        </is>
      </c>
      <c r="B102" t="inlineStr">
        <is>
          <t>B053</t>
        </is>
      </c>
      <c r="C102" t="inlineStr">
        <is>
          <t>DEU</t>
        </is>
      </c>
      <c r="D102" t="inlineStr">
        <is>
          <t>OA</t>
        </is>
      </c>
      <c r="E102" t="inlineStr">
        <is>
          <t>EUR</t>
        </is>
      </c>
      <c r="F102" t="inlineStr">
        <is>
          <t>N</t>
        </is>
      </c>
      <c r="G102" s="32" t="n">
        <v>46267</v>
      </c>
      <c r="H102" s="32" t="n">
        <v>46327</v>
      </c>
      <c r="I102" s="82" t="n">
        <v>7280</v>
      </c>
      <c r="J102" s="82" t="n">
        <v>8299.190000000001</v>
      </c>
      <c r="K102" t="inlineStr">
        <is>
          <t>N</t>
        </is>
      </c>
      <c r="N102" t="inlineStr">
        <is>
          <t>N</t>
        </is>
      </c>
      <c r="O102" s="37">
        <f>IF($A102="","",AsOf-$H102)</f>
        <v/>
      </c>
      <c r="P102" s="37">
        <f>IF($A102="","",IF($K102="Y","-",IF($O102&gt;=30,"D+30 최종통지·선적보류",IF($O102&gt;=15,"D+15 단호한 통지",IF($O102&gt;=7,"D+7 친절한 리마인더",IF(AND($O102&gt;=-3,$O102&lt;=-1),"D-3 사전 안내","모니터링"))))))</f>
        <v/>
      </c>
      <c r="Q102" s="83">
        <f>IF($A102="","",EDATE($H102,1))</f>
        <v/>
      </c>
      <c r="R102" s="37">
        <f>IF($A102="","",$Q102-AsOf)</f>
        <v/>
      </c>
      <c r="S102" s="37">
        <f>IF($A102="","",IF(OR($K102="Y",$F102&lt;&gt;"Y",$O102&lt;=0),"",IF($R102&lt;0,"통지 기한 경과 — 즉시 확인",IF($R102&lt;=NoticeWarnDays,"통지 기한 임박 — 사람 결정",""))))</f>
        <v/>
      </c>
      <c r="T102" s="83">
        <f>IF(OR($A102="",$F102&lt;&gt;"Y"),"",IF(IF($L102="",InsuranceType,$L102)="포괄",DATE(YEAR($G102),MONTH($G102)+1,20),WORKDAY($G102,10)))</f>
        <v/>
      </c>
      <c r="U102" s="83">
        <f>IF(OR($A102="",$M102=""),"",WORKDAY($M102,10))</f>
        <v/>
      </c>
      <c r="V102" s="37">
        <f>IF($A102="","",IF($N102="Y","사기 의심: 콜백 검증 전 대금 안내 중단",""))</f>
        <v/>
      </c>
      <c r="W102" s="37">
        <f>IF($A102="","",IF(AND($K102="N",$D102&lt;&gt;"LC_SIGHT",$D102&lt;&gt;"LC_USANCE",$D102&lt;&gt;"TT_ADV"),$O102,""))</f>
        <v/>
      </c>
      <c r="X102" s="37">
        <f>IF($A102="",0,IF(AND($K102="N",$D102&lt;&gt;"LC_SIGHT",$D102&lt;&gt;"LC_USANCE",$D102&lt;&gt;"TT_ADV",$O102&gt;=30),1,0))</f>
        <v/>
      </c>
      <c r="Y102" s="37">
        <f>IF($A102="","",IF($O102&lt;=0,"미연체",IF($O102&lt;=30,"1-30",IF($O102&lt;=90,"31-90",IF($O102&lt;=180,"91-180",IF($O102&lt;=365,"181-365","365+"))))))</f>
        <v/>
      </c>
      <c r="Z102" s="37">
        <f>IF($S102="통지 기한 임박 — 사람 결정",COUNTIF($S$5:$S102,"통지 기한 임박 — 사람 결정"),"")</f>
        <v/>
      </c>
      <c r="AB102" s="37">
        <f>IF('02_Buyers'!$A99="","",'02_Buyers'!$A99)</f>
        <v/>
      </c>
      <c r="AC102" s="37">
        <f>IF($AB102="","",'02_Buyers'!$AH99)</f>
        <v/>
      </c>
      <c r="AD102" s="37">
        <f>IF($AB102="","",COUNTIFS(inv_buyer,$AB102,inv_paid,"N"))</f>
        <v/>
      </c>
      <c r="AE102" s="40">
        <f>IF($AB102="","",SUMIFS(inv_usd,inv_buyer,$AB102,inv_paid,"N"))</f>
        <v/>
      </c>
      <c r="AF102" s="37">
        <f>IF($AB102="","",_xlfn.MAXIFS(inv_nonlc_dpd,inv_buyer,$AB102))</f>
        <v/>
      </c>
      <c r="AG102" s="37">
        <f>IF($AB102="","",COUNTIFS(inv_buyer,$AB102,inv_hold30,1))</f>
        <v/>
      </c>
      <c r="AH102" s="37">
        <f>IF($AB102="","",IF(OR($AC102=1,$AG102&gt;0),"선적 보류",""))</f>
        <v/>
      </c>
      <c r="AI102" s="37">
        <f>IF($AH102&lt;&gt;"선적 보류","","내부 에스컬레이션: 여신 한도 동결 제안(사람 승인)")</f>
        <v/>
      </c>
      <c r="AJ102" s="37">
        <f>IF($AB102="","",COUNTIFS(inv_buyer,$AB102,inv_alert,"통지 기한 임박*"))</f>
        <v/>
      </c>
      <c r="AK102" s="40">
        <f>IF($AB102="","",'10_LimitLP'!$F102)</f>
        <v/>
      </c>
      <c r="AL102" s="84">
        <f>IF(OR($AB102="",$AK102&lt;=0),"",$AE102/$AK102)</f>
        <v/>
      </c>
      <c r="AM102" s="37">
        <f>IF($AL102="","",IF($AL102&gt;=0.8,"사용률 80%↑ — 출고 전 사전승인(제18조)",""))</f>
        <v/>
      </c>
      <c r="AN102" s="37">
        <f>IF($AB102="","",IFERROR(IF(INDEX($AU$21:$AU$40,MATCH('02_Buyers'!$S99,$AS$21:$AS$40,0))="","",INDEX($AU$21:$AU$40,MATCH('02_Buyers'!$S99,$AS$21:$AS$40,0))),""))</f>
        <v/>
      </c>
      <c r="AO102" s="37">
        <f>IF($AB102="","",IFERROR(IF(INDEX($AV$21:$AV$40,MATCH('02_Buyers'!$S99,$AS$21:$AS$40,0))="","",INDEX($AV$21:$AV$40,MATCH('02_Buyers'!$S99,$AS$21:$AS$40,0))),""))</f>
        <v/>
      </c>
      <c r="AP102" s="37">
        <f>IF(OR($AB102="",$AN102="",$AO102=""),"",IF($AN102&gt;$AO102,"국가등급 하향 — 한도 재산정",""))</f>
        <v/>
      </c>
      <c r="AQ102" s="37">
        <f>IF($AH102="선적 보류",COUNTIF($AH$5:$AH102,"선적 보류"),"")</f>
        <v/>
      </c>
    </row>
    <row r="103">
      <c r="A103" t="inlineStr">
        <is>
          <t>INV-2609-0105</t>
        </is>
      </c>
      <c r="B103" t="inlineStr">
        <is>
          <t>B053</t>
        </is>
      </c>
      <c r="C103" t="inlineStr">
        <is>
          <t>DEU</t>
        </is>
      </c>
      <c r="D103" t="inlineStr">
        <is>
          <t>OA</t>
        </is>
      </c>
      <c r="E103" t="inlineStr">
        <is>
          <t>EUR</t>
        </is>
      </c>
      <c r="F103" t="inlineStr">
        <is>
          <t>N</t>
        </is>
      </c>
      <c r="G103" s="32" t="n">
        <v>46285</v>
      </c>
      <c r="H103" s="32" t="n">
        <v>46345</v>
      </c>
      <c r="I103" s="82" t="n">
        <v>45820</v>
      </c>
      <c r="J103" s="82" t="n">
        <v>52234.75</v>
      </c>
      <c r="K103" t="inlineStr">
        <is>
          <t>N</t>
        </is>
      </c>
      <c r="N103" t="inlineStr">
        <is>
          <t>N</t>
        </is>
      </c>
      <c r="O103" s="37">
        <f>IF($A103="","",AsOf-$H103)</f>
        <v/>
      </c>
      <c r="P103" s="37">
        <f>IF($A103="","",IF($K103="Y","-",IF($O103&gt;=30,"D+30 최종통지·선적보류",IF($O103&gt;=15,"D+15 단호한 통지",IF($O103&gt;=7,"D+7 친절한 리마인더",IF(AND($O103&gt;=-3,$O103&lt;=-1),"D-3 사전 안내","모니터링"))))))</f>
        <v/>
      </c>
      <c r="Q103" s="83">
        <f>IF($A103="","",EDATE($H103,1))</f>
        <v/>
      </c>
      <c r="R103" s="37">
        <f>IF($A103="","",$Q103-AsOf)</f>
        <v/>
      </c>
      <c r="S103" s="37">
        <f>IF($A103="","",IF(OR($K103="Y",$F103&lt;&gt;"Y",$O103&lt;=0),"",IF($R103&lt;0,"통지 기한 경과 — 즉시 확인",IF($R103&lt;=NoticeWarnDays,"통지 기한 임박 — 사람 결정",""))))</f>
        <v/>
      </c>
      <c r="T103" s="83">
        <f>IF(OR($A103="",$F103&lt;&gt;"Y"),"",IF(IF($L103="",InsuranceType,$L103)="포괄",DATE(YEAR($G103),MONTH($G103)+1,20),WORKDAY($G103,10)))</f>
        <v/>
      </c>
      <c r="U103" s="83">
        <f>IF(OR($A103="",$M103=""),"",WORKDAY($M103,10))</f>
        <v/>
      </c>
      <c r="V103" s="37">
        <f>IF($A103="","",IF($N103="Y","사기 의심: 콜백 검증 전 대금 안내 중단",""))</f>
        <v/>
      </c>
      <c r="W103" s="37">
        <f>IF($A103="","",IF(AND($K103="N",$D103&lt;&gt;"LC_SIGHT",$D103&lt;&gt;"LC_USANCE",$D103&lt;&gt;"TT_ADV"),$O103,""))</f>
        <v/>
      </c>
      <c r="X103" s="37">
        <f>IF($A103="",0,IF(AND($K103="N",$D103&lt;&gt;"LC_SIGHT",$D103&lt;&gt;"LC_USANCE",$D103&lt;&gt;"TT_ADV",$O103&gt;=30),1,0))</f>
        <v/>
      </c>
      <c r="Y103" s="37">
        <f>IF($A103="","",IF($O103&lt;=0,"미연체",IF($O103&lt;=30,"1-30",IF($O103&lt;=90,"31-90",IF($O103&lt;=180,"91-180",IF($O103&lt;=365,"181-365","365+"))))))</f>
        <v/>
      </c>
      <c r="Z103" s="37">
        <f>IF($S103="통지 기한 임박 — 사람 결정",COUNTIF($S$5:$S103,"통지 기한 임박 — 사람 결정"),"")</f>
        <v/>
      </c>
      <c r="AB103" s="37">
        <f>IF('02_Buyers'!$A100="","",'02_Buyers'!$A100)</f>
        <v/>
      </c>
      <c r="AC103" s="37">
        <f>IF($AB103="","",'02_Buyers'!$AH100)</f>
        <v/>
      </c>
      <c r="AD103" s="37">
        <f>IF($AB103="","",COUNTIFS(inv_buyer,$AB103,inv_paid,"N"))</f>
        <v/>
      </c>
      <c r="AE103" s="40">
        <f>IF($AB103="","",SUMIFS(inv_usd,inv_buyer,$AB103,inv_paid,"N"))</f>
        <v/>
      </c>
      <c r="AF103" s="37">
        <f>IF($AB103="","",_xlfn.MAXIFS(inv_nonlc_dpd,inv_buyer,$AB103))</f>
        <v/>
      </c>
      <c r="AG103" s="37">
        <f>IF($AB103="","",COUNTIFS(inv_buyer,$AB103,inv_hold30,1))</f>
        <v/>
      </c>
      <c r="AH103" s="37">
        <f>IF($AB103="","",IF(OR($AC103=1,$AG103&gt;0),"선적 보류",""))</f>
        <v/>
      </c>
      <c r="AI103" s="37">
        <f>IF($AH103&lt;&gt;"선적 보류","","내부 에스컬레이션: 여신 한도 동결 제안(사람 승인)")</f>
        <v/>
      </c>
      <c r="AJ103" s="37">
        <f>IF($AB103="","",COUNTIFS(inv_buyer,$AB103,inv_alert,"통지 기한 임박*"))</f>
        <v/>
      </c>
      <c r="AK103" s="40">
        <f>IF($AB103="","",'10_LimitLP'!$F103)</f>
        <v/>
      </c>
      <c r="AL103" s="84">
        <f>IF(OR($AB103="",$AK103&lt;=0),"",$AE103/$AK103)</f>
        <v/>
      </c>
      <c r="AM103" s="37">
        <f>IF($AL103="","",IF($AL103&gt;=0.8,"사용률 80%↑ — 출고 전 사전승인(제18조)",""))</f>
        <v/>
      </c>
      <c r="AN103" s="37">
        <f>IF($AB103="","",IFERROR(IF(INDEX($AU$21:$AU$40,MATCH('02_Buyers'!$S100,$AS$21:$AS$40,0))="","",INDEX($AU$21:$AU$40,MATCH('02_Buyers'!$S100,$AS$21:$AS$40,0))),""))</f>
        <v/>
      </c>
      <c r="AO103" s="37">
        <f>IF($AB103="","",IFERROR(IF(INDEX($AV$21:$AV$40,MATCH('02_Buyers'!$S100,$AS$21:$AS$40,0))="","",INDEX($AV$21:$AV$40,MATCH('02_Buyers'!$S100,$AS$21:$AS$40,0))),""))</f>
        <v/>
      </c>
      <c r="AP103" s="37">
        <f>IF(OR($AB103="",$AN103="",$AO103=""),"",IF($AN103&gt;$AO103,"국가등급 하향 — 한도 재산정",""))</f>
        <v/>
      </c>
      <c r="AQ103" s="37">
        <f>IF($AH103="선적 보류",COUNTIF($AH$5:$AH103,"선적 보류"),"")</f>
        <v/>
      </c>
    </row>
    <row r="104">
      <c r="A104" t="inlineStr">
        <is>
          <t>INV-2607-0156</t>
        </is>
      </c>
      <c r="B104" t="inlineStr">
        <is>
          <t>B056</t>
        </is>
      </c>
      <c r="C104" t="inlineStr">
        <is>
          <t>USA</t>
        </is>
      </c>
      <c r="D104" t="inlineStr">
        <is>
          <t>OA</t>
        </is>
      </c>
      <c r="E104" t="inlineStr">
        <is>
          <t>USD</t>
        </is>
      </c>
      <c r="F104" t="inlineStr">
        <is>
          <t>Y</t>
        </is>
      </c>
      <c r="G104" s="32" t="n">
        <v>46229</v>
      </c>
      <c r="H104" s="32" t="n">
        <v>46319</v>
      </c>
      <c r="I104" s="82" t="n">
        <v>7670</v>
      </c>
      <c r="J104" s="82" t="n">
        <v>7670</v>
      </c>
      <c r="K104" t="inlineStr">
        <is>
          <t>N</t>
        </is>
      </c>
      <c r="L104" t="inlineStr">
        <is>
          <t>개별</t>
        </is>
      </c>
      <c r="N104" t="inlineStr">
        <is>
          <t>N</t>
        </is>
      </c>
      <c r="O104" s="37">
        <f>IF($A104="","",AsOf-$H104)</f>
        <v/>
      </c>
      <c r="P104" s="37">
        <f>IF($A104="","",IF($K104="Y","-",IF($O104&gt;=30,"D+30 최종통지·선적보류",IF($O104&gt;=15,"D+15 단호한 통지",IF($O104&gt;=7,"D+7 친절한 리마인더",IF(AND($O104&gt;=-3,$O104&lt;=-1),"D-3 사전 안내","모니터링"))))))</f>
        <v/>
      </c>
      <c r="Q104" s="83">
        <f>IF($A104="","",EDATE($H104,1))</f>
        <v/>
      </c>
      <c r="R104" s="37">
        <f>IF($A104="","",$Q104-AsOf)</f>
        <v/>
      </c>
      <c r="S104" s="37">
        <f>IF($A104="","",IF(OR($K104="Y",$F104&lt;&gt;"Y",$O104&lt;=0),"",IF($R104&lt;0,"통지 기한 경과 — 즉시 확인",IF($R104&lt;=NoticeWarnDays,"통지 기한 임박 — 사람 결정",""))))</f>
        <v/>
      </c>
      <c r="T104" s="83">
        <f>IF(OR($A104="",$F104&lt;&gt;"Y"),"",IF(IF($L104="",InsuranceType,$L104)="포괄",DATE(YEAR($G104),MONTH($G104)+1,20),WORKDAY($G104,10)))</f>
        <v/>
      </c>
      <c r="U104" s="83">
        <f>IF(OR($A104="",$M104=""),"",WORKDAY($M104,10))</f>
        <v/>
      </c>
      <c r="V104" s="37">
        <f>IF($A104="","",IF($N104="Y","사기 의심: 콜백 검증 전 대금 안내 중단",""))</f>
        <v/>
      </c>
      <c r="W104" s="37">
        <f>IF($A104="","",IF(AND($K104="N",$D104&lt;&gt;"LC_SIGHT",$D104&lt;&gt;"LC_USANCE",$D104&lt;&gt;"TT_ADV"),$O104,""))</f>
        <v/>
      </c>
      <c r="X104" s="37">
        <f>IF($A104="",0,IF(AND($K104="N",$D104&lt;&gt;"LC_SIGHT",$D104&lt;&gt;"LC_USANCE",$D104&lt;&gt;"TT_ADV",$O104&gt;=30),1,0))</f>
        <v/>
      </c>
      <c r="Y104" s="37">
        <f>IF($A104="","",IF($O104&lt;=0,"미연체",IF($O104&lt;=30,"1-30",IF($O104&lt;=90,"31-90",IF($O104&lt;=180,"91-180",IF($O104&lt;=365,"181-365","365+"))))))</f>
        <v/>
      </c>
      <c r="Z104" s="37">
        <f>IF($S104="통지 기한 임박 — 사람 결정",COUNTIF($S$5:$S104,"통지 기한 임박 — 사람 결정"),"")</f>
        <v/>
      </c>
      <c r="AB104" s="37">
        <f>IF('02_Buyers'!$A101="","",'02_Buyers'!$A101)</f>
        <v/>
      </c>
      <c r="AC104" s="37">
        <f>IF($AB104="","",'02_Buyers'!$AH101)</f>
        <v/>
      </c>
      <c r="AD104" s="37">
        <f>IF($AB104="","",COUNTIFS(inv_buyer,$AB104,inv_paid,"N"))</f>
        <v/>
      </c>
      <c r="AE104" s="40">
        <f>IF($AB104="","",SUMIFS(inv_usd,inv_buyer,$AB104,inv_paid,"N"))</f>
        <v/>
      </c>
      <c r="AF104" s="37">
        <f>IF($AB104="","",_xlfn.MAXIFS(inv_nonlc_dpd,inv_buyer,$AB104))</f>
        <v/>
      </c>
      <c r="AG104" s="37">
        <f>IF($AB104="","",COUNTIFS(inv_buyer,$AB104,inv_hold30,1))</f>
        <v/>
      </c>
      <c r="AH104" s="37">
        <f>IF($AB104="","",IF(OR($AC104=1,$AG104&gt;0),"선적 보류",""))</f>
        <v/>
      </c>
      <c r="AI104" s="37">
        <f>IF($AH104&lt;&gt;"선적 보류","","내부 에스컬레이션: 여신 한도 동결 제안(사람 승인)")</f>
        <v/>
      </c>
      <c r="AJ104" s="37">
        <f>IF($AB104="","",COUNTIFS(inv_buyer,$AB104,inv_alert,"통지 기한 임박*"))</f>
        <v/>
      </c>
      <c r="AK104" s="40">
        <f>IF($AB104="","",'10_LimitLP'!$F104)</f>
        <v/>
      </c>
      <c r="AL104" s="84">
        <f>IF(OR($AB104="",$AK104&lt;=0),"",$AE104/$AK104)</f>
        <v/>
      </c>
      <c r="AM104" s="37">
        <f>IF($AL104="","",IF($AL104&gt;=0.8,"사용률 80%↑ — 출고 전 사전승인(제18조)",""))</f>
        <v/>
      </c>
      <c r="AN104" s="37">
        <f>IF($AB104="","",IFERROR(IF(INDEX($AU$21:$AU$40,MATCH('02_Buyers'!$S101,$AS$21:$AS$40,0))="","",INDEX($AU$21:$AU$40,MATCH('02_Buyers'!$S101,$AS$21:$AS$40,0))),""))</f>
        <v/>
      </c>
      <c r="AO104" s="37">
        <f>IF($AB104="","",IFERROR(IF(INDEX($AV$21:$AV$40,MATCH('02_Buyers'!$S101,$AS$21:$AS$40,0))="","",INDEX($AV$21:$AV$40,MATCH('02_Buyers'!$S101,$AS$21:$AS$40,0))),""))</f>
        <v/>
      </c>
      <c r="AP104" s="37">
        <f>IF(OR($AB104="",$AN104="",$AO104=""),"",IF($AN104&gt;$AO104,"국가등급 하향 — 한도 재산정",""))</f>
        <v/>
      </c>
      <c r="AQ104" s="37">
        <f>IF($AH104="선적 보류",COUNTIF($AH$5:$AH104,"선적 보류"),"")</f>
        <v/>
      </c>
    </row>
    <row r="105">
      <c r="A105" t="inlineStr">
        <is>
          <t>INV-2608-0093</t>
        </is>
      </c>
      <c r="B105" t="inlineStr">
        <is>
          <t>B056</t>
        </is>
      </c>
      <c r="C105" t="inlineStr">
        <is>
          <t>USA</t>
        </is>
      </c>
      <c r="D105" t="inlineStr">
        <is>
          <t>OA</t>
        </is>
      </c>
      <c r="E105" t="inlineStr">
        <is>
          <t>USD</t>
        </is>
      </c>
      <c r="F105" t="inlineStr">
        <is>
          <t>Y</t>
        </is>
      </c>
      <c r="G105" s="32" t="n">
        <v>46254</v>
      </c>
      <c r="H105" s="32" t="n">
        <v>46344</v>
      </c>
      <c r="I105" s="82" t="n">
        <v>27960</v>
      </c>
      <c r="J105" s="82" t="n">
        <v>27960</v>
      </c>
      <c r="K105" t="inlineStr">
        <is>
          <t>N</t>
        </is>
      </c>
      <c r="L105" t="inlineStr">
        <is>
          <t>개별</t>
        </is>
      </c>
      <c r="N105" t="inlineStr">
        <is>
          <t>N</t>
        </is>
      </c>
      <c r="O105" s="37">
        <f>IF($A105="","",AsOf-$H105)</f>
        <v/>
      </c>
      <c r="P105" s="37">
        <f>IF($A105="","",IF($K105="Y","-",IF($O105&gt;=30,"D+30 최종통지·선적보류",IF($O105&gt;=15,"D+15 단호한 통지",IF($O105&gt;=7,"D+7 친절한 리마인더",IF(AND($O105&gt;=-3,$O105&lt;=-1),"D-3 사전 안내","모니터링"))))))</f>
        <v/>
      </c>
      <c r="Q105" s="83">
        <f>IF($A105="","",EDATE($H105,1))</f>
        <v/>
      </c>
      <c r="R105" s="37">
        <f>IF($A105="","",$Q105-AsOf)</f>
        <v/>
      </c>
      <c r="S105" s="37">
        <f>IF($A105="","",IF(OR($K105="Y",$F105&lt;&gt;"Y",$O105&lt;=0),"",IF($R105&lt;0,"통지 기한 경과 — 즉시 확인",IF($R105&lt;=NoticeWarnDays,"통지 기한 임박 — 사람 결정",""))))</f>
        <v/>
      </c>
      <c r="T105" s="83">
        <f>IF(OR($A105="",$F105&lt;&gt;"Y"),"",IF(IF($L105="",InsuranceType,$L105)="포괄",DATE(YEAR($G105),MONTH($G105)+1,20),WORKDAY($G105,10)))</f>
        <v/>
      </c>
      <c r="U105" s="83">
        <f>IF(OR($A105="",$M105=""),"",WORKDAY($M105,10))</f>
        <v/>
      </c>
      <c r="V105" s="37">
        <f>IF($A105="","",IF($N105="Y","사기 의심: 콜백 검증 전 대금 안내 중단",""))</f>
        <v/>
      </c>
      <c r="W105" s="37">
        <f>IF($A105="","",IF(AND($K105="N",$D105&lt;&gt;"LC_SIGHT",$D105&lt;&gt;"LC_USANCE",$D105&lt;&gt;"TT_ADV"),$O105,""))</f>
        <v/>
      </c>
      <c r="X105" s="37">
        <f>IF($A105="",0,IF(AND($K105="N",$D105&lt;&gt;"LC_SIGHT",$D105&lt;&gt;"LC_USANCE",$D105&lt;&gt;"TT_ADV",$O105&gt;=30),1,0))</f>
        <v/>
      </c>
      <c r="Y105" s="37">
        <f>IF($A105="","",IF($O105&lt;=0,"미연체",IF($O105&lt;=30,"1-30",IF($O105&lt;=90,"31-90",IF($O105&lt;=180,"91-180",IF($O105&lt;=365,"181-365","365+"))))))</f>
        <v/>
      </c>
      <c r="Z105" s="37">
        <f>IF($S105="통지 기한 임박 — 사람 결정",COUNTIF($S$5:$S105,"통지 기한 임박 — 사람 결정"),"")</f>
        <v/>
      </c>
      <c r="AB105" s="37">
        <f>IF('02_Buyers'!$A102="","",'02_Buyers'!$A102)</f>
        <v/>
      </c>
      <c r="AC105" s="37">
        <f>IF($AB105="","",'02_Buyers'!$AH102)</f>
        <v/>
      </c>
      <c r="AD105" s="37">
        <f>IF($AB105="","",COUNTIFS(inv_buyer,$AB105,inv_paid,"N"))</f>
        <v/>
      </c>
      <c r="AE105" s="40">
        <f>IF($AB105="","",SUMIFS(inv_usd,inv_buyer,$AB105,inv_paid,"N"))</f>
        <v/>
      </c>
      <c r="AF105" s="37">
        <f>IF($AB105="","",_xlfn.MAXIFS(inv_nonlc_dpd,inv_buyer,$AB105))</f>
        <v/>
      </c>
      <c r="AG105" s="37">
        <f>IF($AB105="","",COUNTIFS(inv_buyer,$AB105,inv_hold30,1))</f>
        <v/>
      </c>
      <c r="AH105" s="37">
        <f>IF($AB105="","",IF(OR($AC105=1,$AG105&gt;0),"선적 보류",""))</f>
        <v/>
      </c>
      <c r="AI105" s="37">
        <f>IF($AH105&lt;&gt;"선적 보류","","내부 에스컬레이션: 여신 한도 동결 제안(사람 승인)")</f>
        <v/>
      </c>
      <c r="AJ105" s="37">
        <f>IF($AB105="","",COUNTIFS(inv_buyer,$AB105,inv_alert,"통지 기한 임박*"))</f>
        <v/>
      </c>
      <c r="AK105" s="40">
        <f>IF($AB105="","",'10_LimitLP'!$F105)</f>
        <v/>
      </c>
      <c r="AL105" s="84">
        <f>IF(OR($AB105="",$AK105&lt;=0),"",$AE105/$AK105)</f>
        <v/>
      </c>
      <c r="AM105" s="37">
        <f>IF($AL105="","",IF($AL105&gt;=0.8,"사용률 80%↑ — 출고 전 사전승인(제18조)",""))</f>
        <v/>
      </c>
      <c r="AN105" s="37">
        <f>IF($AB105="","",IFERROR(IF(INDEX($AU$21:$AU$40,MATCH('02_Buyers'!$S102,$AS$21:$AS$40,0))="","",INDEX($AU$21:$AU$40,MATCH('02_Buyers'!$S102,$AS$21:$AS$40,0))),""))</f>
        <v/>
      </c>
      <c r="AO105" s="37">
        <f>IF($AB105="","",IFERROR(IF(INDEX($AV$21:$AV$40,MATCH('02_Buyers'!$S102,$AS$21:$AS$40,0))="","",INDEX($AV$21:$AV$40,MATCH('02_Buyers'!$S102,$AS$21:$AS$40,0))),""))</f>
        <v/>
      </c>
      <c r="AP105" s="37">
        <f>IF(OR($AB105="",$AN105="",$AO105=""),"",IF($AN105&gt;$AO105,"국가등급 하향 — 한도 재산정",""))</f>
        <v/>
      </c>
      <c r="AQ105" s="37">
        <f>IF($AH105="선적 보류",COUNTIF($AH$5:$AH105,"선적 보류"),"")</f>
        <v/>
      </c>
    </row>
    <row r="106">
      <c r="A106" t="inlineStr">
        <is>
          <t>INV-2608-0127</t>
        </is>
      </c>
      <c r="B106" t="inlineStr">
        <is>
          <t>B056</t>
        </is>
      </c>
      <c r="C106" t="inlineStr">
        <is>
          <t>USA</t>
        </is>
      </c>
      <c r="D106" t="inlineStr">
        <is>
          <t>OA</t>
        </is>
      </c>
      <c r="E106" t="inlineStr">
        <is>
          <t>USD</t>
        </is>
      </c>
      <c r="F106" t="inlineStr">
        <is>
          <t>Y</t>
        </is>
      </c>
      <c r="G106" s="32" t="n">
        <v>46260</v>
      </c>
      <c r="H106" s="32" t="n">
        <v>46350</v>
      </c>
      <c r="I106" s="82" t="n">
        <v>14750</v>
      </c>
      <c r="J106" s="82" t="n">
        <v>14750</v>
      </c>
      <c r="K106" t="inlineStr">
        <is>
          <t>N</t>
        </is>
      </c>
      <c r="L106" t="inlineStr">
        <is>
          <t>개별</t>
        </is>
      </c>
      <c r="N106" t="inlineStr">
        <is>
          <t>N</t>
        </is>
      </c>
      <c r="O106" s="37">
        <f>IF($A106="","",AsOf-$H106)</f>
        <v/>
      </c>
      <c r="P106" s="37">
        <f>IF($A106="","",IF($K106="Y","-",IF($O106&gt;=30,"D+30 최종통지·선적보류",IF($O106&gt;=15,"D+15 단호한 통지",IF($O106&gt;=7,"D+7 친절한 리마인더",IF(AND($O106&gt;=-3,$O106&lt;=-1),"D-3 사전 안내","모니터링"))))))</f>
        <v/>
      </c>
      <c r="Q106" s="83">
        <f>IF($A106="","",EDATE($H106,1))</f>
        <v/>
      </c>
      <c r="R106" s="37">
        <f>IF($A106="","",$Q106-AsOf)</f>
        <v/>
      </c>
      <c r="S106" s="37">
        <f>IF($A106="","",IF(OR($K106="Y",$F106&lt;&gt;"Y",$O106&lt;=0),"",IF($R106&lt;0,"통지 기한 경과 — 즉시 확인",IF($R106&lt;=NoticeWarnDays,"통지 기한 임박 — 사람 결정",""))))</f>
        <v/>
      </c>
      <c r="T106" s="83">
        <f>IF(OR($A106="",$F106&lt;&gt;"Y"),"",IF(IF($L106="",InsuranceType,$L106)="포괄",DATE(YEAR($G106),MONTH($G106)+1,20),WORKDAY($G106,10)))</f>
        <v/>
      </c>
      <c r="U106" s="83">
        <f>IF(OR($A106="",$M106=""),"",WORKDAY($M106,10))</f>
        <v/>
      </c>
      <c r="V106" s="37">
        <f>IF($A106="","",IF($N106="Y","사기 의심: 콜백 검증 전 대금 안내 중단",""))</f>
        <v/>
      </c>
      <c r="W106" s="37">
        <f>IF($A106="","",IF(AND($K106="N",$D106&lt;&gt;"LC_SIGHT",$D106&lt;&gt;"LC_USANCE",$D106&lt;&gt;"TT_ADV"),$O106,""))</f>
        <v/>
      </c>
      <c r="X106" s="37">
        <f>IF($A106="",0,IF(AND($K106="N",$D106&lt;&gt;"LC_SIGHT",$D106&lt;&gt;"LC_USANCE",$D106&lt;&gt;"TT_ADV",$O106&gt;=30),1,0))</f>
        <v/>
      </c>
      <c r="Y106" s="37">
        <f>IF($A106="","",IF($O106&lt;=0,"미연체",IF($O106&lt;=30,"1-30",IF($O106&lt;=90,"31-90",IF($O106&lt;=180,"91-180",IF($O106&lt;=365,"181-365","365+"))))))</f>
        <v/>
      </c>
      <c r="Z106" s="37">
        <f>IF($S106="통지 기한 임박 — 사람 결정",COUNTIF($S$5:$S106,"통지 기한 임박 — 사람 결정"),"")</f>
        <v/>
      </c>
      <c r="AB106" s="37">
        <f>IF('02_Buyers'!$A103="","",'02_Buyers'!$A103)</f>
        <v/>
      </c>
      <c r="AC106" s="37">
        <f>IF($AB106="","",'02_Buyers'!$AH103)</f>
        <v/>
      </c>
      <c r="AD106" s="37">
        <f>IF($AB106="","",COUNTIFS(inv_buyer,$AB106,inv_paid,"N"))</f>
        <v/>
      </c>
      <c r="AE106" s="40">
        <f>IF($AB106="","",SUMIFS(inv_usd,inv_buyer,$AB106,inv_paid,"N"))</f>
        <v/>
      </c>
      <c r="AF106" s="37">
        <f>IF($AB106="","",_xlfn.MAXIFS(inv_nonlc_dpd,inv_buyer,$AB106))</f>
        <v/>
      </c>
      <c r="AG106" s="37">
        <f>IF($AB106="","",COUNTIFS(inv_buyer,$AB106,inv_hold30,1))</f>
        <v/>
      </c>
      <c r="AH106" s="37">
        <f>IF($AB106="","",IF(OR($AC106=1,$AG106&gt;0),"선적 보류",""))</f>
        <v/>
      </c>
      <c r="AI106" s="37">
        <f>IF($AH106&lt;&gt;"선적 보류","","내부 에스컬레이션: 여신 한도 동결 제안(사람 승인)")</f>
        <v/>
      </c>
      <c r="AJ106" s="37">
        <f>IF($AB106="","",COUNTIFS(inv_buyer,$AB106,inv_alert,"통지 기한 임박*"))</f>
        <v/>
      </c>
      <c r="AK106" s="40">
        <f>IF($AB106="","",'10_LimitLP'!$F106)</f>
        <v/>
      </c>
      <c r="AL106" s="84">
        <f>IF(OR($AB106="",$AK106&lt;=0),"",$AE106/$AK106)</f>
        <v/>
      </c>
      <c r="AM106" s="37">
        <f>IF($AL106="","",IF($AL106&gt;=0.8,"사용률 80%↑ — 출고 전 사전승인(제18조)",""))</f>
        <v/>
      </c>
      <c r="AN106" s="37">
        <f>IF($AB106="","",IFERROR(IF(INDEX($AU$21:$AU$40,MATCH('02_Buyers'!$S103,$AS$21:$AS$40,0))="","",INDEX($AU$21:$AU$40,MATCH('02_Buyers'!$S103,$AS$21:$AS$40,0))),""))</f>
        <v/>
      </c>
      <c r="AO106" s="37">
        <f>IF($AB106="","",IFERROR(IF(INDEX($AV$21:$AV$40,MATCH('02_Buyers'!$S103,$AS$21:$AS$40,0))="","",INDEX($AV$21:$AV$40,MATCH('02_Buyers'!$S103,$AS$21:$AS$40,0))),""))</f>
        <v/>
      </c>
      <c r="AP106" s="37">
        <f>IF(OR($AB106="",$AN106="",$AO106=""),"",IF($AN106&gt;$AO106,"국가등급 하향 — 한도 재산정",""))</f>
        <v/>
      </c>
      <c r="AQ106" s="37">
        <f>IF($AH106="선적 보류",COUNTIF($AH$5:$AH106,"선적 보류"),"")</f>
        <v/>
      </c>
    </row>
    <row r="107">
      <c r="A107" t="inlineStr">
        <is>
          <t>INV-2607-0050</t>
        </is>
      </c>
      <c r="B107" t="inlineStr">
        <is>
          <t>B057</t>
        </is>
      </c>
      <c r="C107" t="inlineStr">
        <is>
          <t>VNM</t>
        </is>
      </c>
      <c r="D107" t="inlineStr">
        <is>
          <t>LC_USANCE</t>
        </is>
      </c>
      <c r="E107" t="inlineStr">
        <is>
          <t>USD</t>
        </is>
      </c>
      <c r="F107" t="inlineStr">
        <is>
          <t>N</t>
        </is>
      </c>
      <c r="G107" s="32" t="n">
        <v>46213</v>
      </c>
      <c r="H107" s="32" t="n">
        <v>46303</v>
      </c>
      <c r="I107" s="82" t="n">
        <v>18490</v>
      </c>
      <c r="J107" s="82" t="n">
        <v>18490</v>
      </c>
      <c r="K107" t="inlineStr">
        <is>
          <t>N</t>
        </is>
      </c>
      <c r="N107" t="inlineStr">
        <is>
          <t>N</t>
        </is>
      </c>
      <c r="O107" s="37">
        <f>IF($A107="","",AsOf-$H107)</f>
        <v/>
      </c>
      <c r="P107" s="37">
        <f>IF($A107="","",IF($K107="Y","-",IF($O107&gt;=30,"D+30 최종통지·선적보류",IF($O107&gt;=15,"D+15 단호한 통지",IF($O107&gt;=7,"D+7 친절한 리마인더",IF(AND($O107&gt;=-3,$O107&lt;=-1),"D-3 사전 안내","모니터링"))))))</f>
        <v/>
      </c>
      <c r="Q107" s="83">
        <f>IF($A107="","",EDATE($H107,1))</f>
        <v/>
      </c>
      <c r="R107" s="37">
        <f>IF($A107="","",$Q107-AsOf)</f>
        <v/>
      </c>
      <c r="S107" s="37">
        <f>IF($A107="","",IF(OR($K107="Y",$F107&lt;&gt;"Y",$O107&lt;=0),"",IF($R107&lt;0,"통지 기한 경과 — 즉시 확인",IF($R107&lt;=NoticeWarnDays,"통지 기한 임박 — 사람 결정",""))))</f>
        <v/>
      </c>
      <c r="T107" s="83">
        <f>IF(OR($A107="",$F107&lt;&gt;"Y"),"",IF(IF($L107="",InsuranceType,$L107)="포괄",DATE(YEAR($G107),MONTH($G107)+1,20),WORKDAY($G107,10)))</f>
        <v/>
      </c>
      <c r="U107" s="83">
        <f>IF(OR($A107="",$M107=""),"",WORKDAY($M107,10))</f>
        <v/>
      </c>
      <c r="V107" s="37">
        <f>IF($A107="","",IF($N107="Y","사기 의심: 콜백 검증 전 대금 안내 중단",""))</f>
        <v/>
      </c>
      <c r="W107" s="37">
        <f>IF($A107="","",IF(AND($K107="N",$D107&lt;&gt;"LC_SIGHT",$D107&lt;&gt;"LC_USANCE",$D107&lt;&gt;"TT_ADV"),$O107,""))</f>
        <v/>
      </c>
      <c r="X107" s="37">
        <f>IF($A107="",0,IF(AND($K107="N",$D107&lt;&gt;"LC_SIGHT",$D107&lt;&gt;"LC_USANCE",$D107&lt;&gt;"TT_ADV",$O107&gt;=30),1,0))</f>
        <v/>
      </c>
      <c r="Y107" s="37">
        <f>IF($A107="","",IF($O107&lt;=0,"미연체",IF($O107&lt;=30,"1-30",IF($O107&lt;=90,"31-90",IF($O107&lt;=180,"91-180",IF($O107&lt;=365,"181-365","365+"))))))</f>
        <v/>
      </c>
      <c r="Z107" s="37">
        <f>IF($S107="통지 기한 임박 — 사람 결정",COUNTIF($S$5:$S107,"통지 기한 임박 — 사람 결정"),"")</f>
        <v/>
      </c>
      <c r="AB107" s="37">
        <f>IF('02_Buyers'!$A104="","",'02_Buyers'!$A104)</f>
        <v/>
      </c>
      <c r="AC107" s="37">
        <f>IF($AB107="","",'02_Buyers'!$AH104)</f>
        <v/>
      </c>
      <c r="AD107" s="37">
        <f>IF($AB107="","",COUNTIFS(inv_buyer,$AB107,inv_paid,"N"))</f>
        <v/>
      </c>
      <c r="AE107" s="40">
        <f>IF($AB107="","",SUMIFS(inv_usd,inv_buyer,$AB107,inv_paid,"N"))</f>
        <v/>
      </c>
      <c r="AF107" s="37">
        <f>IF($AB107="","",_xlfn.MAXIFS(inv_nonlc_dpd,inv_buyer,$AB107))</f>
        <v/>
      </c>
      <c r="AG107" s="37">
        <f>IF($AB107="","",COUNTIFS(inv_buyer,$AB107,inv_hold30,1))</f>
        <v/>
      </c>
      <c r="AH107" s="37">
        <f>IF($AB107="","",IF(OR($AC107=1,$AG107&gt;0),"선적 보류",""))</f>
        <v/>
      </c>
      <c r="AI107" s="37">
        <f>IF($AH107&lt;&gt;"선적 보류","","내부 에스컬레이션: 여신 한도 동결 제안(사람 승인)")</f>
        <v/>
      </c>
      <c r="AJ107" s="37">
        <f>IF($AB107="","",COUNTIFS(inv_buyer,$AB107,inv_alert,"통지 기한 임박*"))</f>
        <v/>
      </c>
      <c r="AK107" s="40">
        <f>IF($AB107="","",'10_LimitLP'!$F107)</f>
        <v/>
      </c>
      <c r="AL107" s="84">
        <f>IF(OR($AB107="",$AK107&lt;=0),"",$AE107/$AK107)</f>
        <v/>
      </c>
      <c r="AM107" s="37">
        <f>IF($AL107="","",IF($AL107&gt;=0.8,"사용률 80%↑ — 출고 전 사전승인(제18조)",""))</f>
        <v/>
      </c>
      <c r="AN107" s="37">
        <f>IF($AB107="","",IFERROR(IF(INDEX($AU$21:$AU$40,MATCH('02_Buyers'!$S104,$AS$21:$AS$40,0))="","",INDEX($AU$21:$AU$40,MATCH('02_Buyers'!$S104,$AS$21:$AS$40,0))),""))</f>
        <v/>
      </c>
      <c r="AO107" s="37">
        <f>IF($AB107="","",IFERROR(IF(INDEX($AV$21:$AV$40,MATCH('02_Buyers'!$S104,$AS$21:$AS$40,0))="","",INDEX($AV$21:$AV$40,MATCH('02_Buyers'!$S104,$AS$21:$AS$40,0))),""))</f>
        <v/>
      </c>
      <c r="AP107" s="37">
        <f>IF(OR($AB107="",$AN107="",$AO107=""),"",IF($AN107&gt;$AO107,"국가등급 하향 — 한도 재산정",""))</f>
        <v/>
      </c>
      <c r="AQ107" s="37">
        <f>IF($AH107="선적 보류",COUNTIF($AH$5:$AH107,"선적 보류"),"")</f>
        <v/>
      </c>
    </row>
    <row r="108">
      <c r="A108" t="inlineStr">
        <is>
          <t>INV-2607-0059</t>
        </is>
      </c>
      <c r="B108" t="inlineStr">
        <is>
          <t>B057</t>
        </is>
      </c>
      <c r="C108" t="inlineStr">
        <is>
          <t>VNM</t>
        </is>
      </c>
      <c r="D108" t="inlineStr">
        <is>
          <t>LC_USANCE</t>
        </is>
      </c>
      <c r="E108" t="inlineStr">
        <is>
          <t>USD</t>
        </is>
      </c>
      <c r="F108" t="inlineStr">
        <is>
          <t>N</t>
        </is>
      </c>
      <c r="G108" s="32" t="n">
        <v>46214</v>
      </c>
      <c r="H108" s="32" t="n">
        <v>46304</v>
      </c>
      <c r="I108" s="82" t="n">
        <v>2380</v>
      </c>
      <c r="J108" s="82" t="n">
        <v>2380</v>
      </c>
      <c r="K108" t="inlineStr">
        <is>
          <t>N</t>
        </is>
      </c>
      <c r="N108" t="inlineStr">
        <is>
          <t>N</t>
        </is>
      </c>
      <c r="O108" s="37">
        <f>IF($A108="","",AsOf-$H108)</f>
        <v/>
      </c>
      <c r="P108" s="37">
        <f>IF($A108="","",IF($K108="Y","-",IF($O108&gt;=30,"D+30 최종통지·선적보류",IF($O108&gt;=15,"D+15 단호한 통지",IF($O108&gt;=7,"D+7 친절한 리마인더",IF(AND($O108&gt;=-3,$O108&lt;=-1),"D-3 사전 안내","모니터링"))))))</f>
        <v/>
      </c>
      <c r="Q108" s="83">
        <f>IF($A108="","",EDATE($H108,1))</f>
        <v/>
      </c>
      <c r="R108" s="37">
        <f>IF($A108="","",$Q108-AsOf)</f>
        <v/>
      </c>
      <c r="S108" s="37">
        <f>IF($A108="","",IF(OR($K108="Y",$F108&lt;&gt;"Y",$O108&lt;=0),"",IF($R108&lt;0,"통지 기한 경과 — 즉시 확인",IF($R108&lt;=NoticeWarnDays,"통지 기한 임박 — 사람 결정",""))))</f>
        <v/>
      </c>
      <c r="T108" s="83">
        <f>IF(OR($A108="",$F108&lt;&gt;"Y"),"",IF(IF($L108="",InsuranceType,$L108)="포괄",DATE(YEAR($G108),MONTH($G108)+1,20),WORKDAY($G108,10)))</f>
        <v/>
      </c>
      <c r="U108" s="83">
        <f>IF(OR($A108="",$M108=""),"",WORKDAY($M108,10))</f>
        <v/>
      </c>
      <c r="V108" s="37">
        <f>IF($A108="","",IF($N108="Y","사기 의심: 콜백 검증 전 대금 안내 중단",""))</f>
        <v/>
      </c>
      <c r="W108" s="37">
        <f>IF($A108="","",IF(AND($K108="N",$D108&lt;&gt;"LC_SIGHT",$D108&lt;&gt;"LC_USANCE",$D108&lt;&gt;"TT_ADV"),$O108,""))</f>
        <v/>
      </c>
      <c r="X108" s="37">
        <f>IF($A108="",0,IF(AND($K108="N",$D108&lt;&gt;"LC_SIGHT",$D108&lt;&gt;"LC_USANCE",$D108&lt;&gt;"TT_ADV",$O108&gt;=30),1,0))</f>
        <v/>
      </c>
      <c r="Y108" s="37">
        <f>IF($A108="","",IF($O108&lt;=0,"미연체",IF($O108&lt;=30,"1-30",IF($O108&lt;=90,"31-90",IF($O108&lt;=180,"91-180",IF($O108&lt;=365,"181-365","365+"))))))</f>
        <v/>
      </c>
      <c r="Z108" s="37">
        <f>IF($S108="통지 기한 임박 — 사람 결정",COUNTIF($S$5:$S108,"통지 기한 임박 — 사람 결정"),"")</f>
        <v/>
      </c>
      <c r="AB108" s="37">
        <f>IF('02_Buyers'!$A105="","",'02_Buyers'!$A105)</f>
        <v/>
      </c>
      <c r="AC108" s="37">
        <f>IF($AB108="","",'02_Buyers'!$AH105)</f>
        <v/>
      </c>
      <c r="AD108" s="37">
        <f>IF($AB108="","",COUNTIFS(inv_buyer,$AB108,inv_paid,"N"))</f>
        <v/>
      </c>
      <c r="AE108" s="40">
        <f>IF($AB108="","",SUMIFS(inv_usd,inv_buyer,$AB108,inv_paid,"N"))</f>
        <v/>
      </c>
      <c r="AF108" s="37">
        <f>IF($AB108="","",_xlfn.MAXIFS(inv_nonlc_dpd,inv_buyer,$AB108))</f>
        <v/>
      </c>
      <c r="AG108" s="37">
        <f>IF($AB108="","",COUNTIFS(inv_buyer,$AB108,inv_hold30,1))</f>
        <v/>
      </c>
      <c r="AH108" s="37">
        <f>IF($AB108="","",IF(OR($AC108=1,$AG108&gt;0),"선적 보류",""))</f>
        <v/>
      </c>
      <c r="AI108" s="37">
        <f>IF($AH108&lt;&gt;"선적 보류","","내부 에스컬레이션: 여신 한도 동결 제안(사람 승인)")</f>
        <v/>
      </c>
      <c r="AJ108" s="37">
        <f>IF($AB108="","",COUNTIFS(inv_buyer,$AB108,inv_alert,"통지 기한 임박*"))</f>
        <v/>
      </c>
      <c r="AK108" s="40">
        <f>IF($AB108="","",'10_LimitLP'!$F108)</f>
        <v/>
      </c>
      <c r="AL108" s="84">
        <f>IF(OR($AB108="",$AK108&lt;=0),"",$AE108/$AK108)</f>
        <v/>
      </c>
      <c r="AM108" s="37">
        <f>IF($AL108="","",IF($AL108&gt;=0.8,"사용률 80%↑ — 출고 전 사전승인(제18조)",""))</f>
        <v/>
      </c>
      <c r="AN108" s="37">
        <f>IF($AB108="","",IFERROR(IF(INDEX($AU$21:$AU$40,MATCH('02_Buyers'!$S105,$AS$21:$AS$40,0))="","",INDEX($AU$21:$AU$40,MATCH('02_Buyers'!$S105,$AS$21:$AS$40,0))),""))</f>
        <v/>
      </c>
      <c r="AO108" s="37">
        <f>IF($AB108="","",IFERROR(IF(INDEX($AV$21:$AV$40,MATCH('02_Buyers'!$S105,$AS$21:$AS$40,0))="","",INDEX($AV$21:$AV$40,MATCH('02_Buyers'!$S105,$AS$21:$AS$40,0))),""))</f>
        <v/>
      </c>
      <c r="AP108" s="37">
        <f>IF(OR($AB108="",$AN108="",$AO108=""),"",IF($AN108&gt;$AO108,"국가등급 하향 — 한도 재산정",""))</f>
        <v/>
      </c>
      <c r="AQ108" s="37">
        <f>IF($AH108="선적 보류",COUNTIF($AH$5:$AH108,"선적 보류"),"")</f>
        <v/>
      </c>
    </row>
    <row r="109">
      <c r="A109" t="inlineStr">
        <is>
          <t>INV-2607-0108</t>
        </is>
      </c>
      <c r="B109" t="inlineStr">
        <is>
          <t>B057</t>
        </is>
      </c>
      <c r="C109" t="inlineStr">
        <is>
          <t>VNM</t>
        </is>
      </c>
      <c r="D109" t="inlineStr">
        <is>
          <t>LC_USANCE</t>
        </is>
      </c>
      <c r="E109" t="inlineStr">
        <is>
          <t>USD</t>
        </is>
      </c>
      <c r="F109" t="inlineStr">
        <is>
          <t>N</t>
        </is>
      </c>
      <c r="G109" s="32" t="n">
        <v>46222</v>
      </c>
      <c r="H109" s="32" t="n">
        <v>46312</v>
      </c>
      <c r="I109" s="82" t="n">
        <v>12710</v>
      </c>
      <c r="J109" s="82" t="n">
        <v>12710</v>
      </c>
      <c r="K109" t="inlineStr">
        <is>
          <t>N</t>
        </is>
      </c>
      <c r="N109" t="inlineStr">
        <is>
          <t>N</t>
        </is>
      </c>
      <c r="O109" s="37">
        <f>IF($A109="","",AsOf-$H109)</f>
        <v/>
      </c>
      <c r="P109" s="37">
        <f>IF($A109="","",IF($K109="Y","-",IF($O109&gt;=30,"D+30 최종통지·선적보류",IF($O109&gt;=15,"D+15 단호한 통지",IF($O109&gt;=7,"D+7 친절한 리마인더",IF(AND($O109&gt;=-3,$O109&lt;=-1),"D-3 사전 안내","모니터링"))))))</f>
        <v/>
      </c>
      <c r="Q109" s="83">
        <f>IF($A109="","",EDATE($H109,1))</f>
        <v/>
      </c>
      <c r="R109" s="37">
        <f>IF($A109="","",$Q109-AsOf)</f>
        <v/>
      </c>
      <c r="S109" s="37">
        <f>IF($A109="","",IF(OR($K109="Y",$F109&lt;&gt;"Y",$O109&lt;=0),"",IF($R109&lt;0,"통지 기한 경과 — 즉시 확인",IF($R109&lt;=NoticeWarnDays,"통지 기한 임박 — 사람 결정",""))))</f>
        <v/>
      </c>
      <c r="T109" s="83">
        <f>IF(OR($A109="",$F109&lt;&gt;"Y"),"",IF(IF($L109="",InsuranceType,$L109)="포괄",DATE(YEAR($G109),MONTH($G109)+1,20),WORKDAY($G109,10)))</f>
        <v/>
      </c>
      <c r="U109" s="83">
        <f>IF(OR($A109="",$M109=""),"",WORKDAY($M109,10))</f>
        <v/>
      </c>
      <c r="V109" s="37">
        <f>IF($A109="","",IF($N109="Y","사기 의심: 콜백 검증 전 대금 안내 중단",""))</f>
        <v/>
      </c>
      <c r="W109" s="37">
        <f>IF($A109="","",IF(AND($K109="N",$D109&lt;&gt;"LC_SIGHT",$D109&lt;&gt;"LC_USANCE",$D109&lt;&gt;"TT_ADV"),$O109,""))</f>
        <v/>
      </c>
      <c r="X109" s="37">
        <f>IF($A109="",0,IF(AND($K109="N",$D109&lt;&gt;"LC_SIGHT",$D109&lt;&gt;"LC_USANCE",$D109&lt;&gt;"TT_ADV",$O109&gt;=30),1,0))</f>
        <v/>
      </c>
      <c r="Y109" s="37">
        <f>IF($A109="","",IF($O109&lt;=0,"미연체",IF($O109&lt;=30,"1-30",IF($O109&lt;=90,"31-90",IF($O109&lt;=180,"91-180",IF($O109&lt;=365,"181-365","365+"))))))</f>
        <v/>
      </c>
      <c r="Z109" s="37">
        <f>IF($S109="통지 기한 임박 — 사람 결정",COUNTIF($S$5:$S109,"통지 기한 임박 — 사람 결정"),"")</f>
        <v/>
      </c>
      <c r="AB109" s="37">
        <f>IF('02_Buyers'!$A106="","",'02_Buyers'!$A106)</f>
        <v/>
      </c>
      <c r="AC109" s="37">
        <f>IF($AB109="","",'02_Buyers'!$AH106)</f>
        <v/>
      </c>
      <c r="AD109" s="37">
        <f>IF($AB109="","",COUNTIFS(inv_buyer,$AB109,inv_paid,"N"))</f>
        <v/>
      </c>
      <c r="AE109" s="40">
        <f>IF($AB109="","",SUMIFS(inv_usd,inv_buyer,$AB109,inv_paid,"N"))</f>
        <v/>
      </c>
      <c r="AF109" s="37">
        <f>IF($AB109="","",_xlfn.MAXIFS(inv_nonlc_dpd,inv_buyer,$AB109))</f>
        <v/>
      </c>
      <c r="AG109" s="37">
        <f>IF($AB109="","",COUNTIFS(inv_buyer,$AB109,inv_hold30,1))</f>
        <v/>
      </c>
      <c r="AH109" s="37">
        <f>IF($AB109="","",IF(OR($AC109=1,$AG109&gt;0),"선적 보류",""))</f>
        <v/>
      </c>
      <c r="AI109" s="37">
        <f>IF($AH109&lt;&gt;"선적 보류","","내부 에스컬레이션: 여신 한도 동결 제안(사람 승인)")</f>
        <v/>
      </c>
      <c r="AJ109" s="37">
        <f>IF($AB109="","",COUNTIFS(inv_buyer,$AB109,inv_alert,"통지 기한 임박*"))</f>
        <v/>
      </c>
      <c r="AK109" s="40">
        <f>IF($AB109="","",'10_LimitLP'!$F109)</f>
        <v/>
      </c>
      <c r="AL109" s="84">
        <f>IF(OR($AB109="",$AK109&lt;=0),"",$AE109/$AK109)</f>
        <v/>
      </c>
      <c r="AM109" s="37">
        <f>IF($AL109="","",IF($AL109&gt;=0.8,"사용률 80%↑ — 출고 전 사전승인(제18조)",""))</f>
        <v/>
      </c>
      <c r="AN109" s="37">
        <f>IF($AB109="","",IFERROR(IF(INDEX($AU$21:$AU$40,MATCH('02_Buyers'!$S106,$AS$21:$AS$40,0))="","",INDEX($AU$21:$AU$40,MATCH('02_Buyers'!$S106,$AS$21:$AS$40,0))),""))</f>
        <v/>
      </c>
      <c r="AO109" s="37">
        <f>IF($AB109="","",IFERROR(IF(INDEX($AV$21:$AV$40,MATCH('02_Buyers'!$S106,$AS$21:$AS$40,0))="","",INDEX($AV$21:$AV$40,MATCH('02_Buyers'!$S106,$AS$21:$AS$40,0))),""))</f>
        <v/>
      </c>
      <c r="AP109" s="37">
        <f>IF(OR($AB109="",$AN109="",$AO109=""),"",IF($AN109&gt;$AO109,"국가등급 하향 — 한도 재산정",""))</f>
        <v/>
      </c>
      <c r="AQ109" s="37">
        <f>IF($AH109="선적 보류",COUNTIF($AH$5:$AH109,"선적 보류"),"")</f>
        <v/>
      </c>
    </row>
    <row r="110">
      <c r="A110" t="inlineStr">
        <is>
          <t>INV-2608-0089</t>
        </is>
      </c>
      <c r="B110" t="inlineStr">
        <is>
          <t>B057</t>
        </is>
      </c>
      <c r="C110" t="inlineStr">
        <is>
          <t>VNM</t>
        </is>
      </c>
      <c r="D110" t="inlineStr">
        <is>
          <t>LC_USANCE</t>
        </is>
      </c>
      <c r="E110" t="inlineStr">
        <is>
          <t>USD</t>
        </is>
      </c>
      <c r="F110" t="inlineStr">
        <is>
          <t>N</t>
        </is>
      </c>
      <c r="G110" s="32" t="n">
        <v>46253</v>
      </c>
      <c r="H110" s="32" t="n">
        <v>46343</v>
      </c>
      <c r="I110" s="82" t="n">
        <v>14090</v>
      </c>
      <c r="J110" s="82" t="n">
        <v>14090</v>
      </c>
      <c r="K110" t="inlineStr">
        <is>
          <t>N</t>
        </is>
      </c>
      <c r="N110" t="inlineStr">
        <is>
          <t>N</t>
        </is>
      </c>
      <c r="O110" s="37">
        <f>IF($A110="","",AsOf-$H110)</f>
        <v/>
      </c>
      <c r="P110" s="37">
        <f>IF($A110="","",IF($K110="Y","-",IF($O110&gt;=30,"D+30 최종통지·선적보류",IF($O110&gt;=15,"D+15 단호한 통지",IF($O110&gt;=7,"D+7 친절한 리마인더",IF(AND($O110&gt;=-3,$O110&lt;=-1),"D-3 사전 안내","모니터링"))))))</f>
        <v/>
      </c>
      <c r="Q110" s="83">
        <f>IF($A110="","",EDATE($H110,1))</f>
        <v/>
      </c>
      <c r="R110" s="37">
        <f>IF($A110="","",$Q110-AsOf)</f>
        <v/>
      </c>
      <c r="S110" s="37">
        <f>IF($A110="","",IF(OR($K110="Y",$F110&lt;&gt;"Y",$O110&lt;=0),"",IF($R110&lt;0,"통지 기한 경과 — 즉시 확인",IF($R110&lt;=NoticeWarnDays,"통지 기한 임박 — 사람 결정",""))))</f>
        <v/>
      </c>
      <c r="T110" s="83">
        <f>IF(OR($A110="",$F110&lt;&gt;"Y"),"",IF(IF($L110="",InsuranceType,$L110)="포괄",DATE(YEAR($G110),MONTH($G110)+1,20),WORKDAY($G110,10)))</f>
        <v/>
      </c>
      <c r="U110" s="83">
        <f>IF(OR($A110="",$M110=""),"",WORKDAY($M110,10))</f>
        <v/>
      </c>
      <c r="V110" s="37">
        <f>IF($A110="","",IF($N110="Y","사기 의심: 콜백 검증 전 대금 안내 중단",""))</f>
        <v/>
      </c>
      <c r="W110" s="37">
        <f>IF($A110="","",IF(AND($K110="N",$D110&lt;&gt;"LC_SIGHT",$D110&lt;&gt;"LC_USANCE",$D110&lt;&gt;"TT_ADV"),$O110,""))</f>
        <v/>
      </c>
      <c r="X110" s="37">
        <f>IF($A110="",0,IF(AND($K110="N",$D110&lt;&gt;"LC_SIGHT",$D110&lt;&gt;"LC_USANCE",$D110&lt;&gt;"TT_ADV",$O110&gt;=30),1,0))</f>
        <v/>
      </c>
      <c r="Y110" s="37">
        <f>IF($A110="","",IF($O110&lt;=0,"미연체",IF($O110&lt;=30,"1-30",IF($O110&lt;=90,"31-90",IF($O110&lt;=180,"91-180",IF($O110&lt;=365,"181-365","365+"))))))</f>
        <v/>
      </c>
      <c r="Z110" s="37">
        <f>IF($S110="통지 기한 임박 — 사람 결정",COUNTIF($S$5:$S110,"통지 기한 임박 — 사람 결정"),"")</f>
        <v/>
      </c>
      <c r="AB110" s="37">
        <f>IF('02_Buyers'!$A107="","",'02_Buyers'!$A107)</f>
        <v/>
      </c>
      <c r="AC110" s="37">
        <f>IF($AB110="","",'02_Buyers'!$AH107)</f>
        <v/>
      </c>
      <c r="AD110" s="37">
        <f>IF($AB110="","",COUNTIFS(inv_buyer,$AB110,inv_paid,"N"))</f>
        <v/>
      </c>
      <c r="AE110" s="40">
        <f>IF($AB110="","",SUMIFS(inv_usd,inv_buyer,$AB110,inv_paid,"N"))</f>
        <v/>
      </c>
      <c r="AF110" s="37">
        <f>IF($AB110="","",_xlfn.MAXIFS(inv_nonlc_dpd,inv_buyer,$AB110))</f>
        <v/>
      </c>
      <c r="AG110" s="37">
        <f>IF($AB110="","",COUNTIFS(inv_buyer,$AB110,inv_hold30,1))</f>
        <v/>
      </c>
      <c r="AH110" s="37">
        <f>IF($AB110="","",IF(OR($AC110=1,$AG110&gt;0),"선적 보류",""))</f>
        <v/>
      </c>
      <c r="AI110" s="37">
        <f>IF($AH110&lt;&gt;"선적 보류","","내부 에스컬레이션: 여신 한도 동결 제안(사람 승인)")</f>
        <v/>
      </c>
      <c r="AJ110" s="37">
        <f>IF($AB110="","",COUNTIFS(inv_buyer,$AB110,inv_alert,"통지 기한 임박*"))</f>
        <v/>
      </c>
      <c r="AK110" s="40">
        <f>IF($AB110="","",'10_LimitLP'!$F110)</f>
        <v/>
      </c>
      <c r="AL110" s="84">
        <f>IF(OR($AB110="",$AK110&lt;=0),"",$AE110/$AK110)</f>
        <v/>
      </c>
      <c r="AM110" s="37">
        <f>IF($AL110="","",IF($AL110&gt;=0.8,"사용률 80%↑ — 출고 전 사전승인(제18조)",""))</f>
        <v/>
      </c>
      <c r="AN110" s="37">
        <f>IF($AB110="","",IFERROR(IF(INDEX($AU$21:$AU$40,MATCH('02_Buyers'!$S107,$AS$21:$AS$40,0))="","",INDEX($AU$21:$AU$40,MATCH('02_Buyers'!$S107,$AS$21:$AS$40,0))),""))</f>
        <v/>
      </c>
      <c r="AO110" s="37">
        <f>IF($AB110="","",IFERROR(IF(INDEX($AV$21:$AV$40,MATCH('02_Buyers'!$S107,$AS$21:$AS$40,0))="","",INDEX($AV$21:$AV$40,MATCH('02_Buyers'!$S107,$AS$21:$AS$40,0))),""))</f>
        <v/>
      </c>
      <c r="AP110" s="37">
        <f>IF(OR($AB110="",$AN110="",$AO110=""),"",IF($AN110&gt;$AO110,"국가등급 하향 — 한도 재산정",""))</f>
        <v/>
      </c>
      <c r="AQ110" s="37">
        <f>IF($AH110="선적 보류",COUNTIF($AH$5:$AH110,"선적 보류"),"")</f>
        <v/>
      </c>
    </row>
    <row r="111">
      <c r="A111" t="inlineStr">
        <is>
          <t>INV-2608-0105</t>
        </is>
      </c>
      <c r="B111" t="inlineStr">
        <is>
          <t>B057</t>
        </is>
      </c>
      <c r="C111" t="inlineStr">
        <is>
          <t>VNM</t>
        </is>
      </c>
      <c r="D111" t="inlineStr">
        <is>
          <t>LC_USANCE</t>
        </is>
      </c>
      <c r="E111" t="inlineStr">
        <is>
          <t>USD</t>
        </is>
      </c>
      <c r="F111" t="inlineStr">
        <is>
          <t>N</t>
        </is>
      </c>
      <c r="G111" s="32" t="n">
        <v>46256</v>
      </c>
      <c r="H111" s="32" t="n">
        <v>46346</v>
      </c>
      <c r="I111" s="82" t="n">
        <v>24170</v>
      </c>
      <c r="J111" s="82" t="n">
        <v>24170</v>
      </c>
      <c r="K111" t="inlineStr">
        <is>
          <t>N</t>
        </is>
      </c>
      <c r="N111" t="inlineStr">
        <is>
          <t>N</t>
        </is>
      </c>
      <c r="O111" s="37">
        <f>IF($A111="","",AsOf-$H111)</f>
        <v/>
      </c>
      <c r="P111" s="37">
        <f>IF($A111="","",IF($K111="Y","-",IF($O111&gt;=30,"D+30 최종통지·선적보류",IF($O111&gt;=15,"D+15 단호한 통지",IF($O111&gt;=7,"D+7 친절한 리마인더",IF(AND($O111&gt;=-3,$O111&lt;=-1),"D-3 사전 안내","모니터링"))))))</f>
        <v/>
      </c>
      <c r="Q111" s="83">
        <f>IF($A111="","",EDATE($H111,1))</f>
        <v/>
      </c>
      <c r="R111" s="37">
        <f>IF($A111="","",$Q111-AsOf)</f>
        <v/>
      </c>
      <c r="S111" s="37">
        <f>IF($A111="","",IF(OR($K111="Y",$F111&lt;&gt;"Y",$O111&lt;=0),"",IF($R111&lt;0,"통지 기한 경과 — 즉시 확인",IF($R111&lt;=NoticeWarnDays,"통지 기한 임박 — 사람 결정",""))))</f>
        <v/>
      </c>
      <c r="T111" s="83">
        <f>IF(OR($A111="",$F111&lt;&gt;"Y"),"",IF(IF($L111="",InsuranceType,$L111)="포괄",DATE(YEAR($G111),MONTH($G111)+1,20),WORKDAY($G111,10)))</f>
        <v/>
      </c>
      <c r="U111" s="83">
        <f>IF(OR($A111="",$M111=""),"",WORKDAY($M111,10))</f>
        <v/>
      </c>
      <c r="V111" s="37">
        <f>IF($A111="","",IF($N111="Y","사기 의심: 콜백 검증 전 대금 안내 중단",""))</f>
        <v/>
      </c>
      <c r="W111" s="37">
        <f>IF($A111="","",IF(AND($K111="N",$D111&lt;&gt;"LC_SIGHT",$D111&lt;&gt;"LC_USANCE",$D111&lt;&gt;"TT_ADV"),$O111,""))</f>
        <v/>
      </c>
      <c r="X111" s="37">
        <f>IF($A111="",0,IF(AND($K111="N",$D111&lt;&gt;"LC_SIGHT",$D111&lt;&gt;"LC_USANCE",$D111&lt;&gt;"TT_ADV",$O111&gt;=30),1,0))</f>
        <v/>
      </c>
      <c r="Y111" s="37">
        <f>IF($A111="","",IF($O111&lt;=0,"미연체",IF($O111&lt;=30,"1-30",IF($O111&lt;=90,"31-90",IF($O111&lt;=180,"91-180",IF($O111&lt;=365,"181-365","365+"))))))</f>
        <v/>
      </c>
      <c r="Z111" s="37">
        <f>IF($S111="통지 기한 임박 — 사람 결정",COUNTIF($S$5:$S111,"통지 기한 임박 — 사람 결정"),"")</f>
        <v/>
      </c>
      <c r="AB111" s="37">
        <f>IF('02_Buyers'!$A108="","",'02_Buyers'!$A108)</f>
        <v/>
      </c>
      <c r="AC111" s="37">
        <f>IF($AB111="","",'02_Buyers'!$AH108)</f>
        <v/>
      </c>
      <c r="AD111" s="37">
        <f>IF($AB111="","",COUNTIFS(inv_buyer,$AB111,inv_paid,"N"))</f>
        <v/>
      </c>
      <c r="AE111" s="40">
        <f>IF($AB111="","",SUMIFS(inv_usd,inv_buyer,$AB111,inv_paid,"N"))</f>
        <v/>
      </c>
      <c r="AF111" s="37">
        <f>IF($AB111="","",_xlfn.MAXIFS(inv_nonlc_dpd,inv_buyer,$AB111))</f>
        <v/>
      </c>
      <c r="AG111" s="37">
        <f>IF($AB111="","",COUNTIFS(inv_buyer,$AB111,inv_hold30,1))</f>
        <v/>
      </c>
      <c r="AH111" s="37">
        <f>IF($AB111="","",IF(OR($AC111=1,$AG111&gt;0),"선적 보류",""))</f>
        <v/>
      </c>
      <c r="AI111" s="37">
        <f>IF($AH111&lt;&gt;"선적 보류","","내부 에스컬레이션: 여신 한도 동결 제안(사람 승인)")</f>
        <v/>
      </c>
      <c r="AJ111" s="37">
        <f>IF($AB111="","",COUNTIFS(inv_buyer,$AB111,inv_alert,"통지 기한 임박*"))</f>
        <v/>
      </c>
      <c r="AK111" s="40">
        <f>IF($AB111="","",'10_LimitLP'!$F111)</f>
        <v/>
      </c>
      <c r="AL111" s="84">
        <f>IF(OR($AB111="",$AK111&lt;=0),"",$AE111/$AK111)</f>
        <v/>
      </c>
      <c r="AM111" s="37">
        <f>IF($AL111="","",IF($AL111&gt;=0.8,"사용률 80%↑ — 출고 전 사전승인(제18조)",""))</f>
        <v/>
      </c>
      <c r="AN111" s="37">
        <f>IF($AB111="","",IFERROR(IF(INDEX($AU$21:$AU$40,MATCH('02_Buyers'!$S108,$AS$21:$AS$40,0))="","",INDEX($AU$21:$AU$40,MATCH('02_Buyers'!$S108,$AS$21:$AS$40,0))),""))</f>
        <v/>
      </c>
      <c r="AO111" s="37">
        <f>IF($AB111="","",IFERROR(IF(INDEX($AV$21:$AV$40,MATCH('02_Buyers'!$S108,$AS$21:$AS$40,0))="","",INDEX($AV$21:$AV$40,MATCH('02_Buyers'!$S108,$AS$21:$AS$40,0))),""))</f>
        <v/>
      </c>
      <c r="AP111" s="37">
        <f>IF(OR($AB111="",$AN111="",$AO111=""),"",IF($AN111&gt;$AO111,"국가등급 하향 — 한도 재산정",""))</f>
        <v/>
      </c>
      <c r="AQ111" s="37">
        <f>IF($AH111="선적 보류",COUNTIF($AH$5:$AH111,"선적 보류"),"")</f>
        <v/>
      </c>
    </row>
    <row r="112">
      <c r="A112" t="inlineStr">
        <is>
          <t>INV-2609-0007</t>
        </is>
      </c>
      <c r="B112" t="inlineStr">
        <is>
          <t>B057</t>
        </is>
      </c>
      <c r="C112" t="inlineStr">
        <is>
          <t>VNM</t>
        </is>
      </c>
      <c r="D112" t="inlineStr">
        <is>
          <t>LC_USANCE</t>
        </is>
      </c>
      <c r="E112" t="inlineStr">
        <is>
          <t>USD</t>
        </is>
      </c>
      <c r="F112" t="inlineStr">
        <is>
          <t>N</t>
        </is>
      </c>
      <c r="G112" s="32" t="n">
        <v>46267</v>
      </c>
      <c r="H112" s="32" t="n">
        <v>46357</v>
      </c>
      <c r="I112" s="82" t="n">
        <v>5700</v>
      </c>
      <c r="J112" s="82" t="n">
        <v>5700</v>
      </c>
      <c r="K112" t="inlineStr">
        <is>
          <t>N</t>
        </is>
      </c>
      <c r="N112" t="inlineStr">
        <is>
          <t>N</t>
        </is>
      </c>
      <c r="O112" s="37">
        <f>IF($A112="","",AsOf-$H112)</f>
        <v/>
      </c>
      <c r="P112" s="37">
        <f>IF($A112="","",IF($K112="Y","-",IF($O112&gt;=30,"D+30 최종통지·선적보류",IF($O112&gt;=15,"D+15 단호한 통지",IF($O112&gt;=7,"D+7 친절한 리마인더",IF(AND($O112&gt;=-3,$O112&lt;=-1),"D-3 사전 안내","모니터링"))))))</f>
        <v/>
      </c>
      <c r="Q112" s="83">
        <f>IF($A112="","",EDATE($H112,1))</f>
        <v/>
      </c>
      <c r="R112" s="37">
        <f>IF($A112="","",$Q112-AsOf)</f>
        <v/>
      </c>
      <c r="S112" s="37">
        <f>IF($A112="","",IF(OR($K112="Y",$F112&lt;&gt;"Y",$O112&lt;=0),"",IF($R112&lt;0,"통지 기한 경과 — 즉시 확인",IF($R112&lt;=NoticeWarnDays,"통지 기한 임박 — 사람 결정",""))))</f>
        <v/>
      </c>
      <c r="T112" s="83">
        <f>IF(OR($A112="",$F112&lt;&gt;"Y"),"",IF(IF($L112="",InsuranceType,$L112)="포괄",DATE(YEAR($G112),MONTH($G112)+1,20),WORKDAY($G112,10)))</f>
        <v/>
      </c>
      <c r="U112" s="83">
        <f>IF(OR($A112="",$M112=""),"",WORKDAY($M112,10))</f>
        <v/>
      </c>
      <c r="V112" s="37">
        <f>IF($A112="","",IF($N112="Y","사기 의심: 콜백 검증 전 대금 안내 중단",""))</f>
        <v/>
      </c>
      <c r="W112" s="37">
        <f>IF($A112="","",IF(AND($K112="N",$D112&lt;&gt;"LC_SIGHT",$D112&lt;&gt;"LC_USANCE",$D112&lt;&gt;"TT_ADV"),$O112,""))</f>
        <v/>
      </c>
      <c r="X112" s="37">
        <f>IF($A112="",0,IF(AND($K112="N",$D112&lt;&gt;"LC_SIGHT",$D112&lt;&gt;"LC_USANCE",$D112&lt;&gt;"TT_ADV",$O112&gt;=30),1,0))</f>
        <v/>
      </c>
      <c r="Y112" s="37">
        <f>IF($A112="","",IF($O112&lt;=0,"미연체",IF($O112&lt;=30,"1-30",IF($O112&lt;=90,"31-90",IF($O112&lt;=180,"91-180",IF($O112&lt;=365,"181-365","365+"))))))</f>
        <v/>
      </c>
      <c r="Z112" s="37">
        <f>IF($S112="통지 기한 임박 — 사람 결정",COUNTIF($S$5:$S112,"통지 기한 임박 — 사람 결정"),"")</f>
        <v/>
      </c>
      <c r="AB112" s="37">
        <f>IF('02_Buyers'!$A109="","",'02_Buyers'!$A109)</f>
        <v/>
      </c>
      <c r="AC112" s="37">
        <f>IF($AB112="","",'02_Buyers'!$AH109)</f>
        <v/>
      </c>
      <c r="AD112" s="37">
        <f>IF($AB112="","",COUNTIFS(inv_buyer,$AB112,inv_paid,"N"))</f>
        <v/>
      </c>
      <c r="AE112" s="40">
        <f>IF($AB112="","",SUMIFS(inv_usd,inv_buyer,$AB112,inv_paid,"N"))</f>
        <v/>
      </c>
      <c r="AF112" s="37">
        <f>IF($AB112="","",_xlfn.MAXIFS(inv_nonlc_dpd,inv_buyer,$AB112))</f>
        <v/>
      </c>
      <c r="AG112" s="37">
        <f>IF($AB112="","",COUNTIFS(inv_buyer,$AB112,inv_hold30,1))</f>
        <v/>
      </c>
      <c r="AH112" s="37">
        <f>IF($AB112="","",IF(OR($AC112=1,$AG112&gt;0),"선적 보류",""))</f>
        <v/>
      </c>
      <c r="AI112" s="37">
        <f>IF($AH112&lt;&gt;"선적 보류","","내부 에스컬레이션: 여신 한도 동결 제안(사람 승인)")</f>
        <v/>
      </c>
      <c r="AJ112" s="37">
        <f>IF($AB112="","",COUNTIFS(inv_buyer,$AB112,inv_alert,"통지 기한 임박*"))</f>
        <v/>
      </c>
      <c r="AK112" s="40">
        <f>IF($AB112="","",'10_LimitLP'!$F112)</f>
        <v/>
      </c>
      <c r="AL112" s="84">
        <f>IF(OR($AB112="",$AK112&lt;=0),"",$AE112/$AK112)</f>
        <v/>
      </c>
      <c r="AM112" s="37">
        <f>IF($AL112="","",IF($AL112&gt;=0.8,"사용률 80%↑ — 출고 전 사전승인(제18조)",""))</f>
        <v/>
      </c>
      <c r="AN112" s="37">
        <f>IF($AB112="","",IFERROR(IF(INDEX($AU$21:$AU$40,MATCH('02_Buyers'!$S109,$AS$21:$AS$40,0))="","",INDEX($AU$21:$AU$40,MATCH('02_Buyers'!$S109,$AS$21:$AS$40,0))),""))</f>
        <v/>
      </c>
      <c r="AO112" s="37">
        <f>IF($AB112="","",IFERROR(IF(INDEX($AV$21:$AV$40,MATCH('02_Buyers'!$S109,$AS$21:$AS$40,0))="","",INDEX($AV$21:$AV$40,MATCH('02_Buyers'!$S109,$AS$21:$AS$40,0))),""))</f>
        <v/>
      </c>
      <c r="AP112" s="37">
        <f>IF(OR($AB112="",$AN112="",$AO112=""),"",IF($AN112&gt;$AO112,"국가등급 하향 — 한도 재산정",""))</f>
        <v/>
      </c>
      <c r="AQ112" s="37">
        <f>IF($AH112="선적 보류",COUNTIF($AH$5:$AH112,"선적 보류"),"")</f>
        <v/>
      </c>
    </row>
    <row r="113">
      <c r="A113" t="inlineStr">
        <is>
          <t>INV-2609-0015</t>
        </is>
      </c>
      <c r="B113" t="inlineStr">
        <is>
          <t>B057</t>
        </is>
      </c>
      <c r="C113" t="inlineStr">
        <is>
          <t>VNM</t>
        </is>
      </c>
      <c r="D113" t="inlineStr">
        <is>
          <t>LC_USANCE</t>
        </is>
      </c>
      <c r="E113" t="inlineStr">
        <is>
          <t>USD</t>
        </is>
      </c>
      <c r="F113" t="inlineStr">
        <is>
          <t>N</t>
        </is>
      </c>
      <c r="G113" s="32" t="n">
        <v>46268</v>
      </c>
      <c r="H113" s="32" t="n">
        <v>46358</v>
      </c>
      <c r="I113" s="82" t="n">
        <v>5270</v>
      </c>
      <c r="J113" s="82" t="n">
        <v>5270</v>
      </c>
      <c r="K113" t="inlineStr">
        <is>
          <t>N</t>
        </is>
      </c>
      <c r="N113" t="inlineStr">
        <is>
          <t>N</t>
        </is>
      </c>
      <c r="O113" s="37">
        <f>IF($A113="","",AsOf-$H113)</f>
        <v/>
      </c>
      <c r="P113" s="37">
        <f>IF($A113="","",IF($K113="Y","-",IF($O113&gt;=30,"D+30 최종통지·선적보류",IF($O113&gt;=15,"D+15 단호한 통지",IF($O113&gt;=7,"D+7 친절한 리마인더",IF(AND($O113&gt;=-3,$O113&lt;=-1),"D-3 사전 안내","모니터링"))))))</f>
        <v/>
      </c>
      <c r="Q113" s="83">
        <f>IF($A113="","",EDATE($H113,1))</f>
        <v/>
      </c>
      <c r="R113" s="37">
        <f>IF($A113="","",$Q113-AsOf)</f>
        <v/>
      </c>
      <c r="S113" s="37">
        <f>IF($A113="","",IF(OR($K113="Y",$F113&lt;&gt;"Y",$O113&lt;=0),"",IF($R113&lt;0,"통지 기한 경과 — 즉시 확인",IF($R113&lt;=NoticeWarnDays,"통지 기한 임박 — 사람 결정",""))))</f>
        <v/>
      </c>
      <c r="T113" s="83">
        <f>IF(OR($A113="",$F113&lt;&gt;"Y"),"",IF(IF($L113="",InsuranceType,$L113)="포괄",DATE(YEAR($G113),MONTH($G113)+1,20),WORKDAY($G113,10)))</f>
        <v/>
      </c>
      <c r="U113" s="83">
        <f>IF(OR($A113="",$M113=""),"",WORKDAY($M113,10))</f>
        <v/>
      </c>
      <c r="V113" s="37">
        <f>IF($A113="","",IF($N113="Y","사기 의심: 콜백 검증 전 대금 안내 중단",""))</f>
        <v/>
      </c>
      <c r="W113" s="37">
        <f>IF($A113="","",IF(AND($K113="N",$D113&lt;&gt;"LC_SIGHT",$D113&lt;&gt;"LC_USANCE",$D113&lt;&gt;"TT_ADV"),$O113,""))</f>
        <v/>
      </c>
      <c r="X113" s="37">
        <f>IF($A113="",0,IF(AND($K113="N",$D113&lt;&gt;"LC_SIGHT",$D113&lt;&gt;"LC_USANCE",$D113&lt;&gt;"TT_ADV",$O113&gt;=30),1,0))</f>
        <v/>
      </c>
      <c r="Y113" s="37">
        <f>IF($A113="","",IF($O113&lt;=0,"미연체",IF($O113&lt;=30,"1-30",IF($O113&lt;=90,"31-90",IF($O113&lt;=180,"91-180",IF($O113&lt;=365,"181-365","365+"))))))</f>
        <v/>
      </c>
      <c r="Z113" s="37">
        <f>IF($S113="통지 기한 임박 — 사람 결정",COUNTIF($S$5:$S113,"통지 기한 임박 — 사람 결정"),"")</f>
        <v/>
      </c>
      <c r="AB113" s="37">
        <f>IF('02_Buyers'!$A110="","",'02_Buyers'!$A110)</f>
        <v/>
      </c>
      <c r="AC113" s="37">
        <f>IF($AB113="","",'02_Buyers'!$AH110)</f>
        <v/>
      </c>
      <c r="AD113" s="37">
        <f>IF($AB113="","",COUNTIFS(inv_buyer,$AB113,inv_paid,"N"))</f>
        <v/>
      </c>
      <c r="AE113" s="40">
        <f>IF($AB113="","",SUMIFS(inv_usd,inv_buyer,$AB113,inv_paid,"N"))</f>
        <v/>
      </c>
      <c r="AF113" s="37">
        <f>IF($AB113="","",_xlfn.MAXIFS(inv_nonlc_dpd,inv_buyer,$AB113))</f>
        <v/>
      </c>
      <c r="AG113" s="37">
        <f>IF($AB113="","",COUNTIFS(inv_buyer,$AB113,inv_hold30,1))</f>
        <v/>
      </c>
      <c r="AH113" s="37">
        <f>IF($AB113="","",IF(OR($AC113=1,$AG113&gt;0),"선적 보류",""))</f>
        <v/>
      </c>
      <c r="AI113" s="37">
        <f>IF($AH113&lt;&gt;"선적 보류","","내부 에스컬레이션: 여신 한도 동결 제안(사람 승인)")</f>
        <v/>
      </c>
      <c r="AJ113" s="37">
        <f>IF($AB113="","",COUNTIFS(inv_buyer,$AB113,inv_alert,"통지 기한 임박*"))</f>
        <v/>
      </c>
      <c r="AK113" s="40">
        <f>IF($AB113="","",'10_LimitLP'!$F113)</f>
        <v/>
      </c>
      <c r="AL113" s="84">
        <f>IF(OR($AB113="",$AK113&lt;=0),"",$AE113/$AK113)</f>
        <v/>
      </c>
      <c r="AM113" s="37">
        <f>IF($AL113="","",IF($AL113&gt;=0.8,"사용률 80%↑ — 출고 전 사전승인(제18조)",""))</f>
        <v/>
      </c>
      <c r="AN113" s="37">
        <f>IF($AB113="","",IFERROR(IF(INDEX($AU$21:$AU$40,MATCH('02_Buyers'!$S110,$AS$21:$AS$40,0))="","",INDEX($AU$21:$AU$40,MATCH('02_Buyers'!$S110,$AS$21:$AS$40,0))),""))</f>
        <v/>
      </c>
      <c r="AO113" s="37">
        <f>IF($AB113="","",IFERROR(IF(INDEX($AV$21:$AV$40,MATCH('02_Buyers'!$S110,$AS$21:$AS$40,0))="","",INDEX($AV$21:$AV$40,MATCH('02_Buyers'!$S110,$AS$21:$AS$40,0))),""))</f>
        <v/>
      </c>
      <c r="AP113" s="37">
        <f>IF(OR($AB113="",$AN113="",$AO113=""),"",IF($AN113&gt;$AO113,"국가등급 하향 — 한도 재산정",""))</f>
        <v/>
      </c>
      <c r="AQ113" s="37">
        <f>IF($AH113="선적 보류",COUNTIF($AH$5:$AH113,"선적 보류"),"")</f>
        <v/>
      </c>
    </row>
    <row r="114">
      <c r="A114" t="inlineStr">
        <is>
          <t>INV-2609-0016</t>
        </is>
      </c>
      <c r="B114" t="inlineStr">
        <is>
          <t>B057</t>
        </is>
      </c>
      <c r="C114" t="inlineStr">
        <is>
          <t>VNM</t>
        </is>
      </c>
      <c r="D114" t="inlineStr">
        <is>
          <t>LC_USANCE</t>
        </is>
      </c>
      <c r="E114" t="inlineStr">
        <is>
          <t>USD</t>
        </is>
      </c>
      <c r="F114" t="inlineStr">
        <is>
          <t>N</t>
        </is>
      </c>
      <c r="G114" s="32" t="n">
        <v>46268</v>
      </c>
      <c r="H114" s="32" t="n">
        <v>46358</v>
      </c>
      <c r="I114" s="82" t="n">
        <v>6430</v>
      </c>
      <c r="J114" s="82" t="n">
        <v>6430</v>
      </c>
      <c r="K114" t="inlineStr">
        <is>
          <t>N</t>
        </is>
      </c>
      <c r="N114" t="inlineStr">
        <is>
          <t>N</t>
        </is>
      </c>
      <c r="O114" s="37">
        <f>IF($A114="","",AsOf-$H114)</f>
        <v/>
      </c>
      <c r="P114" s="37">
        <f>IF($A114="","",IF($K114="Y","-",IF($O114&gt;=30,"D+30 최종통지·선적보류",IF($O114&gt;=15,"D+15 단호한 통지",IF($O114&gt;=7,"D+7 친절한 리마인더",IF(AND($O114&gt;=-3,$O114&lt;=-1),"D-3 사전 안내","모니터링"))))))</f>
        <v/>
      </c>
      <c r="Q114" s="83">
        <f>IF($A114="","",EDATE($H114,1))</f>
        <v/>
      </c>
      <c r="R114" s="37">
        <f>IF($A114="","",$Q114-AsOf)</f>
        <v/>
      </c>
      <c r="S114" s="37">
        <f>IF($A114="","",IF(OR($K114="Y",$F114&lt;&gt;"Y",$O114&lt;=0),"",IF($R114&lt;0,"통지 기한 경과 — 즉시 확인",IF($R114&lt;=NoticeWarnDays,"통지 기한 임박 — 사람 결정",""))))</f>
        <v/>
      </c>
      <c r="T114" s="83">
        <f>IF(OR($A114="",$F114&lt;&gt;"Y"),"",IF(IF($L114="",InsuranceType,$L114)="포괄",DATE(YEAR($G114),MONTH($G114)+1,20),WORKDAY($G114,10)))</f>
        <v/>
      </c>
      <c r="U114" s="83">
        <f>IF(OR($A114="",$M114=""),"",WORKDAY($M114,10))</f>
        <v/>
      </c>
      <c r="V114" s="37">
        <f>IF($A114="","",IF($N114="Y","사기 의심: 콜백 검증 전 대금 안내 중단",""))</f>
        <v/>
      </c>
      <c r="W114" s="37">
        <f>IF($A114="","",IF(AND($K114="N",$D114&lt;&gt;"LC_SIGHT",$D114&lt;&gt;"LC_USANCE",$D114&lt;&gt;"TT_ADV"),$O114,""))</f>
        <v/>
      </c>
      <c r="X114" s="37">
        <f>IF($A114="",0,IF(AND($K114="N",$D114&lt;&gt;"LC_SIGHT",$D114&lt;&gt;"LC_USANCE",$D114&lt;&gt;"TT_ADV",$O114&gt;=30),1,0))</f>
        <v/>
      </c>
      <c r="Y114" s="37">
        <f>IF($A114="","",IF($O114&lt;=0,"미연체",IF($O114&lt;=30,"1-30",IF($O114&lt;=90,"31-90",IF($O114&lt;=180,"91-180",IF($O114&lt;=365,"181-365","365+"))))))</f>
        <v/>
      </c>
      <c r="Z114" s="37">
        <f>IF($S114="통지 기한 임박 — 사람 결정",COUNTIF($S$5:$S114,"통지 기한 임박 — 사람 결정"),"")</f>
        <v/>
      </c>
      <c r="AB114" s="37">
        <f>IF('02_Buyers'!$A111="","",'02_Buyers'!$A111)</f>
        <v/>
      </c>
      <c r="AC114" s="37">
        <f>IF($AB114="","",'02_Buyers'!$AH111)</f>
        <v/>
      </c>
      <c r="AD114" s="37">
        <f>IF($AB114="","",COUNTIFS(inv_buyer,$AB114,inv_paid,"N"))</f>
        <v/>
      </c>
      <c r="AE114" s="40">
        <f>IF($AB114="","",SUMIFS(inv_usd,inv_buyer,$AB114,inv_paid,"N"))</f>
        <v/>
      </c>
      <c r="AF114" s="37">
        <f>IF($AB114="","",_xlfn.MAXIFS(inv_nonlc_dpd,inv_buyer,$AB114))</f>
        <v/>
      </c>
      <c r="AG114" s="37">
        <f>IF($AB114="","",COUNTIFS(inv_buyer,$AB114,inv_hold30,1))</f>
        <v/>
      </c>
      <c r="AH114" s="37">
        <f>IF($AB114="","",IF(OR($AC114=1,$AG114&gt;0),"선적 보류",""))</f>
        <v/>
      </c>
      <c r="AI114" s="37">
        <f>IF($AH114&lt;&gt;"선적 보류","","내부 에스컬레이션: 여신 한도 동결 제안(사람 승인)")</f>
        <v/>
      </c>
      <c r="AJ114" s="37">
        <f>IF($AB114="","",COUNTIFS(inv_buyer,$AB114,inv_alert,"통지 기한 임박*"))</f>
        <v/>
      </c>
      <c r="AK114" s="40">
        <f>IF($AB114="","",'10_LimitLP'!$F114)</f>
        <v/>
      </c>
      <c r="AL114" s="84">
        <f>IF(OR($AB114="",$AK114&lt;=0),"",$AE114/$AK114)</f>
        <v/>
      </c>
      <c r="AM114" s="37">
        <f>IF($AL114="","",IF($AL114&gt;=0.8,"사용률 80%↑ — 출고 전 사전승인(제18조)",""))</f>
        <v/>
      </c>
      <c r="AN114" s="37">
        <f>IF($AB114="","",IFERROR(IF(INDEX($AU$21:$AU$40,MATCH('02_Buyers'!$S111,$AS$21:$AS$40,0))="","",INDEX($AU$21:$AU$40,MATCH('02_Buyers'!$S111,$AS$21:$AS$40,0))),""))</f>
        <v/>
      </c>
      <c r="AO114" s="37">
        <f>IF($AB114="","",IFERROR(IF(INDEX($AV$21:$AV$40,MATCH('02_Buyers'!$S111,$AS$21:$AS$40,0))="","",INDEX($AV$21:$AV$40,MATCH('02_Buyers'!$S111,$AS$21:$AS$40,0))),""))</f>
        <v/>
      </c>
      <c r="AP114" s="37">
        <f>IF(OR($AB114="",$AN114="",$AO114=""),"",IF($AN114&gt;$AO114,"국가등급 하향 — 한도 재산정",""))</f>
        <v/>
      </c>
      <c r="AQ114" s="37">
        <f>IF($AH114="선적 보류",COUNTIF($AH$5:$AH114,"선적 보류"),"")</f>
        <v/>
      </c>
    </row>
    <row r="115">
      <c r="A115" t="inlineStr">
        <is>
          <t>INV-2609-0062</t>
        </is>
      </c>
      <c r="B115" t="inlineStr">
        <is>
          <t>B057</t>
        </is>
      </c>
      <c r="C115" t="inlineStr">
        <is>
          <t>VNM</t>
        </is>
      </c>
      <c r="D115" t="inlineStr">
        <is>
          <t>LC_USANCE</t>
        </is>
      </c>
      <c r="E115" t="inlineStr">
        <is>
          <t>USD</t>
        </is>
      </c>
      <c r="F115" t="inlineStr">
        <is>
          <t>N</t>
        </is>
      </c>
      <c r="G115" s="32" t="n">
        <v>46277</v>
      </c>
      <c r="H115" s="32" t="n">
        <v>46367</v>
      </c>
      <c r="I115" s="82" t="n">
        <v>1950</v>
      </c>
      <c r="J115" s="82" t="n">
        <v>1950</v>
      </c>
      <c r="K115" t="inlineStr">
        <is>
          <t>N</t>
        </is>
      </c>
      <c r="N115" t="inlineStr">
        <is>
          <t>N</t>
        </is>
      </c>
      <c r="O115" s="37">
        <f>IF($A115="","",AsOf-$H115)</f>
        <v/>
      </c>
      <c r="P115" s="37">
        <f>IF($A115="","",IF($K115="Y","-",IF($O115&gt;=30,"D+30 최종통지·선적보류",IF($O115&gt;=15,"D+15 단호한 통지",IF($O115&gt;=7,"D+7 친절한 리마인더",IF(AND($O115&gt;=-3,$O115&lt;=-1),"D-3 사전 안내","모니터링"))))))</f>
        <v/>
      </c>
      <c r="Q115" s="83">
        <f>IF($A115="","",EDATE($H115,1))</f>
        <v/>
      </c>
      <c r="R115" s="37">
        <f>IF($A115="","",$Q115-AsOf)</f>
        <v/>
      </c>
      <c r="S115" s="37">
        <f>IF($A115="","",IF(OR($K115="Y",$F115&lt;&gt;"Y",$O115&lt;=0),"",IF($R115&lt;0,"통지 기한 경과 — 즉시 확인",IF($R115&lt;=NoticeWarnDays,"통지 기한 임박 — 사람 결정",""))))</f>
        <v/>
      </c>
      <c r="T115" s="83">
        <f>IF(OR($A115="",$F115&lt;&gt;"Y"),"",IF(IF($L115="",InsuranceType,$L115)="포괄",DATE(YEAR($G115),MONTH($G115)+1,20),WORKDAY($G115,10)))</f>
        <v/>
      </c>
      <c r="U115" s="83">
        <f>IF(OR($A115="",$M115=""),"",WORKDAY($M115,10))</f>
        <v/>
      </c>
      <c r="V115" s="37">
        <f>IF($A115="","",IF($N115="Y","사기 의심: 콜백 검증 전 대금 안내 중단",""))</f>
        <v/>
      </c>
      <c r="W115" s="37">
        <f>IF($A115="","",IF(AND($K115="N",$D115&lt;&gt;"LC_SIGHT",$D115&lt;&gt;"LC_USANCE",$D115&lt;&gt;"TT_ADV"),$O115,""))</f>
        <v/>
      </c>
      <c r="X115" s="37">
        <f>IF($A115="",0,IF(AND($K115="N",$D115&lt;&gt;"LC_SIGHT",$D115&lt;&gt;"LC_USANCE",$D115&lt;&gt;"TT_ADV",$O115&gt;=30),1,0))</f>
        <v/>
      </c>
      <c r="Y115" s="37">
        <f>IF($A115="","",IF($O115&lt;=0,"미연체",IF($O115&lt;=30,"1-30",IF($O115&lt;=90,"31-90",IF($O115&lt;=180,"91-180",IF($O115&lt;=365,"181-365","365+"))))))</f>
        <v/>
      </c>
      <c r="Z115" s="37">
        <f>IF($S115="통지 기한 임박 — 사람 결정",COUNTIF($S$5:$S115,"통지 기한 임박 — 사람 결정"),"")</f>
        <v/>
      </c>
      <c r="AB115" s="37">
        <f>IF('02_Buyers'!$A112="","",'02_Buyers'!$A112)</f>
        <v/>
      </c>
      <c r="AC115" s="37">
        <f>IF($AB115="","",'02_Buyers'!$AH112)</f>
        <v/>
      </c>
      <c r="AD115" s="37">
        <f>IF($AB115="","",COUNTIFS(inv_buyer,$AB115,inv_paid,"N"))</f>
        <v/>
      </c>
      <c r="AE115" s="40">
        <f>IF($AB115="","",SUMIFS(inv_usd,inv_buyer,$AB115,inv_paid,"N"))</f>
        <v/>
      </c>
      <c r="AF115" s="37">
        <f>IF($AB115="","",_xlfn.MAXIFS(inv_nonlc_dpd,inv_buyer,$AB115))</f>
        <v/>
      </c>
      <c r="AG115" s="37">
        <f>IF($AB115="","",COUNTIFS(inv_buyer,$AB115,inv_hold30,1))</f>
        <v/>
      </c>
      <c r="AH115" s="37">
        <f>IF($AB115="","",IF(OR($AC115=1,$AG115&gt;0),"선적 보류",""))</f>
        <v/>
      </c>
      <c r="AI115" s="37">
        <f>IF($AH115&lt;&gt;"선적 보류","","내부 에스컬레이션: 여신 한도 동결 제안(사람 승인)")</f>
        <v/>
      </c>
      <c r="AJ115" s="37">
        <f>IF($AB115="","",COUNTIFS(inv_buyer,$AB115,inv_alert,"통지 기한 임박*"))</f>
        <v/>
      </c>
      <c r="AK115" s="40">
        <f>IF($AB115="","",'10_LimitLP'!$F115)</f>
        <v/>
      </c>
      <c r="AL115" s="84">
        <f>IF(OR($AB115="",$AK115&lt;=0),"",$AE115/$AK115)</f>
        <v/>
      </c>
      <c r="AM115" s="37">
        <f>IF($AL115="","",IF($AL115&gt;=0.8,"사용률 80%↑ — 출고 전 사전승인(제18조)",""))</f>
        <v/>
      </c>
      <c r="AN115" s="37">
        <f>IF($AB115="","",IFERROR(IF(INDEX($AU$21:$AU$40,MATCH('02_Buyers'!$S112,$AS$21:$AS$40,0))="","",INDEX($AU$21:$AU$40,MATCH('02_Buyers'!$S112,$AS$21:$AS$40,0))),""))</f>
        <v/>
      </c>
      <c r="AO115" s="37">
        <f>IF($AB115="","",IFERROR(IF(INDEX($AV$21:$AV$40,MATCH('02_Buyers'!$S112,$AS$21:$AS$40,0))="","",INDEX($AV$21:$AV$40,MATCH('02_Buyers'!$S112,$AS$21:$AS$40,0))),""))</f>
        <v/>
      </c>
      <c r="AP115" s="37">
        <f>IF(OR($AB115="",$AN115="",$AO115=""),"",IF($AN115&gt;$AO115,"국가등급 하향 — 한도 재산정",""))</f>
        <v/>
      </c>
      <c r="AQ115" s="37">
        <f>IF($AH115="선적 보류",COUNTIF($AH$5:$AH115,"선적 보류"),"")</f>
        <v/>
      </c>
    </row>
    <row r="116">
      <c r="A116" t="inlineStr">
        <is>
          <t>INV-2609-0080</t>
        </is>
      </c>
      <c r="B116" t="inlineStr">
        <is>
          <t>B057</t>
        </is>
      </c>
      <c r="C116" t="inlineStr">
        <is>
          <t>VNM</t>
        </is>
      </c>
      <c r="D116" t="inlineStr">
        <is>
          <t>LC_USANCE</t>
        </is>
      </c>
      <c r="E116" t="inlineStr">
        <is>
          <t>USD</t>
        </is>
      </c>
      <c r="F116" t="inlineStr">
        <is>
          <t>N</t>
        </is>
      </c>
      <c r="G116" s="32" t="n">
        <v>46280</v>
      </c>
      <c r="H116" s="32" t="n">
        <v>46370</v>
      </c>
      <c r="I116" s="82" t="n">
        <v>3920</v>
      </c>
      <c r="J116" s="82" t="n">
        <v>3920</v>
      </c>
      <c r="K116" t="inlineStr">
        <is>
          <t>N</t>
        </is>
      </c>
      <c r="N116" t="inlineStr">
        <is>
          <t>N</t>
        </is>
      </c>
      <c r="O116" s="37">
        <f>IF($A116="","",AsOf-$H116)</f>
        <v/>
      </c>
      <c r="P116" s="37">
        <f>IF($A116="","",IF($K116="Y","-",IF($O116&gt;=30,"D+30 최종통지·선적보류",IF($O116&gt;=15,"D+15 단호한 통지",IF($O116&gt;=7,"D+7 친절한 리마인더",IF(AND($O116&gt;=-3,$O116&lt;=-1),"D-3 사전 안내","모니터링"))))))</f>
        <v/>
      </c>
      <c r="Q116" s="83">
        <f>IF($A116="","",EDATE($H116,1))</f>
        <v/>
      </c>
      <c r="R116" s="37">
        <f>IF($A116="","",$Q116-AsOf)</f>
        <v/>
      </c>
      <c r="S116" s="37">
        <f>IF($A116="","",IF(OR($K116="Y",$F116&lt;&gt;"Y",$O116&lt;=0),"",IF($R116&lt;0,"통지 기한 경과 — 즉시 확인",IF($R116&lt;=NoticeWarnDays,"통지 기한 임박 — 사람 결정",""))))</f>
        <v/>
      </c>
      <c r="T116" s="83">
        <f>IF(OR($A116="",$F116&lt;&gt;"Y"),"",IF(IF($L116="",InsuranceType,$L116)="포괄",DATE(YEAR($G116),MONTH($G116)+1,20),WORKDAY($G116,10)))</f>
        <v/>
      </c>
      <c r="U116" s="83">
        <f>IF(OR($A116="",$M116=""),"",WORKDAY($M116,10))</f>
        <v/>
      </c>
      <c r="V116" s="37">
        <f>IF($A116="","",IF($N116="Y","사기 의심: 콜백 검증 전 대금 안내 중단",""))</f>
        <v/>
      </c>
      <c r="W116" s="37">
        <f>IF($A116="","",IF(AND($K116="N",$D116&lt;&gt;"LC_SIGHT",$D116&lt;&gt;"LC_USANCE",$D116&lt;&gt;"TT_ADV"),$O116,""))</f>
        <v/>
      </c>
      <c r="X116" s="37">
        <f>IF($A116="",0,IF(AND($K116="N",$D116&lt;&gt;"LC_SIGHT",$D116&lt;&gt;"LC_USANCE",$D116&lt;&gt;"TT_ADV",$O116&gt;=30),1,0))</f>
        <v/>
      </c>
      <c r="Y116" s="37">
        <f>IF($A116="","",IF($O116&lt;=0,"미연체",IF($O116&lt;=30,"1-30",IF($O116&lt;=90,"31-90",IF($O116&lt;=180,"91-180",IF($O116&lt;=365,"181-365","365+"))))))</f>
        <v/>
      </c>
      <c r="Z116" s="37">
        <f>IF($S116="통지 기한 임박 — 사람 결정",COUNTIF($S$5:$S116,"통지 기한 임박 — 사람 결정"),"")</f>
        <v/>
      </c>
      <c r="AB116" s="37">
        <f>IF('02_Buyers'!$A113="","",'02_Buyers'!$A113)</f>
        <v/>
      </c>
      <c r="AC116" s="37">
        <f>IF($AB116="","",'02_Buyers'!$AH113)</f>
        <v/>
      </c>
      <c r="AD116" s="37">
        <f>IF($AB116="","",COUNTIFS(inv_buyer,$AB116,inv_paid,"N"))</f>
        <v/>
      </c>
      <c r="AE116" s="40">
        <f>IF($AB116="","",SUMIFS(inv_usd,inv_buyer,$AB116,inv_paid,"N"))</f>
        <v/>
      </c>
      <c r="AF116" s="37">
        <f>IF($AB116="","",_xlfn.MAXIFS(inv_nonlc_dpd,inv_buyer,$AB116))</f>
        <v/>
      </c>
      <c r="AG116" s="37">
        <f>IF($AB116="","",COUNTIFS(inv_buyer,$AB116,inv_hold30,1))</f>
        <v/>
      </c>
      <c r="AH116" s="37">
        <f>IF($AB116="","",IF(OR($AC116=1,$AG116&gt;0),"선적 보류",""))</f>
        <v/>
      </c>
      <c r="AI116" s="37">
        <f>IF($AH116&lt;&gt;"선적 보류","","내부 에스컬레이션: 여신 한도 동결 제안(사람 승인)")</f>
        <v/>
      </c>
      <c r="AJ116" s="37">
        <f>IF($AB116="","",COUNTIFS(inv_buyer,$AB116,inv_alert,"통지 기한 임박*"))</f>
        <v/>
      </c>
      <c r="AK116" s="40">
        <f>IF($AB116="","",'10_LimitLP'!$F116)</f>
        <v/>
      </c>
      <c r="AL116" s="84">
        <f>IF(OR($AB116="",$AK116&lt;=0),"",$AE116/$AK116)</f>
        <v/>
      </c>
      <c r="AM116" s="37">
        <f>IF($AL116="","",IF($AL116&gt;=0.8,"사용률 80%↑ — 출고 전 사전승인(제18조)",""))</f>
        <v/>
      </c>
      <c r="AN116" s="37">
        <f>IF($AB116="","",IFERROR(IF(INDEX($AU$21:$AU$40,MATCH('02_Buyers'!$S113,$AS$21:$AS$40,0))="","",INDEX($AU$21:$AU$40,MATCH('02_Buyers'!$S113,$AS$21:$AS$40,0))),""))</f>
        <v/>
      </c>
      <c r="AO116" s="37">
        <f>IF($AB116="","",IFERROR(IF(INDEX($AV$21:$AV$40,MATCH('02_Buyers'!$S113,$AS$21:$AS$40,0))="","",INDEX($AV$21:$AV$40,MATCH('02_Buyers'!$S113,$AS$21:$AS$40,0))),""))</f>
        <v/>
      </c>
      <c r="AP116" s="37">
        <f>IF(OR($AB116="",$AN116="",$AO116=""),"",IF($AN116&gt;$AO116,"국가등급 하향 — 한도 재산정",""))</f>
        <v/>
      </c>
      <c r="AQ116" s="37">
        <f>IF($AH116="선적 보류",COUNTIF($AH$5:$AH116,"선적 보류"),"")</f>
        <v/>
      </c>
    </row>
    <row r="117">
      <c r="A117" t="inlineStr">
        <is>
          <t>INV-2609-0111</t>
        </is>
      </c>
      <c r="B117" t="inlineStr">
        <is>
          <t>B057</t>
        </is>
      </c>
      <c r="C117" t="inlineStr">
        <is>
          <t>VNM</t>
        </is>
      </c>
      <c r="D117" t="inlineStr">
        <is>
          <t>LC_USANCE</t>
        </is>
      </c>
      <c r="E117" t="inlineStr">
        <is>
          <t>USD</t>
        </is>
      </c>
      <c r="F117" t="inlineStr">
        <is>
          <t>N</t>
        </is>
      </c>
      <c r="G117" s="32" t="n">
        <v>46286</v>
      </c>
      <c r="H117" s="32" t="n">
        <v>46376</v>
      </c>
      <c r="I117" s="82" t="n">
        <v>1850</v>
      </c>
      <c r="J117" s="82" t="n">
        <v>1850</v>
      </c>
      <c r="K117" t="inlineStr">
        <is>
          <t>N</t>
        </is>
      </c>
      <c r="N117" t="inlineStr">
        <is>
          <t>N</t>
        </is>
      </c>
      <c r="O117" s="37">
        <f>IF($A117="","",AsOf-$H117)</f>
        <v/>
      </c>
      <c r="P117" s="37">
        <f>IF($A117="","",IF($K117="Y","-",IF($O117&gt;=30,"D+30 최종통지·선적보류",IF($O117&gt;=15,"D+15 단호한 통지",IF($O117&gt;=7,"D+7 친절한 리마인더",IF(AND($O117&gt;=-3,$O117&lt;=-1),"D-3 사전 안내","모니터링"))))))</f>
        <v/>
      </c>
      <c r="Q117" s="83">
        <f>IF($A117="","",EDATE($H117,1))</f>
        <v/>
      </c>
      <c r="R117" s="37">
        <f>IF($A117="","",$Q117-AsOf)</f>
        <v/>
      </c>
      <c r="S117" s="37">
        <f>IF($A117="","",IF(OR($K117="Y",$F117&lt;&gt;"Y",$O117&lt;=0),"",IF($R117&lt;0,"통지 기한 경과 — 즉시 확인",IF($R117&lt;=NoticeWarnDays,"통지 기한 임박 — 사람 결정",""))))</f>
        <v/>
      </c>
      <c r="T117" s="83">
        <f>IF(OR($A117="",$F117&lt;&gt;"Y"),"",IF(IF($L117="",InsuranceType,$L117)="포괄",DATE(YEAR($G117),MONTH($G117)+1,20),WORKDAY($G117,10)))</f>
        <v/>
      </c>
      <c r="U117" s="83">
        <f>IF(OR($A117="",$M117=""),"",WORKDAY($M117,10))</f>
        <v/>
      </c>
      <c r="V117" s="37">
        <f>IF($A117="","",IF($N117="Y","사기 의심: 콜백 검증 전 대금 안내 중단",""))</f>
        <v/>
      </c>
      <c r="W117" s="37">
        <f>IF($A117="","",IF(AND($K117="N",$D117&lt;&gt;"LC_SIGHT",$D117&lt;&gt;"LC_USANCE",$D117&lt;&gt;"TT_ADV"),$O117,""))</f>
        <v/>
      </c>
      <c r="X117" s="37">
        <f>IF($A117="",0,IF(AND($K117="N",$D117&lt;&gt;"LC_SIGHT",$D117&lt;&gt;"LC_USANCE",$D117&lt;&gt;"TT_ADV",$O117&gt;=30),1,0))</f>
        <v/>
      </c>
      <c r="Y117" s="37">
        <f>IF($A117="","",IF($O117&lt;=0,"미연체",IF($O117&lt;=30,"1-30",IF($O117&lt;=90,"31-90",IF($O117&lt;=180,"91-180",IF($O117&lt;=365,"181-365","365+"))))))</f>
        <v/>
      </c>
      <c r="Z117" s="37">
        <f>IF($S117="통지 기한 임박 — 사람 결정",COUNTIF($S$5:$S117,"통지 기한 임박 — 사람 결정"),"")</f>
        <v/>
      </c>
      <c r="AB117" s="37">
        <f>IF('02_Buyers'!$A114="","",'02_Buyers'!$A114)</f>
        <v/>
      </c>
      <c r="AC117" s="37">
        <f>IF($AB117="","",'02_Buyers'!$AH114)</f>
        <v/>
      </c>
      <c r="AD117" s="37">
        <f>IF($AB117="","",COUNTIFS(inv_buyer,$AB117,inv_paid,"N"))</f>
        <v/>
      </c>
      <c r="AE117" s="40">
        <f>IF($AB117="","",SUMIFS(inv_usd,inv_buyer,$AB117,inv_paid,"N"))</f>
        <v/>
      </c>
      <c r="AF117" s="37">
        <f>IF($AB117="","",_xlfn.MAXIFS(inv_nonlc_dpd,inv_buyer,$AB117))</f>
        <v/>
      </c>
      <c r="AG117" s="37">
        <f>IF($AB117="","",COUNTIFS(inv_buyer,$AB117,inv_hold30,1))</f>
        <v/>
      </c>
      <c r="AH117" s="37">
        <f>IF($AB117="","",IF(OR($AC117=1,$AG117&gt;0),"선적 보류",""))</f>
        <v/>
      </c>
      <c r="AI117" s="37">
        <f>IF($AH117&lt;&gt;"선적 보류","","내부 에스컬레이션: 여신 한도 동결 제안(사람 승인)")</f>
        <v/>
      </c>
      <c r="AJ117" s="37">
        <f>IF($AB117="","",COUNTIFS(inv_buyer,$AB117,inv_alert,"통지 기한 임박*"))</f>
        <v/>
      </c>
      <c r="AK117" s="40">
        <f>IF($AB117="","",'10_LimitLP'!$F117)</f>
        <v/>
      </c>
      <c r="AL117" s="84">
        <f>IF(OR($AB117="",$AK117&lt;=0),"",$AE117/$AK117)</f>
        <v/>
      </c>
      <c r="AM117" s="37">
        <f>IF($AL117="","",IF($AL117&gt;=0.8,"사용률 80%↑ — 출고 전 사전승인(제18조)",""))</f>
        <v/>
      </c>
      <c r="AN117" s="37">
        <f>IF($AB117="","",IFERROR(IF(INDEX($AU$21:$AU$40,MATCH('02_Buyers'!$S114,$AS$21:$AS$40,0))="","",INDEX($AU$21:$AU$40,MATCH('02_Buyers'!$S114,$AS$21:$AS$40,0))),""))</f>
        <v/>
      </c>
      <c r="AO117" s="37">
        <f>IF($AB117="","",IFERROR(IF(INDEX($AV$21:$AV$40,MATCH('02_Buyers'!$S114,$AS$21:$AS$40,0))="","",INDEX($AV$21:$AV$40,MATCH('02_Buyers'!$S114,$AS$21:$AS$40,0))),""))</f>
        <v/>
      </c>
      <c r="AP117" s="37">
        <f>IF(OR($AB117="",$AN117="",$AO117=""),"",IF($AN117&gt;$AO117,"국가등급 하향 — 한도 재산정",""))</f>
        <v/>
      </c>
      <c r="AQ117" s="37">
        <f>IF($AH117="선적 보류",COUNTIF($AH$5:$AH117,"선적 보류"),"")</f>
        <v/>
      </c>
    </row>
    <row r="118">
      <c r="A118" t="inlineStr">
        <is>
          <t>INV-2609-0145</t>
        </is>
      </c>
      <c r="B118" t="inlineStr">
        <is>
          <t>B057</t>
        </is>
      </c>
      <c r="C118" t="inlineStr">
        <is>
          <t>VNM</t>
        </is>
      </c>
      <c r="D118" t="inlineStr">
        <is>
          <t>LC_USANCE</t>
        </is>
      </c>
      <c r="E118" t="inlineStr">
        <is>
          <t>USD</t>
        </is>
      </c>
      <c r="F118" t="inlineStr">
        <is>
          <t>N</t>
        </is>
      </c>
      <c r="G118" s="32" t="n">
        <v>46292</v>
      </c>
      <c r="H118" s="32" t="n">
        <v>46382</v>
      </c>
      <c r="I118" s="82" t="n">
        <v>40390</v>
      </c>
      <c r="J118" s="82" t="n">
        <v>40390</v>
      </c>
      <c r="K118" t="inlineStr">
        <is>
          <t>N</t>
        </is>
      </c>
      <c r="N118" t="inlineStr">
        <is>
          <t>N</t>
        </is>
      </c>
      <c r="O118" s="37">
        <f>IF($A118="","",AsOf-$H118)</f>
        <v/>
      </c>
      <c r="P118" s="37">
        <f>IF($A118="","",IF($K118="Y","-",IF($O118&gt;=30,"D+30 최종통지·선적보류",IF($O118&gt;=15,"D+15 단호한 통지",IF($O118&gt;=7,"D+7 친절한 리마인더",IF(AND($O118&gt;=-3,$O118&lt;=-1),"D-3 사전 안내","모니터링"))))))</f>
        <v/>
      </c>
      <c r="Q118" s="83">
        <f>IF($A118="","",EDATE($H118,1))</f>
        <v/>
      </c>
      <c r="R118" s="37">
        <f>IF($A118="","",$Q118-AsOf)</f>
        <v/>
      </c>
      <c r="S118" s="37">
        <f>IF($A118="","",IF(OR($K118="Y",$F118&lt;&gt;"Y",$O118&lt;=0),"",IF($R118&lt;0,"통지 기한 경과 — 즉시 확인",IF($R118&lt;=NoticeWarnDays,"통지 기한 임박 — 사람 결정",""))))</f>
        <v/>
      </c>
      <c r="T118" s="83">
        <f>IF(OR($A118="",$F118&lt;&gt;"Y"),"",IF(IF($L118="",InsuranceType,$L118)="포괄",DATE(YEAR($G118),MONTH($G118)+1,20),WORKDAY($G118,10)))</f>
        <v/>
      </c>
      <c r="U118" s="83">
        <f>IF(OR($A118="",$M118=""),"",WORKDAY($M118,10))</f>
        <v/>
      </c>
      <c r="V118" s="37">
        <f>IF($A118="","",IF($N118="Y","사기 의심: 콜백 검증 전 대금 안내 중단",""))</f>
        <v/>
      </c>
      <c r="W118" s="37">
        <f>IF($A118="","",IF(AND($K118="N",$D118&lt;&gt;"LC_SIGHT",$D118&lt;&gt;"LC_USANCE",$D118&lt;&gt;"TT_ADV"),$O118,""))</f>
        <v/>
      </c>
      <c r="X118" s="37">
        <f>IF($A118="",0,IF(AND($K118="N",$D118&lt;&gt;"LC_SIGHT",$D118&lt;&gt;"LC_USANCE",$D118&lt;&gt;"TT_ADV",$O118&gt;=30),1,0))</f>
        <v/>
      </c>
      <c r="Y118" s="37">
        <f>IF($A118="","",IF($O118&lt;=0,"미연체",IF($O118&lt;=30,"1-30",IF($O118&lt;=90,"31-90",IF($O118&lt;=180,"91-180",IF($O118&lt;=365,"181-365","365+"))))))</f>
        <v/>
      </c>
      <c r="Z118" s="37">
        <f>IF($S118="통지 기한 임박 — 사람 결정",COUNTIF($S$5:$S118,"통지 기한 임박 — 사람 결정"),"")</f>
        <v/>
      </c>
      <c r="AB118" s="37">
        <f>IF('02_Buyers'!$A115="","",'02_Buyers'!$A115)</f>
        <v/>
      </c>
      <c r="AC118" s="37">
        <f>IF($AB118="","",'02_Buyers'!$AH115)</f>
        <v/>
      </c>
      <c r="AD118" s="37">
        <f>IF($AB118="","",COUNTIFS(inv_buyer,$AB118,inv_paid,"N"))</f>
        <v/>
      </c>
      <c r="AE118" s="40">
        <f>IF($AB118="","",SUMIFS(inv_usd,inv_buyer,$AB118,inv_paid,"N"))</f>
        <v/>
      </c>
      <c r="AF118" s="37">
        <f>IF($AB118="","",_xlfn.MAXIFS(inv_nonlc_dpd,inv_buyer,$AB118))</f>
        <v/>
      </c>
      <c r="AG118" s="37">
        <f>IF($AB118="","",COUNTIFS(inv_buyer,$AB118,inv_hold30,1))</f>
        <v/>
      </c>
      <c r="AH118" s="37">
        <f>IF($AB118="","",IF(OR($AC118=1,$AG118&gt;0),"선적 보류",""))</f>
        <v/>
      </c>
      <c r="AI118" s="37">
        <f>IF($AH118&lt;&gt;"선적 보류","","내부 에스컬레이션: 여신 한도 동결 제안(사람 승인)")</f>
        <v/>
      </c>
      <c r="AJ118" s="37">
        <f>IF($AB118="","",COUNTIFS(inv_buyer,$AB118,inv_alert,"통지 기한 임박*"))</f>
        <v/>
      </c>
      <c r="AK118" s="40">
        <f>IF($AB118="","",'10_LimitLP'!$F118)</f>
        <v/>
      </c>
      <c r="AL118" s="84">
        <f>IF(OR($AB118="",$AK118&lt;=0),"",$AE118/$AK118)</f>
        <v/>
      </c>
      <c r="AM118" s="37">
        <f>IF($AL118="","",IF($AL118&gt;=0.8,"사용률 80%↑ — 출고 전 사전승인(제18조)",""))</f>
        <v/>
      </c>
      <c r="AN118" s="37">
        <f>IF($AB118="","",IFERROR(IF(INDEX($AU$21:$AU$40,MATCH('02_Buyers'!$S115,$AS$21:$AS$40,0))="","",INDEX($AU$21:$AU$40,MATCH('02_Buyers'!$S115,$AS$21:$AS$40,0))),""))</f>
        <v/>
      </c>
      <c r="AO118" s="37">
        <f>IF($AB118="","",IFERROR(IF(INDEX($AV$21:$AV$40,MATCH('02_Buyers'!$S115,$AS$21:$AS$40,0))="","",INDEX($AV$21:$AV$40,MATCH('02_Buyers'!$S115,$AS$21:$AS$40,0))),""))</f>
        <v/>
      </c>
      <c r="AP118" s="37">
        <f>IF(OR($AB118="",$AN118="",$AO118=""),"",IF($AN118&gt;$AO118,"국가등급 하향 — 한도 재산정",""))</f>
        <v/>
      </c>
      <c r="AQ118" s="37">
        <f>IF($AH118="선적 보류",COUNTIF($AH$5:$AH118,"선적 보류"),"")</f>
        <v/>
      </c>
    </row>
    <row r="119">
      <c r="A119" t="inlineStr">
        <is>
          <t>INV-2606-0101</t>
        </is>
      </c>
      <c r="B119" t="inlineStr">
        <is>
          <t>B059</t>
        </is>
      </c>
      <c r="C119" t="inlineStr">
        <is>
          <t>IDN</t>
        </is>
      </c>
      <c r="D119" t="inlineStr">
        <is>
          <t>OA</t>
        </is>
      </c>
      <c r="E119" t="inlineStr">
        <is>
          <t>USD</t>
        </is>
      </c>
      <c r="F119" t="inlineStr">
        <is>
          <t>Y</t>
        </is>
      </c>
      <c r="G119" s="32" t="n">
        <v>46195</v>
      </c>
      <c r="H119" s="32" t="n">
        <v>46225</v>
      </c>
      <c r="I119" s="82" t="n">
        <v>3580</v>
      </c>
      <c r="J119" s="82" t="n">
        <v>3580</v>
      </c>
      <c r="K119" t="inlineStr">
        <is>
          <t>N</t>
        </is>
      </c>
      <c r="L119" t="inlineStr">
        <is>
          <t>개별</t>
        </is>
      </c>
      <c r="N119" t="inlineStr">
        <is>
          <t>N</t>
        </is>
      </c>
      <c r="O119" s="37">
        <f>IF($A119="","",AsOf-$H119)</f>
        <v/>
      </c>
      <c r="P119" s="37">
        <f>IF($A119="","",IF($K119="Y","-",IF($O119&gt;=30,"D+30 최종통지·선적보류",IF($O119&gt;=15,"D+15 단호한 통지",IF($O119&gt;=7,"D+7 친절한 리마인더",IF(AND($O119&gt;=-3,$O119&lt;=-1),"D-3 사전 안내","모니터링"))))))</f>
        <v/>
      </c>
      <c r="Q119" s="83">
        <f>IF($A119="","",EDATE($H119,1))</f>
        <v/>
      </c>
      <c r="R119" s="37">
        <f>IF($A119="","",$Q119-AsOf)</f>
        <v/>
      </c>
      <c r="S119" s="37">
        <f>IF($A119="","",IF(OR($K119="Y",$F119&lt;&gt;"Y",$O119&lt;=0),"",IF($R119&lt;0,"통지 기한 경과 — 즉시 확인",IF($R119&lt;=NoticeWarnDays,"통지 기한 임박 — 사람 결정",""))))</f>
        <v/>
      </c>
      <c r="T119" s="83">
        <f>IF(OR($A119="",$F119&lt;&gt;"Y"),"",IF(IF($L119="",InsuranceType,$L119)="포괄",DATE(YEAR($G119),MONTH($G119)+1,20),WORKDAY($G119,10)))</f>
        <v/>
      </c>
      <c r="U119" s="83">
        <f>IF(OR($A119="",$M119=""),"",WORKDAY($M119,10))</f>
        <v/>
      </c>
      <c r="V119" s="37">
        <f>IF($A119="","",IF($N119="Y","사기 의심: 콜백 검증 전 대금 안내 중단",""))</f>
        <v/>
      </c>
      <c r="W119" s="37">
        <f>IF($A119="","",IF(AND($K119="N",$D119&lt;&gt;"LC_SIGHT",$D119&lt;&gt;"LC_USANCE",$D119&lt;&gt;"TT_ADV"),$O119,""))</f>
        <v/>
      </c>
      <c r="X119" s="37">
        <f>IF($A119="",0,IF(AND($K119="N",$D119&lt;&gt;"LC_SIGHT",$D119&lt;&gt;"LC_USANCE",$D119&lt;&gt;"TT_ADV",$O119&gt;=30),1,0))</f>
        <v/>
      </c>
      <c r="Y119" s="37">
        <f>IF($A119="","",IF($O119&lt;=0,"미연체",IF($O119&lt;=30,"1-30",IF($O119&lt;=90,"31-90",IF($O119&lt;=180,"91-180",IF($O119&lt;=365,"181-365","365+"))))))</f>
        <v/>
      </c>
      <c r="Z119" s="37">
        <f>IF($S119="통지 기한 임박 — 사람 결정",COUNTIF($S$5:$S119,"통지 기한 임박 — 사람 결정"),"")</f>
        <v/>
      </c>
      <c r="AB119" s="37">
        <f>IF('02_Buyers'!$A116="","",'02_Buyers'!$A116)</f>
        <v/>
      </c>
      <c r="AC119" s="37">
        <f>IF($AB119="","",'02_Buyers'!$AH116)</f>
        <v/>
      </c>
      <c r="AD119" s="37">
        <f>IF($AB119="","",COUNTIFS(inv_buyer,$AB119,inv_paid,"N"))</f>
        <v/>
      </c>
      <c r="AE119" s="40">
        <f>IF($AB119="","",SUMIFS(inv_usd,inv_buyer,$AB119,inv_paid,"N"))</f>
        <v/>
      </c>
      <c r="AF119" s="37">
        <f>IF($AB119="","",_xlfn.MAXIFS(inv_nonlc_dpd,inv_buyer,$AB119))</f>
        <v/>
      </c>
      <c r="AG119" s="37">
        <f>IF($AB119="","",COUNTIFS(inv_buyer,$AB119,inv_hold30,1))</f>
        <v/>
      </c>
      <c r="AH119" s="37">
        <f>IF($AB119="","",IF(OR($AC119=1,$AG119&gt;0),"선적 보류",""))</f>
        <v/>
      </c>
      <c r="AI119" s="37">
        <f>IF($AH119&lt;&gt;"선적 보류","","내부 에스컬레이션: 여신 한도 동결 제안(사람 승인)")</f>
        <v/>
      </c>
      <c r="AJ119" s="37">
        <f>IF($AB119="","",COUNTIFS(inv_buyer,$AB119,inv_alert,"통지 기한 임박*"))</f>
        <v/>
      </c>
      <c r="AK119" s="40">
        <f>IF($AB119="","",'10_LimitLP'!$F119)</f>
        <v/>
      </c>
      <c r="AL119" s="84">
        <f>IF(OR($AB119="",$AK119&lt;=0),"",$AE119/$AK119)</f>
        <v/>
      </c>
      <c r="AM119" s="37">
        <f>IF($AL119="","",IF($AL119&gt;=0.8,"사용률 80%↑ — 출고 전 사전승인(제18조)",""))</f>
        <v/>
      </c>
      <c r="AN119" s="37">
        <f>IF($AB119="","",IFERROR(IF(INDEX($AU$21:$AU$40,MATCH('02_Buyers'!$S116,$AS$21:$AS$40,0))="","",INDEX($AU$21:$AU$40,MATCH('02_Buyers'!$S116,$AS$21:$AS$40,0))),""))</f>
        <v/>
      </c>
      <c r="AO119" s="37">
        <f>IF($AB119="","",IFERROR(IF(INDEX($AV$21:$AV$40,MATCH('02_Buyers'!$S116,$AS$21:$AS$40,0))="","",INDEX($AV$21:$AV$40,MATCH('02_Buyers'!$S116,$AS$21:$AS$40,0))),""))</f>
        <v/>
      </c>
      <c r="AP119" s="37">
        <f>IF(OR($AB119="",$AN119="",$AO119=""),"",IF($AN119&gt;$AO119,"국가등급 하향 — 한도 재산정",""))</f>
        <v/>
      </c>
      <c r="AQ119" s="37">
        <f>IF($AH119="선적 보류",COUNTIF($AH$5:$AH119,"선적 보류"),"")</f>
        <v/>
      </c>
    </row>
    <row r="120">
      <c r="A120" t="inlineStr">
        <is>
          <t>INV-2607-0035</t>
        </is>
      </c>
      <c r="B120" t="inlineStr">
        <is>
          <t>B059</t>
        </is>
      </c>
      <c r="C120" t="inlineStr">
        <is>
          <t>IDN</t>
        </is>
      </c>
      <c r="D120" t="inlineStr">
        <is>
          <t>OA</t>
        </is>
      </c>
      <c r="E120" t="inlineStr">
        <is>
          <t>USD</t>
        </is>
      </c>
      <c r="F120" t="inlineStr">
        <is>
          <t>Y</t>
        </is>
      </c>
      <c r="G120" s="32" t="n">
        <v>46210</v>
      </c>
      <c r="H120" s="32" t="n">
        <v>46240</v>
      </c>
      <c r="I120" s="82" t="n">
        <v>1400</v>
      </c>
      <c r="J120" s="82" t="n">
        <v>1400</v>
      </c>
      <c r="K120" t="inlineStr">
        <is>
          <t>N</t>
        </is>
      </c>
      <c r="L120" t="inlineStr">
        <is>
          <t>개별</t>
        </is>
      </c>
      <c r="N120" t="inlineStr">
        <is>
          <t>N</t>
        </is>
      </c>
      <c r="O120" s="37">
        <f>IF($A120="","",AsOf-$H120)</f>
        <v/>
      </c>
      <c r="P120" s="37">
        <f>IF($A120="","",IF($K120="Y","-",IF($O120&gt;=30,"D+30 최종통지·선적보류",IF($O120&gt;=15,"D+15 단호한 통지",IF($O120&gt;=7,"D+7 친절한 리마인더",IF(AND($O120&gt;=-3,$O120&lt;=-1),"D-3 사전 안내","모니터링"))))))</f>
        <v/>
      </c>
      <c r="Q120" s="83">
        <f>IF($A120="","",EDATE($H120,1))</f>
        <v/>
      </c>
      <c r="R120" s="37">
        <f>IF($A120="","",$Q120-AsOf)</f>
        <v/>
      </c>
      <c r="S120" s="37">
        <f>IF($A120="","",IF(OR($K120="Y",$F120&lt;&gt;"Y",$O120&lt;=0),"",IF($R120&lt;0,"통지 기한 경과 — 즉시 확인",IF($R120&lt;=NoticeWarnDays,"통지 기한 임박 — 사람 결정",""))))</f>
        <v/>
      </c>
      <c r="T120" s="83">
        <f>IF(OR($A120="",$F120&lt;&gt;"Y"),"",IF(IF($L120="",InsuranceType,$L120)="포괄",DATE(YEAR($G120),MONTH($G120)+1,20),WORKDAY($G120,10)))</f>
        <v/>
      </c>
      <c r="U120" s="83">
        <f>IF(OR($A120="",$M120=""),"",WORKDAY($M120,10))</f>
        <v/>
      </c>
      <c r="V120" s="37">
        <f>IF($A120="","",IF($N120="Y","사기 의심: 콜백 검증 전 대금 안내 중단",""))</f>
        <v/>
      </c>
      <c r="W120" s="37">
        <f>IF($A120="","",IF(AND($K120="N",$D120&lt;&gt;"LC_SIGHT",$D120&lt;&gt;"LC_USANCE",$D120&lt;&gt;"TT_ADV"),$O120,""))</f>
        <v/>
      </c>
      <c r="X120" s="37">
        <f>IF($A120="",0,IF(AND($K120="N",$D120&lt;&gt;"LC_SIGHT",$D120&lt;&gt;"LC_USANCE",$D120&lt;&gt;"TT_ADV",$O120&gt;=30),1,0))</f>
        <v/>
      </c>
      <c r="Y120" s="37">
        <f>IF($A120="","",IF($O120&lt;=0,"미연체",IF($O120&lt;=30,"1-30",IF($O120&lt;=90,"31-90",IF($O120&lt;=180,"91-180",IF($O120&lt;=365,"181-365","365+"))))))</f>
        <v/>
      </c>
      <c r="Z120" s="37">
        <f>IF($S120="통지 기한 임박 — 사람 결정",COUNTIF($S$5:$S120,"통지 기한 임박 — 사람 결정"),"")</f>
        <v/>
      </c>
      <c r="AB120" s="37">
        <f>IF('02_Buyers'!$A117="","",'02_Buyers'!$A117)</f>
        <v/>
      </c>
      <c r="AC120" s="37">
        <f>IF($AB120="","",'02_Buyers'!$AH117)</f>
        <v/>
      </c>
      <c r="AD120" s="37">
        <f>IF($AB120="","",COUNTIFS(inv_buyer,$AB120,inv_paid,"N"))</f>
        <v/>
      </c>
      <c r="AE120" s="40">
        <f>IF($AB120="","",SUMIFS(inv_usd,inv_buyer,$AB120,inv_paid,"N"))</f>
        <v/>
      </c>
      <c r="AF120" s="37">
        <f>IF($AB120="","",_xlfn.MAXIFS(inv_nonlc_dpd,inv_buyer,$AB120))</f>
        <v/>
      </c>
      <c r="AG120" s="37">
        <f>IF($AB120="","",COUNTIFS(inv_buyer,$AB120,inv_hold30,1))</f>
        <v/>
      </c>
      <c r="AH120" s="37">
        <f>IF($AB120="","",IF(OR($AC120=1,$AG120&gt;0),"선적 보류",""))</f>
        <v/>
      </c>
      <c r="AI120" s="37">
        <f>IF($AH120&lt;&gt;"선적 보류","","내부 에스컬레이션: 여신 한도 동결 제안(사람 승인)")</f>
        <v/>
      </c>
      <c r="AJ120" s="37">
        <f>IF($AB120="","",COUNTIFS(inv_buyer,$AB120,inv_alert,"통지 기한 임박*"))</f>
        <v/>
      </c>
      <c r="AK120" s="40">
        <f>IF($AB120="","",'10_LimitLP'!$F120)</f>
        <v/>
      </c>
      <c r="AL120" s="84">
        <f>IF(OR($AB120="",$AK120&lt;=0),"",$AE120/$AK120)</f>
        <v/>
      </c>
      <c r="AM120" s="37">
        <f>IF($AL120="","",IF($AL120&gt;=0.8,"사용률 80%↑ — 출고 전 사전승인(제18조)",""))</f>
        <v/>
      </c>
      <c r="AN120" s="37">
        <f>IF($AB120="","",IFERROR(IF(INDEX($AU$21:$AU$40,MATCH('02_Buyers'!$S117,$AS$21:$AS$40,0))="","",INDEX($AU$21:$AU$40,MATCH('02_Buyers'!$S117,$AS$21:$AS$40,0))),""))</f>
        <v/>
      </c>
      <c r="AO120" s="37">
        <f>IF($AB120="","",IFERROR(IF(INDEX($AV$21:$AV$40,MATCH('02_Buyers'!$S117,$AS$21:$AS$40,0))="","",INDEX($AV$21:$AV$40,MATCH('02_Buyers'!$S117,$AS$21:$AS$40,0))),""))</f>
        <v/>
      </c>
      <c r="AP120" s="37">
        <f>IF(OR($AB120="",$AN120="",$AO120=""),"",IF($AN120&gt;$AO120,"국가등급 하향 — 한도 재산정",""))</f>
        <v/>
      </c>
      <c r="AQ120" s="37">
        <f>IF($AH120="선적 보류",COUNTIF($AH$5:$AH120,"선적 보류"),"")</f>
        <v/>
      </c>
    </row>
    <row r="121">
      <c r="A121" t="inlineStr">
        <is>
          <t>INV-2609-0008</t>
        </is>
      </c>
      <c r="B121" t="inlineStr">
        <is>
          <t>B059</t>
        </is>
      </c>
      <c r="C121" t="inlineStr">
        <is>
          <t>IDN</t>
        </is>
      </c>
      <c r="D121" t="inlineStr">
        <is>
          <t>OA</t>
        </is>
      </c>
      <c r="E121" t="inlineStr">
        <is>
          <t>USD</t>
        </is>
      </c>
      <c r="F121" t="inlineStr">
        <is>
          <t>Y</t>
        </is>
      </c>
      <c r="G121" s="32" t="n">
        <v>46267</v>
      </c>
      <c r="H121" s="32" t="n">
        <v>46297</v>
      </c>
      <c r="I121" s="82" t="n">
        <v>10990</v>
      </c>
      <c r="J121" s="82" t="n">
        <v>10990</v>
      </c>
      <c r="K121" t="inlineStr">
        <is>
          <t>N</t>
        </is>
      </c>
      <c r="L121" t="inlineStr">
        <is>
          <t>개별</t>
        </is>
      </c>
      <c r="N121" t="inlineStr">
        <is>
          <t>N</t>
        </is>
      </c>
      <c r="O121" s="37">
        <f>IF($A121="","",AsOf-$H121)</f>
        <v/>
      </c>
      <c r="P121" s="37">
        <f>IF($A121="","",IF($K121="Y","-",IF($O121&gt;=30,"D+30 최종통지·선적보류",IF($O121&gt;=15,"D+15 단호한 통지",IF($O121&gt;=7,"D+7 친절한 리마인더",IF(AND($O121&gt;=-3,$O121&lt;=-1),"D-3 사전 안내","모니터링"))))))</f>
        <v/>
      </c>
      <c r="Q121" s="83">
        <f>IF($A121="","",EDATE($H121,1))</f>
        <v/>
      </c>
      <c r="R121" s="37">
        <f>IF($A121="","",$Q121-AsOf)</f>
        <v/>
      </c>
      <c r="S121" s="37">
        <f>IF($A121="","",IF(OR($K121="Y",$F121&lt;&gt;"Y",$O121&lt;=0),"",IF($R121&lt;0,"통지 기한 경과 — 즉시 확인",IF($R121&lt;=NoticeWarnDays,"통지 기한 임박 — 사람 결정",""))))</f>
        <v/>
      </c>
      <c r="T121" s="83">
        <f>IF(OR($A121="",$F121&lt;&gt;"Y"),"",IF(IF($L121="",InsuranceType,$L121)="포괄",DATE(YEAR($G121),MONTH($G121)+1,20),WORKDAY($G121,10)))</f>
        <v/>
      </c>
      <c r="U121" s="83">
        <f>IF(OR($A121="",$M121=""),"",WORKDAY($M121,10))</f>
        <v/>
      </c>
      <c r="V121" s="37">
        <f>IF($A121="","",IF($N121="Y","사기 의심: 콜백 검증 전 대금 안내 중단",""))</f>
        <v/>
      </c>
      <c r="W121" s="37">
        <f>IF($A121="","",IF(AND($K121="N",$D121&lt;&gt;"LC_SIGHT",$D121&lt;&gt;"LC_USANCE",$D121&lt;&gt;"TT_ADV"),$O121,""))</f>
        <v/>
      </c>
      <c r="X121" s="37">
        <f>IF($A121="",0,IF(AND($K121="N",$D121&lt;&gt;"LC_SIGHT",$D121&lt;&gt;"LC_USANCE",$D121&lt;&gt;"TT_ADV",$O121&gt;=30),1,0))</f>
        <v/>
      </c>
      <c r="Y121" s="37">
        <f>IF($A121="","",IF($O121&lt;=0,"미연체",IF($O121&lt;=30,"1-30",IF($O121&lt;=90,"31-90",IF($O121&lt;=180,"91-180",IF($O121&lt;=365,"181-365","365+"))))))</f>
        <v/>
      </c>
      <c r="Z121" s="37">
        <f>IF($S121="통지 기한 임박 — 사람 결정",COUNTIF($S$5:$S121,"통지 기한 임박 — 사람 결정"),"")</f>
        <v/>
      </c>
      <c r="AB121" s="37">
        <f>IF('02_Buyers'!$A118="","",'02_Buyers'!$A118)</f>
        <v/>
      </c>
      <c r="AC121" s="37">
        <f>IF($AB121="","",'02_Buyers'!$AH118)</f>
        <v/>
      </c>
      <c r="AD121" s="37">
        <f>IF($AB121="","",COUNTIFS(inv_buyer,$AB121,inv_paid,"N"))</f>
        <v/>
      </c>
      <c r="AE121" s="40">
        <f>IF($AB121="","",SUMIFS(inv_usd,inv_buyer,$AB121,inv_paid,"N"))</f>
        <v/>
      </c>
      <c r="AF121" s="37">
        <f>IF($AB121="","",_xlfn.MAXIFS(inv_nonlc_dpd,inv_buyer,$AB121))</f>
        <v/>
      </c>
      <c r="AG121" s="37">
        <f>IF($AB121="","",COUNTIFS(inv_buyer,$AB121,inv_hold30,1))</f>
        <v/>
      </c>
      <c r="AH121" s="37">
        <f>IF($AB121="","",IF(OR($AC121=1,$AG121&gt;0),"선적 보류",""))</f>
        <v/>
      </c>
      <c r="AI121" s="37">
        <f>IF($AH121&lt;&gt;"선적 보류","","내부 에스컬레이션: 여신 한도 동결 제안(사람 승인)")</f>
        <v/>
      </c>
      <c r="AJ121" s="37">
        <f>IF($AB121="","",COUNTIFS(inv_buyer,$AB121,inv_alert,"통지 기한 임박*"))</f>
        <v/>
      </c>
      <c r="AK121" s="40">
        <f>IF($AB121="","",'10_LimitLP'!$F121)</f>
        <v/>
      </c>
      <c r="AL121" s="84">
        <f>IF(OR($AB121="",$AK121&lt;=0),"",$AE121/$AK121)</f>
        <v/>
      </c>
      <c r="AM121" s="37">
        <f>IF($AL121="","",IF($AL121&gt;=0.8,"사용률 80%↑ — 출고 전 사전승인(제18조)",""))</f>
        <v/>
      </c>
      <c r="AN121" s="37">
        <f>IF($AB121="","",IFERROR(IF(INDEX($AU$21:$AU$40,MATCH('02_Buyers'!$S118,$AS$21:$AS$40,0))="","",INDEX($AU$21:$AU$40,MATCH('02_Buyers'!$S118,$AS$21:$AS$40,0))),""))</f>
        <v/>
      </c>
      <c r="AO121" s="37">
        <f>IF($AB121="","",IFERROR(IF(INDEX($AV$21:$AV$40,MATCH('02_Buyers'!$S118,$AS$21:$AS$40,0))="","",INDEX($AV$21:$AV$40,MATCH('02_Buyers'!$S118,$AS$21:$AS$40,0))),""))</f>
        <v/>
      </c>
      <c r="AP121" s="37">
        <f>IF(OR($AB121="",$AN121="",$AO121=""),"",IF($AN121&gt;$AO121,"국가등급 하향 — 한도 재산정",""))</f>
        <v/>
      </c>
      <c r="AQ121" s="37">
        <f>IF($AH121="선적 보류",COUNTIF($AH$5:$AH121,"선적 보류"),"")</f>
        <v/>
      </c>
    </row>
    <row r="122">
      <c r="A122" t="inlineStr">
        <is>
          <t>INV-2609-0054</t>
        </is>
      </c>
      <c r="B122" t="inlineStr">
        <is>
          <t>B059</t>
        </is>
      </c>
      <c r="C122" t="inlineStr">
        <is>
          <t>IDN</t>
        </is>
      </c>
      <c r="D122" t="inlineStr">
        <is>
          <t>OA</t>
        </is>
      </c>
      <c r="E122" t="inlineStr">
        <is>
          <t>USD</t>
        </is>
      </c>
      <c r="F122" t="inlineStr">
        <is>
          <t>Y</t>
        </is>
      </c>
      <c r="G122" s="32" t="n">
        <v>46275</v>
      </c>
      <c r="H122" s="32" t="n">
        <v>46305</v>
      </c>
      <c r="I122" s="82" t="n">
        <v>6020</v>
      </c>
      <c r="J122" s="82" t="n">
        <v>6020</v>
      </c>
      <c r="K122" t="inlineStr">
        <is>
          <t>N</t>
        </is>
      </c>
      <c r="L122" t="inlineStr">
        <is>
          <t>개별</t>
        </is>
      </c>
      <c r="N122" t="inlineStr">
        <is>
          <t>N</t>
        </is>
      </c>
      <c r="O122" s="37">
        <f>IF($A122="","",AsOf-$H122)</f>
        <v/>
      </c>
      <c r="P122" s="37">
        <f>IF($A122="","",IF($K122="Y","-",IF($O122&gt;=30,"D+30 최종통지·선적보류",IF($O122&gt;=15,"D+15 단호한 통지",IF($O122&gt;=7,"D+7 친절한 리마인더",IF(AND($O122&gt;=-3,$O122&lt;=-1),"D-3 사전 안내","모니터링"))))))</f>
        <v/>
      </c>
      <c r="Q122" s="83">
        <f>IF($A122="","",EDATE($H122,1))</f>
        <v/>
      </c>
      <c r="R122" s="37">
        <f>IF($A122="","",$Q122-AsOf)</f>
        <v/>
      </c>
      <c r="S122" s="37">
        <f>IF($A122="","",IF(OR($K122="Y",$F122&lt;&gt;"Y",$O122&lt;=0),"",IF($R122&lt;0,"통지 기한 경과 — 즉시 확인",IF($R122&lt;=NoticeWarnDays,"통지 기한 임박 — 사람 결정",""))))</f>
        <v/>
      </c>
      <c r="T122" s="83">
        <f>IF(OR($A122="",$F122&lt;&gt;"Y"),"",IF(IF($L122="",InsuranceType,$L122)="포괄",DATE(YEAR($G122),MONTH($G122)+1,20),WORKDAY($G122,10)))</f>
        <v/>
      </c>
      <c r="U122" s="83">
        <f>IF(OR($A122="",$M122=""),"",WORKDAY($M122,10))</f>
        <v/>
      </c>
      <c r="V122" s="37">
        <f>IF($A122="","",IF($N122="Y","사기 의심: 콜백 검증 전 대금 안내 중단",""))</f>
        <v/>
      </c>
      <c r="W122" s="37">
        <f>IF($A122="","",IF(AND($K122="N",$D122&lt;&gt;"LC_SIGHT",$D122&lt;&gt;"LC_USANCE",$D122&lt;&gt;"TT_ADV"),$O122,""))</f>
        <v/>
      </c>
      <c r="X122" s="37">
        <f>IF($A122="",0,IF(AND($K122="N",$D122&lt;&gt;"LC_SIGHT",$D122&lt;&gt;"LC_USANCE",$D122&lt;&gt;"TT_ADV",$O122&gt;=30),1,0))</f>
        <v/>
      </c>
      <c r="Y122" s="37">
        <f>IF($A122="","",IF($O122&lt;=0,"미연체",IF($O122&lt;=30,"1-30",IF($O122&lt;=90,"31-90",IF($O122&lt;=180,"91-180",IF($O122&lt;=365,"181-365","365+"))))))</f>
        <v/>
      </c>
      <c r="Z122" s="37">
        <f>IF($S122="통지 기한 임박 — 사람 결정",COUNTIF($S$5:$S122,"통지 기한 임박 — 사람 결정"),"")</f>
        <v/>
      </c>
      <c r="AB122" s="37">
        <f>IF('02_Buyers'!$A119="","",'02_Buyers'!$A119)</f>
        <v/>
      </c>
      <c r="AC122" s="37">
        <f>IF($AB122="","",'02_Buyers'!$AH119)</f>
        <v/>
      </c>
      <c r="AD122" s="37">
        <f>IF($AB122="","",COUNTIFS(inv_buyer,$AB122,inv_paid,"N"))</f>
        <v/>
      </c>
      <c r="AE122" s="40">
        <f>IF($AB122="","",SUMIFS(inv_usd,inv_buyer,$AB122,inv_paid,"N"))</f>
        <v/>
      </c>
      <c r="AF122" s="37">
        <f>IF($AB122="","",_xlfn.MAXIFS(inv_nonlc_dpd,inv_buyer,$AB122))</f>
        <v/>
      </c>
      <c r="AG122" s="37">
        <f>IF($AB122="","",COUNTIFS(inv_buyer,$AB122,inv_hold30,1))</f>
        <v/>
      </c>
      <c r="AH122" s="37">
        <f>IF($AB122="","",IF(OR($AC122=1,$AG122&gt;0),"선적 보류",""))</f>
        <v/>
      </c>
      <c r="AI122" s="37">
        <f>IF($AH122&lt;&gt;"선적 보류","","내부 에스컬레이션: 여신 한도 동결 제안(사람 승인)")</f>
        <v/>
      </c>
      <c r="AJ122" s="37">
        <f>IF($AB122="","",COUNTIFS(inv_buyer,$AB122,inv_alert,"통지 기한 임박*"))</f>
        <v/>
      </c>
      <c r="AK122" s="40">
        <f>IF($AB122="","",'10_LimitLP'!$F122)</f>
        <v/>
      </c>
      <c r="AL122" s="84">
        <f>IF(OR($AB122="",$AK122&lt;=0),"",$AE122/$AK122)</f>
        <v/>
      </c>
      <c r="AM122" s="37">
        <f>IF($AL122="","",IF($AL122&gt;=0.8,"사용률 80%↑ — 출고 전 사전승인(제18조)",""))</f>
        <v/>
      </c>
      <c r="AN122" s="37">
        <f>IF($AB122="","",IFERROR(IF(INDEX($AU$21:$AU$40,MATCH('02_Buyers'!$S119,$AS$21:$AS$40,0))="","",INDEX($AU$21:$AU$40,MATCH('02_Buyers'!$S119,$AS$21:$AS$40,0))),""))</f>
        <v/>
      </c>
      <c r="AO122" s="37">
        <f>IF($AB122="","",IFERROR(IF(INDEX($AV$21:$AV$40,MATCH('02_Buyers'!$S119,$AS$21:$AS$40,0))="","",INDEX($AV$21:$AV$40,MATCH('02_Buyers'!$S119,$AS$21:$AS$40,0))),""))</f>
        <v/>
      </c>
      <c r="AP122" s="37">
        <f>IF(OR($AB122="",$AN122="",$AO122=""),"",IF($AN122&gt;$AO122,"국가등급 하향 — 한도 재산정",""))</f>
        <v/>
      </c>
      <c r="AQ122" s="37">
        <f>IF($AH122="선적 보류",COUNTIF($AH$5:$AH122,"선적 보류"),"")</f>
        <v/>
      </c>
    </row>
    <row r="123">
      <c r="A123" t="inlineStr">
        <is>
          <t>INV-2609-0120</t>
        </is>
      </c>
      <c r="B123" t="inlineStr">
        <is>
          <t>B059</t>
        </is>
      </c>
      <c r="C123" t="inlineStr">
        <is>
          <t>IDN</t>
        </is>
      </c>
      <c r="D123" t="inlineStr">
        <is>
          <t>OA</t>
        </is>
      </c>
      <c r="E123" t="inlineStr">
        <is>
          <t>USD</t>
        </is>
      </c>
      <c r="F123" t="inlineStr">
        <is>
          <t>Y</t>
        </is>
      </c>
      <c r="G123" s="32" t="n">
        <v>46288</v>
      </c>
      <c r="H123" s="32" t="n">
        <v>46318</v>
      </c>
      <c r="I123" s="82" t="n">
        <v>18570</v>
      </c>
      <c r="J123" s="82" t="n">
        <v>18570</v>
      </c>
      <c r="K123" t="inlineStr">
        <is>
          <t>N</t>
        </is>
      </c>
      <c r="L123" t="inlineStr">
        <is>
          <t>개별</t>
        </is>
      </c>
      <c r="N123" t="inlineStr">
        <is>
          <t>N</t>
        </is>
      </c>
      <c r="O123" s="37">
        <f>IF($A123="","",AsOf-$H123)</f>
        <v/>
      </c>
      <c r="P123" s="37">
        <f>IF($A123="","",IF($K123="Y","-",IF($O123&gt;=30,"D+30 최종통지·선적보류",IF($O123&gt;=15,"D+15 단호한 통지",IF($O123&gt;=7,"D+7 친절한 리마인더",IF(AND($O123&gt;=-3,$O123&lt;=-1),"D-3 사전 안내","모니터링"))))))</f>
        <v/>
      </c>
      <c r="Q123" s="83">
        <f>IF($A123="","",EDATE($H123,1))</f>
        <v/>
      </c>
      <c r="R123" s="37">
        <f>IF($A123="","",$Q123-AsOf)</f>
        <v/>
      </c>
      <c r="S123" s="37">
        <f>IF($A123="","",IF(OR($K123="Y",$F123&lt;&gt;"Y",$O123&lt;=0),"",IF($R123&lt;0,"통지 기한 경과 — 즉시 확인",IF($R123&lt;=NoticeWarnDays,"통지 기한 임박 — 사람 결정",""))))</f>
        <v/>
      </c>
      <c r="T123" s="83">
        <f>IF(OR($A123="",$F123&lt;&gt;"Y"),"",IF(IF($L123="",InsuranceType,$L123)="포괄",DATE(YEAR($G123),MONTH($G123)+1,20),WORKDAY($G123,10)))</f>
        <v/>
      </c>
      <c r="U123" s="83">
        <f>IF(OR($A123="",$M123=""),"",WORKDAY($M123,10))</f>
        <v/>
      </c>
      <c r="V123" s="37">
        <f>IF($A123="","",IF($N123="Y","사기 의심: 콜백 검증 전 대금 안내 중단",""))</f>
        <v/>
      </c>
      <c r="W123" s="37">
        <f>IF($A123="","",IF(AND($K123="N",$D123&lt;&gt;"LC_SIGHT",$D123&lt;&gt;"LC_USANCE",$D123&lt;&gt;"TT_ADV"),$O123,""))</f>
        <v/>
      </c>
      <c r="X123" s="37">
        <f>IF($A123="",0,IF(AND($K123="N",$D123&lt;&gt;"LC_SIGHT",$D123&lt;&gt;"LC_USANCE",$D123&lt;&gt;"TT_ADV",$O123&gt;=30),1,0))</f>
        <v/>
      </c>
      <c r="Y123" s="37">
        <f>IF($A123="","",IF($O123&lt;=0,"미연체",IF($O123&lt;=30,"1-30",IF($O123&lt;=90,"31-90",IF($O123&lt;=180,"91-180",IF($O123&lt;=365,"181-365","365+"))))))</f>
        <v/>
      </c>
      <c r="Z123" s="37">
        <f>IF($S123="통지 기한 임박 — 사람 결정",COUNTIF($S$5:$S123,"통지 기한 임박 — 사람 결정"),"")</f>
        <v/>
      </c>
      <c r="AB123" s="37">
        <f>IF('02_Buyers'!$A120="","",'02_Buyers'!$A120)</f>
        <v/>
      </c>
      <c r="AC123" s="37">
        <f>IF($AB123="","",'02_Buyers'!$AH120)</f>
        <v/>
      </c>
      <c r="AD123" s="37">
        <f>IF($AB123="","",COUNTIFS(inv_buyer,$AB123,inv_paid,"N"))</f>
        <v/>
      </c>
      <c r="AE123" s="40">
        <f>IF($AB123="","",SUMIFS(inv_usd,inv_buyer,$AB123,inv_paid,"N"))</f>
        <v/>
      </c>
      <c r="AF123" s="37">
        <f>IF($AB123="","",_xlfn.MAXIFS(inv_nonlc_dpd,inv_buyer,$AB123))</f>
        <v/>
      </c>
      <c r="AG123" s="37">
        <f>IF($AB123="","",COUNTIFS(inv_buyer,$AB123,inv_hold30,1))</f>
        <v/>
      </c>
      <c r="AH123" s="37">
        <f>IF($AB123="","",IF(OR($AC123=1,$AG123&gt;0),"선적 보류",""))</f>
        <v/>
      </c>
      <c r="AI123" s="37">
        <f>IF($AH123&lt;&gt;"선적 보류","","내부 에스컬레이션: 여신 한도 동결 제안(사람 승인)")</f>
        <v/>
      </c>
      <c r="AJ123" s="37">
        <f>IF($AB123="","",COUNTIFS(inv_buyer,$AB123,inv_alert,"통지 기한 임박*"))</f>
        <v/>
      </c>
      <c r="AK123" s="40">
        <f>IF($AB123="","",'10_LimitLP'!$F123)</f>
        <v/>
      </c>
      <c r="AL123" s="84">
        <f>IF(OR($AB123="",$AK123&lt;=0),"",$AE123/$AK123)</f>
        <v/>
      </c>
      <c r="AM123" s="37">
        <f>IF($AL123="","",IF($AL123&gt;=0.8,"사용률 80%↑ — 출고 전 사전승인(제18조)",""))</f>
        <v/>
      </c>
      <c r="AN123" s="37">
        <f>IF($AB123="","",IFERROR(IF(INDEX($AU$21:$AU$40,MATCH('02_Buyers'!$S120,$AS$21:$AS$40,0))="","",INDEX($AU$21:$AU$40,MATCH('02_Buyers'!$S120,$AS$21:$AS$40,0))),""))</f>
        <v/>
      </c>
      <c r="AO123" s="37">
        <f>IF($AB123="","",IFERROR(IF(INDEX($AV$21:$AV$40,MATCH('02_Buyers'!$S120,$AS$21:$AS$40,0))="","",INDEX($AV$21:$AV$40,MATCH('02_Buyers'!$S120,$AS$21:$AS$40,0))),""))</f>
        <v/>
      </c>
      <c r="AP123" s="37">
        <f>IF(OR($AB123="",$AN123="",$AO123=""),"",IF($AN123&gt;$AO123,"국가등급 하향 — 한도 재산정",""))</f>
        <v/>
      </c>
      <c r="AQ123" s="37">
        <f>IF($AH123="선적 보류",COUNTIF($AH$5:$AH123,"선적 보류"),"")</f>
        <v/>
      </c>
    </row>
    <row r="124">
      <c r="A124" t="inlineStr">
        <is>
          <t>INV-2607-0114</t>
        </is>
      </c>
      <c r="B124" t="inlineStr">
        <is>
          <t>B062</t>
        </is>
      </c>
      <c r="C124" t="inlineStr">
        <is>
          <t>USA</t>
        </is>
      </c>
      <c r="D124" t="inlineStr">
        <is>
          <t>OA</t>
        </is>
      </c>
      <c r="E124" t="inlineStr">
        <is>
          <t>USD</t>
        </is>
      </c>
      <c r="F124" t="inlineStr">
        <is>
          <t>Y</t>
        </is>
      </c>
      <c r="G124" s="32" t="n">
        <v>46223</v>
      </c>
      <c r="H124" s="32" t="n">
        <v>46283</v>
      </c>
      <c r="I124" s="82" t="n">
        <v>720</v>
      </c>
      <c r="J124" s="82" t="n">
        <v>720</v>
      </c>
      <c r="K124" t="inlineStr">
        <is>
          <t>N</t>
        </is>
      </c>
      <c r="L124" t="inlineStr">
        <is>
          <t>개별</t>
        </is>
      </c>
      <c r="N124" t="inlineStr">
        <is>
          <t>N</t>
        </is>
      </c>
      <c r="O124" s="37">
        <f>IF($A124="","",AsOf-$H124)</f>
        <v/>
      </c>
      <c r="P124" s="37">
        <f>IF($A124="","",IF($K124="Y","-",IF($O124&gt;=30,"D+30 최종통지·선적보류",IF($O124&gt;=15,"D+15 단호한 통지",IF($O124&gt;=7,"D+7 친절한 리마인더",IF(AND($O124&gt;=-3,$O124&lt;=-1),"D-3 사전 안내","모니터링"))))))</f>
        <v/>
      </c>
      <c r="Q124" s="83">
        <f>IF($A124="","",EDATE($H124,1))</f>
        <v/>
      </c>
      <c r="R124" s="37">
        <f>IF($A124="","",$Q124-AsOf)</f>
        <v/>
      </c>
      <c r="S124" s="37">
        <f>IF($A124="","",IF(OR($K124="Y",$F124&lt;&gt;"Y",$O124&lt;=0),"",IF($R124&lt;0,"통지 기한 경과 — 즉시 확인",IF($R124&lt;=NoticeWarnDays,"통지 기한 임박 — 사람 결정",""))))</f>
        <v/>
      </c>
      <c r="T124" s="83">
        <f>IF(OR($A124="",$F124&lt;&gt;"Y"),"",IF(IF($L124="",InsuranceType,$L124)="포괄",DATE(YEAR($G124),MONTH($G124)+1,20),WORKDAY($G124,10)))</f>
        <v/>
      </c>
      <c r="U124" s="83">
        <f>IF(OR($A124="",$M124=""),"",WORKDAY($M124,10))</f>
        <v/>
      </c>
      <c r="V124" s="37">
        <f>IF($A124="","",IF($N124="Y","사기 의심: 콜백 검증 전 대금 안내 중단",""))</f>
        <v/>
      </c>
      <c r="W124" s="37">
        <f>IF($A124="","",IF(AND($K124="N",$D124&lt;&gt;"LC_SIGHT",$D124&lt;&gt;"LC_USANCE",$D124&lt;&gt;"TT_ADV"),$O124,""))</f>
        <v/>
      </c>
      <c r="X124" s="37">
        <f>IF($A124="",0,IF(AND($K124="N",$D124&lt;&gt;"LC_SIGHT",$D124&lt;&gt;"LC_USANCE",$D124&lt;&gt;"TT_ADV",$O124&gt;=30),1,0))</f>
        <v/>
      </c>
      <c r="Y124" s="37">
        <f>IF($A124="","",IF($O124&lt;=0,"미연체",IF($O124&lt;=30,"1-30",IF($O124&lt;=90,"31-90",IF($O124&lt;=180,"91-180",IF($O124&lt;=365,"181-365","365+"))))))</f>
        <v/>
      </c>
      <c r="Z124" s="37">
        <f>IF($S124="통지 기한 임박 — 사람 결정",COUNTIF($S$5:$S124,"통지 기한 임박 — 사람 결정"),"")</f>
        <v/>
      </c>
      <c r="AB124" s="37">
        <f>IF('02_Buyers'!$A121="","",'02_Buyers'!$A121)</f>
        <v/>
      </c>
      <c r="AC124" s="37">
        <f>IF($AB124="","",'02_Buyers'!$AH121)</f>
        <v/>
      </c>
      <c r="AD124" s="37">
        <f>IF($AB124="","",COUNTIFS(inv_buyer,$AB124,inv_paid,"N"))</f>
        <v/>
      </c>
      <c r="AE124" s="40">
        <f>IF($AB124="","",SUMIFS(inv_usd,inv_buyer,$AB124,inv_paid,"N"))</f>
        <v/>
      </c>
      <c r="AF124" s="37">
        <f>IF($AB124="","",_xlfn.MAXIFS(inv_nonlc_dpd,inv_buyer,$AB124))</f>
        <v/>
      </c>
      <c r="AG124" s="37">
        <f>IF($AB124="","",COUNTIFS(inv_buyer,$AB124,inv_hold30,1))</f>
        <v/>
      </c>
      <c r="AH124" s="37">
        <f>IF($AB124="","",IF(OR($AC124=1,$AG124&gt;0),"선적 보류",""))</f>
        <v/>
      </c>
      <c r="AI124" s="37">
        <f>IF($AH124&lt;&gt;"선적 보류","","내부 에스컬레이션: 여신 한도 동결 제안(사람 승인)")</f>
        <v/>
      </c>
      <c r="AJ124" s="37">
        <f>IF($AB124="","",COUNTIFS(inv_buyer,$AB124,inv_alert,"통지 기한 임박*"))</f>
        <v/>
      </c>
      <c r="AK124" s="40">
        <f>IF($AB124="","",'10_LimitLP'!$F124)</f>
        <v/>
      </c>
      <c r="AL124" s="84">
        <f>IF(OR($AB124="",$AK124&lt;=0),"",$AE124/$AK124)</f>
        <v/>
      </c>
      <c r="AM124" s="37">
        <f>IF($AL124="","",IF($AL124&gt;=0.8,"사용률 80%↑ — 출고 전 사전승인(제18조)",""))</f>
        <v/>
      </c>
      <c r="AN124" s="37">
        <f>IF($AB124="","",IFERROR(IF(INDEX($AU$21:$AU$40,MATCH('02_Buyers'!$S121,$AS$21:$AS$40,0))="","",INDEX($AU$21:$AU$40,MATCH('02_Buyers'!$S121,$AS$21:$AS$40,0))),""))</f>
        <v/>
      </c>
      <c r="AO124" s="37">
        <f>IF($AB124="","",IFERROR(IF(INDEX($AV$21:$AV$40,MATCH('02_Buyers'!$S121,$AS$21:$AS$40,0))="","",INDEX($AV$21:$AV$40,MATCH('02_Buyers'!$S121,$AS$21:$AS$40,0))),""))</f>
        <v/>
      </c>
      <c r="AP124" s="37">
        <f>IF(OR($AB124="",$AN124="",$AO124=""),"",IF($AN124&gt;$AO124,"국가등급 하향 — 한도 재산정",""))</f>
        <v/>
      </c>
      <c r="AQ124" s="37">
        <f>IF($AH124="선적 보류",COUNTIF($AH$5:$AH124,"선적 보류"),"")</f>
        <v/>
      </c>
    </row>
    <row r="125">
      <c r="A125" t="inlineStr">
        <is>
          <t>INV-2607-0153</t>
        </is>
      </c>
      <c r="B125" t="inlineStr">
        <is>
          <t>B062</t>
        </is>
      </c>
      <c r="C125" t="inlineStr">
        <is>
          <t>USA</t>
        </is>
      </c>
      <c r="D125" t="inlineStr">
        <is>
          <t>OA</t>
        </is>
      </c>
      <c r="E125" t="inlineStr">
        <is>
          <t>USD</t>
        </is>
      </c>
      <c r="F125" t="inlineStr">
        <is>
          <t>Y</t>
        </is>
      </c>
      <c r="G125" s="32" t="n">
        <v>46228</v>
      </c>
      <c r="H125" s="32" t="n">
        <v>46288</v>
      </c>
      <c r="I125" s="82" t="n">
        <v>17590</v>
      </c>
      <c r="J125" s="82" t="n">
        <v>17590</v>
      </c>
      <c r="K125" t="inlineStr">
        <is>
          <t>N</t>
        </is>
      </c>
      <c r="L125" t="inlineStr">
        <is>
          <t>개별</t>
        </is>
      </c>
      <c r="N125" t="inlineStr">
        <is>
          <t>N</t>
        </is>
      </c>
      <c r="O125" s="37">
        <f>IF($A125="","",AsOf-$H125)</f>
        <v/>
      </c>
      <c r="P125" s="37">
        <f>IF($A125="","",IF($K125="Y","-",IF($O125&gt;=30,"D+30 최종통지·선적보류",IF($O125&gt;=15,"D+15 단호한 통지",IF($O125&gt;=7,"D+7 친절한 리마인더",IF(AND($O125&gt;=-3,$O125&lt;=-1),"D-3 사전 안내","모니터링"))))))</f>
        <v/>
      </c>
      <c r="Q125" s="83">
        <f>IF($A125="","",EDATE($H125,1))</f>
        <v/>
      </c>
      <c r="R125" s="37">
        <f>IF($A125="","",$Q125-AsOf)</f>
        <v/>
      </c>
      <c r="S125" s="37">
        <f>IF($A125="","",IF(OR($K125="Y",$F125&lt;&gt;"Y",$O125&lt;=0),"",IF($R125&lt;0,"통지 기한 경과 — 즉시 확인",IF($R125&lt;=NoticeWarnDays,"통지 기한 임박 — 사람 결정",""))))</f>
        <v/>
      </c>
      <c r="T125" s="83">
        <f>IF(OR($A125="",$F125&lt;&gt;"Y"),"",IF(IF($L125="",InsuranceType,$L125)="포괄",DATE(YEAR($G125),MONTH($G125)+1,20),WORKDAY($G125,10)))</f>
        <v/>
      </c>
      <c r="U125" s="83">
        <f>IF(OR($A125="",$M125=""),"",WORKDAY($M125,10))</f>
        <v/>
      </c>
      <c r="V125" s="37">
        <f>IF($A125="","",IF($N125="Y","사기 의심: 콜백 검증 전 대금 안내 중단",""))</f>
        <v/>
      </c>
      <c r="W125" s="37">
        <f>IF($A125="","",IF(AND($K125="N",$D125&lt;&gt;"LC_SIGHT",$D125&lt;&gt;"LC_USANCE",$D125&lt;&gt;"TT_ADV"),$O125,""))</f>
        <v/>
      </c>
      <c r="X125" s="37">
        <f>IF($A125="",0,IF(AND($K125="N",$D125&lt;&gt;"LC_SIGHT",$D125&lt;&gt;"LC_USANCE",$D125&lt;&gt;"TT_ADV",$O125&gt;=30),1,0))</f>
        <v/>
      </c>
      <c r="Y125" s="37">
        <f>IF($A125="","",IF($O125&lt;=0,"미연체",IF($O125&lt;=30,"1-30",IF($O125&lt;=90,"31-90",IF($O125&lt;=180,"91-180",IF($O125&lt;=365,"181-365","365+"))))))</f>
        <v/>
      </c>
      <c r="Z125" s="37">
        <f>IF($S125="통지 기한 임박 — 사람 결정",COUNTIF($S$5:$S125,"통지 기한 임박 — 사람 결정"),"")</f>
        <v/>
      </c>
      <c r="AB125" s="37">
        <f>IF('02_Buyers'!$A122="","",'02_Buyers'!$A122)</f>
        <v/>
      </c>
      <c r="AC125" s="37">
        <f>IF($AB125="","",'02_Buyers'!$AH122)</f>
        <v/>
      </c>
      <c r="AD125" s="37">
        <f>IF($AB125="","",COUNTIFS(inv_buyer,$AB125,inv_paid,"N"))</f>
        <v/>
      </c>
      <c r="AE125" s="40">
        <f>IF($AB125="","",SUMIFS(inv_usd,inv_buyer,$AB125,inv_paid,"N"))</f>
        <v/>
      </c>
      <c r="AF125" s="37">
        <f>IF($AB125="","",_xlfn.MAXIFS(inv_nonlc_dpd,inv_buyer,$AB125))</f>
        <v/>
      </c>
      <c r="AG125" s="37">
        <f>IF($AB125="","",COUNTIFS(inv_buyer,$AB125,inv_hold30,1))</f>
        <v/>
      </c>
      <c r="AH125" s="37">
        <f>IF($AB125="","",IF(OR($AC125=1,$AG125&gt;0),"선적 보류",""))</f>
        <v/>
      </c>
      <c r="AI125" s="37">
        <f>IF($AH125&lt;&gt;"선적 보류","","내부 에스컬레이션: 여신 한도 동결 제안(사람 승인)")</f>
        <v/>
      </c>
      <c r="AJ125" s="37">
        <f>IF($AB125="","",COUNTIFS(inv_buyer,$AB125,inv_alert,"통지 기한 임박*"))</f>
        <v/>
      </c>
      <c r="AK125" s="40">
        <f>IF($AB125="","",'10_LimitLP'!$F125)</f>
        <v/>
      </c>
      <c r="AL125" s="84">
        <f>IF(OR($AB125="",$AK125&lt;=0),"",$AE125/$AK125)</f>
        <v/>
      </c>
      <c r="AM125" s="37">
        <f>IF($AL125="","",IF($AL125&gt;=0.8,"사용률 80%↑ — 출고 전 사전승인(제18조)",""))</f>
        <v/>
      </c>
      <c r="AN125" s="37">
        <f>IF($AB125="","",IFERROR(IF(INDEX($AU$21:$AU$40,MATCH('02_Buyers'!$S122,$AS$21:$AS$40,0))="","",INDEX($AU$21:$AU$40,MATCH('02_Buyers'!$S122,$AS$21:$AS$40,0))),""))</f>
        <v/>
      </c>
      <c r="AO125" s="37">
        <f>IF($AB125="","",IFERROR(IF(INDEX($AV$21:$AV$40,MATCH('02_Buyers'!$S122,$AS$21:$AS$40,0))="","",INDEX($AV$21:$AV$40,MATCH('02_Buyers'!$S122,$AS$21:$AS$40,0))),""))</f>
        <v/>
      </c>
      <c r="AP125" s="37">
        <f>IF(OR($AB125="",$AN125="",$AO125=""),"",IF($AN125&gt;$AO125,"국가등급 하향 — 한도 재산정",""))</f>
        <v/>
      </c>
      <c r="AQ125" s="37">
        <f>IF($AH125="선적 보류",COUNTIF($AH$5:$AH125,"선적 보류"),"")</f>
        <v/>
      </c>
    </row>
    <row r="126">
      <c r="A126" t="inlineStr">
        <is>
          <t>INV-2608-0134</t>
        </is>
      </c>
      <c r="B126" t="inlineStr">
        <is>
          <t>B062</t>
        </is>
      </c>
      <c r="C126" t="inlineStr">
        <is>
          <t>USA</t>
        </is>
      </c>
      <c r="D126" t="inlineStr">
        <is>
          <t>OA</t>
        </is>
      </c>
      <c r="E126" t="inlineStr">
        <is>
          <t>USD</t>
        </is>
      </c>
      <c r="F126" t="inlineStr">
        <is>
          <t>Y</t>
        </is>
      </c>
      <c r="G126" s="32" t="n">
        <v>46261</v>
      </c>
      <c r="H126" s="32" t="n">
        <v>46321</v>
      </c>
      <c r="I126" s="82" t="n">
        <v>3860</v>
      </c>
      <c r="J126" s="82" t="n">
        <v>3860</v>
      </c>
      <c r="K126" t="inlineStr">
        <is>
          <t>N</t>
        </is>
      </c>
      <c r="L126" t="inlineStr">
        <is>
          <t>개별</t>
        </is>
      </c>
      <c r="N126" t="inlineStr">
        <is>
          <t>N</t>
        </is>
      </c>
      <c r="O126" s="37">
        <f>IF($A126="","",AsOf-$H126)</f>
        <v/>
      </c>
      <c r="P126" s="37">
        <f>IF($A126="","",IF($K126="Y","-",IF($O126&gt;=30,"D+30 최종통지·선적보류",IF($O126&gt;=15,"D+15 단호한 통지",IF($O126&gt;=7,"D+7 친절한 리마인더",IF(AND($O126&gt;=-3,$O126&lt;=-1),"D-3 사전 안내","모니터링"))))))</f>
        <v/>
      </c>
      <c r="Q126" s="83">
        <f>IF($A126="","",EDATE($H126,1))</f>
        <v/>
      </c>
      <c r="R126" s="37">
        <f>IF($A126="","",$Q126-AsOf)</f>
        <v/>
      </c>
      <c r="S126" s="37">
        <f>IF($A126="","",IF(OR($K126="Y",$F126&lt;&gt;"Y",$O126&lt;=0),"",IF($R126&lt;0,"통지 기한 경과 — 즉시 확인",IF($R126&lt;=NoticeWarnDays,"통지 기한 임박 — 사람 결정",""))))</f>
        <v/>
      </c>
      <c r="T126" s="83">
        <f>IF(OR($A126="",$F126&lt;&gt;"Y"),"",IF(IF($L126="",InsuranceType,$L126)="포괄",DATE(YEAR($G126),MONTH($G126)+1,20),WORKDAY($G126,10)))</f>
        <v/>
      </c>
      <c r="U126" s="83">
        <f>IF(OR($A126="",$M126=""),"",WORKDAY($M126,10))</f>
        <v/>
      </c>
      <c r="V126" s="37">
        <f>IF($A126="","",IF($N126="Y","사기 의심: 콜백 검증 전 대금 안내 중단",""))</f>
        <v/>
      </c>
      <c r="W126" s="37">
        <f>IF($A126="","",IF(AND($K126="N",$D126&lt;&gt;"LC_SIGHT",$D126&lt;&gt;"LC_USANCE",$D126&lt;&gt;"TT_ADV"),$O126,""))</f>
        <v/>
      </c>
      <c r="X126" s="37">
        <f>IF($A126="",0,IF(AND($K126="N",$D126&lt;&gt;"LC_SIGHT",$D126&lt;&gt;"LC_USANCE",$D126&lt;&gt;"TT_ADV",$O126&gt;=30),1,0))</f>
        <v/>
      </c>
      <c r="Y126" s="37">
        <f>IF($A126="","",IF($O126&lt;=0,"미연체",IF($O126&lt;=30,"1-30",IF($O126&lt;=90,"31-90",IF($O126&lt;=180,"91-180",IF($O126&lt;=365,"181-365","365+"))))))</f>
        <v/>
      </c>
      <c r="Z126" s="37">
        <f>IF($S126="통지 기한 임박 — 사람 결정",COUNTIF($S$5:$S126,"통지 기한 임박 — 사람 결정"),"")</f>
        <v/>
      </c>
      <c r="AB126" s="37">
        <f>IF('02_Buyers'!$A123="","",'02_Buyers'!$A123)</f>
        <v/>
      </c>
      <c r="AC126" s="37">
        <f>IF($AB126="","",'02_Buyers'!$AH123)</f>
        <v/>
      </c>
      <c r="AD126" s="37">
        <f>IF($AB126="","",COUNTIFS(inv_buyer,$AB126,inv_paid,"N"))</f>
        <v/>
      </c>
      <c r="AE126" s="40">
        <f>IF($AB126="","",SUMIFS(inv_usd,inv_buyer,$AB126,inv_paid,"N"))</f>
        <v/>
      </c>
      <c r="AF126" s="37">
        <f>IF($AB126="","",_xlfn.MAXIFS(inv_nonlc_dpd,inv_buyer,$AB126))</f>
        <v/>
      </c>
      <c r="AG126" s="37">
        <f>IF($AB126="","",COUNTIFS(inv_buyer,$AB126,inv_hold30,1))</f>
        <v/>
      </c>
      <c r="AH126" s="37">
        <f>IF($AB126="","",IF(OR($AC126=1,$AG126&gt;0),"선적 보류",""))</f>
        <v/>
      </c>
      <c r="AI126" s="37">
        <f>IF($AH126&lt;&gt;"선적 보류","","내부 에스컬레이션: 여신 한도 동결 제안(사람 승인)")</f>
        <v/>
      </c>
      <c r="AJ126" s="37">
        <f>IF($AB126="","",COUNTIFS(inv_buyer,$AB126,inv_alert,"통지 기한 임박*"))</f>
        <v/>
      </c>
      <c r="AK126" s="40">
        <f>IF($AB126="","",'10_LimitLP'!$F126)</f>
        <v/>
      </c>
      <c r="AL126" s="84">
        <f>IF(OR($AB126="",$AK126&lt;=0),"",$AE126/$AK126)</f>
        <v/>
      </c>
      <c r="AM126" s="37">
        <f>IF($AL126="","",IF($AL126&gt;=0.8,"사용률 80%↑ — 출고 전 사전승인(제18조)",""))</f>
        <v/>
      </c>
      <c r="AN126" s="37">
        <f>IF($AB126="","",IFERROR(IF(INDEX($AU$21:$AU$40,MATCH('02_Buyers'!$S123,$AS$21:$AS$40,0))="","",INDEX($AU$21:$AU$40,MATCH('02_Buyers'!$S123,$AS$21:$AS$40,0))),""))</f>
        <v/>
      </c>
      <c r="AO126" s="37">
        <f>IF($AB126="","",IFERROR(IF(INDEX($AV$21:$AV$40,MATCH('02_Buyers'!$S123,$AS$21:$AS$40,0))="","",INDEX($AV$21:$AV$40,MATCH('02_Buyers'!$S123,$AS$21:$AS$40,0))),""))</f>
        <v/>
      </c>
      <c r="AP126" s="37">
        <f>IF(OR($AB126="",$AN126="",$AO126=""),"",IF($AN126&gt;$AO126,"국가등급 하향 — 한도 재산정",""))</f>
        <v/>
      </c>
      <c r="AQ126" s="37">
        <f>IF($AH126="선적 보류",COUNTIF($AH$5:$AH126,"선적 보류"),"")</f>
        <v/>
      </c>
    </row>
    <row r="127">
      <c r="A127" t="inlineStr">
        <is>
          <t>INV-2609-0091</t>
        </is>
      </c>
      <c r="B127" t="inlineStr">
        <is>
          <t>B062</t>
        </is>
      </c>
      <c r="C127" t="inlineStr">
        <is>
          <t>USA</t>
        </is>
      </c>
      <c r="D127" t="inlineStr">
        <is>
          <t>OA</t>
        </is>
      </c>
      <c r="E127" t="inlineStr">
        <is>
          <t>USD</t>
        </is>
      </c>
      <c r="F127" t="inlineStr">
        <is>
          <t>Y</t>
        </is>
      </c>
      <c r="G127" s="32" t="n">
        <v>46282</v>
      </c>
      <c r="H127" s="32" t="n">
        <v>46342</v>
      </c>
      <c r="I127" s="82" t="n">
        <v>13490</v>
      </c>
      <c r="J127" s="82" t="n">
        <v>13490</v>
      </c>
      <c r="K127" t="inlineStr">
        <is>
          <t>N</t>
        </is>
      </c>
      <c r="L127" t="inlineStr">
        <is>
          <t>개별</t>
        </is>
      </c>
      <c r="N127" t="inlineStr">
        <is>
          <t>N</t>
        </is>
      </c>
      <c r="O127" s="37">
        <f>IF($A127="","",AsOf-$H127)</f>
        <v/>
      </c>
      <c r="P127" s="37">
        <f>IF($A127="","",IF($K127="Y","-",IF($O127&gt;=30,"D+30 최종통지·선적보류",IF($O127&gt;=15,"D+15 단호한 통지",IF($O127&gt;=7,"D+7 친절한 리마인더",IF(AND($O127&gt;=-3,$O127&lt;=-1),"D-3 사전 안내","모니터링"))))))</f>
        <v/>
      </c>
      <c r="Q127" s="83">
        <f>IF($A127="","",EDATE($H127,1))</f>
        <v/>
      </c>
      <c r="R127" s="37">
        <f>IF($A127="","",$Q127-AsOf)</f>
        <v/>
      </c>
      <c r="S127" s="37">
        <f>IF($A127="","",IF(OR($K127="Y",$F127&lt;&gt;"Y",$O127&lt;=0),"",IF($R127&lt;0,"통지 기한 경과 — 즉시 확인",IF($R127&lt;=NoticeWarnDays,"통지 기한 임박 — 사람 결정",""))))</f>
        <v/>
      </c>
      <c r="T127" s="83">
        <f>IF(OR($A127="",$F127&lt;&gt;"Y"),"",IF(IF($L127="",InsuranceType,$L127)="포괄",DATE(YEAR($G127),MONTH($G127)+1,20),WORKDAY($G127,10)))</f>
        <v/>
      </c>
      <c r="U127" s="83">
        <f>IF(OR($A127="",$M127=""),"",WORKDAY($M127,10))</f>
        <v/>
      </c>
      <c r="V127" s="37">
        <f>IF($A127="","",IF($N127="Y","사기 의심: 콜백 검증 전 대금 안내 중단",""))</f>
        <v/>
      </c>
      <c r="W127" s="37">
        <f>IF($A127="","",IF(AND($K127="N",$D127&lt;&gt;"LC_SIGHT",$D127&lt;&gt;"LC_USANCE",$D127&lt;&gt;"TT_ADV"),$O127,""))</f>
        <v/>
      </c>
      <c r="X127" s="37">
        <f>IF($A127="",0,IF(AND($K127="N",$D127&lt;&gt;"LC_SIGHT",$D127&lt;&gt;"LC_USANCE",$D127&lt;&gt;"TT_ADV",$O127&gt;=30),1,0))</f>
        <v/>
      </c>
      <c r="Y127" s="37">
        <f>IF($A127="","",IF($O127&lt;=0,"미연체",IF($O127&lt;=30,"1-30",IF($O127&lt;=90,"31-90",IF($O127&lt;=180,"91-180",IF($O127&lt;=365,"181-365","365+"))))))</f>
        <v/>
      </c>
      <c r="Z127" s="37">
        <f>IF($S127="통지 기한 임박 — 사람 결정",COUNTIF($S$5:$S127,"통지 기한 임박 — 사람 결정"),"")</f>
        <v/>
      </c>
      <c r="AB127" s="37">
        <f>IF('02_Buyers'!$A124="","",'02_Buyers'!$A124)</f>
        <v/>
      </c>
      <c r="AC127" s="37">
        <f>IF($AB127="","",'02_Buyers'!$AH124)</f>
        <v/>
      </c>
      <c r="AD127" s="37">
        <f>IF($AB127="","",COUNTIFS(inv_buyer,$AB127,inv_paid,"N"))</f>
        <v/>
      </c>
      <c r="AE127" s="40">
        <f>IF($AB127="","",SUMIFS(inv_usd,inv_buyer,$AB127,inv_paid,"N"))</f>
        <v/>
      </c>
      <c r="AF127" s="37">
        <f>IF($AB127="","",_xlfn.MAXIFS(inv_nonlc_dpd,inv_buyer,$AB127))</f>
        <v/>
      </c>
      <c r="AG127" s="37">
        <f>IF($AB127="","",COUNTIFS(inv_buyer,$AB127,inv_hold30,1))</f>
        <v/>
      </c>
      <c r="AH127" s="37">
        <f>IF($AB127="","",IF(OR($AC127=1,$AG127&gt;0),"선적 보류",""))</f>
        <v/>
      </c>
      <c r="AI127" s="37">
        <f>IF($AH127&lt;&gt;"선적 보류","","내부 에스컬레이션: 여신 한도 동결 제안(사람 승인)")</f>
        <v/>
      </c>
      <c r="AJ127" s="37">
        <f>IF($AB127="","",COUNTIFS(inv_buyer,$AB127,inv_alert,"통지 기한 임박*"))</f>
        <v/>
      </c>
      <c r="AK127" s="40">
        <f>IF($AB127="","",'10_LimitLP'!$F127)</f>
        <v/>
      </c>
      <c r="AL127" s="84">
        <f>IF(OR($AB127="",$AK127&lt;=0),"",$AE127/$AK127)</f>
        <v/>
      </c>
      <c r="AM127" s="37">
        <f>IF($AL127="","",IF($AL127&gt;=0.8,"사용률 80%↑ — 출고 전 사전승인(제18조)",""))</f>
        <v/>
      </c>
      <c r="AN127" s="37">
        <f>IF($AB127="","",IFERROR(IF(INDEX($AU$21:$AU$40,MATCH('02_Buyers'!$S124,$AS$21:$AS$40,0))="","",INDEX($AU$21:$AU$40,MATCH('02_Buyers'!$S124,$AS$21:$AS$40,0))),""))</f>
        <v/>
      </c>
      <c r="AO127" s="37">
        <f>IF($AB127="","",IFERROR(IF(INDEX($AV$21:$AV$40,MATCH('02_Buyers'!$S124,$AS$21:$AS$40,0))="","",INDEX($AV$21:$AV$40,MATCH('02_Buyers'!$S124,$AS$21:$AS$40,0))),""))</f>
        <v/>
      </c>
      <c r="AP127" s="37">
        <f>IF(OR($AB127="",$AN127="",$AO127=""),"",IF($AN127&gt;$AO127,"국가등급 하향 — 한도 재산정",""))</f>
        <v/>
      </c>
      <c r="AQ127" s="37">
        <f>IF($AH127="선적 보류",COUNTIF($AH$5:$AH127,"선적 보류"),"")</f>
        <v/>
      </c>
    </row>
    <row r="128">
      <c r="A128" t="inlineStr">
        <is>
          <t>INV-2609-0023</t>
        </is>
      </c>
      <c r="B128" t="inlineStr">
        <is>
          <t>B064</t>
        </is>
      </c>
      <c r="C128" t="inlineStr">
        <is>
          <t>USA</t>
        </is>
      </c>
      <c r="D128" t="inlineStr">
        <is>
          <t>TT_SPLIT_30_70</t>
        </is>
      </c>
      <c r="E128" t="inlineStr">
        <is>
          <t>USD</t>
        </is>
      </c>
      <c r="F128" t="inlineStr">
        <is>
          <t>Y</t>
        </is>
      </c>
      <c r="G128" s="32" t="n">
        <v>46269</v>
      </c>
      <c r="H128" s="32" t="n">
        <v>46299</v>
      </c>
      <c r="I128" s="82" t="n">
        <v>25893</v>
      </c>
      <c r="J128" s="82" t="n">
        <v>25893</v>
      </c>
      <c r="K128" t="inlineStr">
        <is>
          <t>N</t>
        </is>
      </c>
      <c r="L128" t="inlineStr">
        <is>
          <t>개별</t>
        </is>
      </c>
      <c r="N128" t="inlineStr">
        <is>
          <t>N</t>
        </is>
      </c>
      <c r="O128" s="37">
        <f>IF($A128="","",AsOf-$H128)</f>
        <v/>
      </c>
      <c r="P128" s="37">
        <f>IF($A128="","",IF($K128="Y","-",IF($O128&gt;=30,"D+30 최종통지·선적보류",IF($O128&gt;=15,"D+15 단호한 통지",IF($O128&gt;=7,"D+7 친절한 리마인더",IF(AND($O128&gt;=-3,$O128&lt;=-1),"D-3 사전 안내","모니터링"))))))</f>
        <v/>
      </c>
      <c r="Q128" s="83">
        <f>IF($A128="","",EDATE($H128,1))</f>
        <v/>
      </c>
      <c r="R128" s="37">
        <f>IF($A128="","",$Q128-AsOf)</f>
        <v/>
      </c>
      <c r="S128" s="37">
        <f>IF($A128="","",IF(OR($K128="Y",$F128&lt;&gt;"Y",$O128&lt;=0),"",IF($R128&lt;0,"통지 기한 경과 — 즉시 확인",IF($R128&lt;=NoticeWarnDays,"통지 기한 임박 — 사람 결정",""))))</f>
        <v/>
      </c>
      <c r="T128" s="83">
        <f>IF(OR($A128="",$F128&lt;&gt;"Y"),"",IF(IF($L128="",InsuranceType,$L128)="포괄",DATE(YEAR($G128),MONTH($G128)+1,20),WORKDAY($G128,10)))</f>
        <v/>
      </c>
      <c r="U128" s="83">
        <f>IF(OR($A128="",$M128=""),"",WORKDAY($M128,10))</f>
        <v/>
      </c>
      <c r="V128" s="37">
        <f>IF($A128="","",IF($N128="Y","사기 의심: 콜백 검증 전 대금 안내 중단",""))</f>
        <v/>
      </c>
      <c r="W128" s="37">
        <f>IF($A128="","",IF(AND($K128="N",$D128&lt;&gt;"LC_SIGHT",$D128&lt;&gt;"LC_USANCE",$D128&lt;&gt;"TT_ADV"),$O128,""))</f>
        <v/>
      </c>
      <c r="X128" s="37">
        <f>IF($A128="",0,IF(AND($K128="N",$D128&lt;&gt;"LC_SIGHT",$D128&lt;&gt;"LC_USANCE",$D128&lt;&gt;"TT_ADV",$O128&gt;=30),1,0))</f>
        <v/>
      </c>
      <c r="Y128" s="37">
        <f>IF($A128="","",IF($O128&lt;=0,"미연체",IF($O128&lt;=30,"1-30",IF($O128&lt;=90,"31-90",IF($O128&lt;=180,"91-180",IF($O128&lt;=365,"181-365","365+"))))))</f>
        <v/>
      </c>
      <c r="Z128" s="37">
        <f>IF($S128="통지 기한 임박 — 사람 결정",COUNTIF($S$5:$S128,"통지 기한 임박 — 사람 결정"),"")</f>
        <v/>
      </c>
      <c r="AB128" s="37">
        <f>IF('02_Buyers'!$A125="","",'02_Buyers'!$A125)</f>
        <v/>
      </c>
      <c r="AC128" s="37">
        <f>IF($AB128="","",'02_Buyers'!$AH125)</f>
        <v/>
      </c>
      <c r="AD128" s="37">
        <f>IF($AB128="","",COUNTIFS(inv_buyer,$AB128,inv_paid,"N"))</f>
        <v/>
      </c>
      <c r="AE128" s="40">
        <f>IF($AB128="","",SUMIFS(inv_usd,inv_buyer,$AB128,inv_paid,"N"))</f>
        <v/>
      </c>
      <c r="AF128" s="37">
        <f>IF($AB128="","",_xlfn.MAXIFS(inv_nonlc_dpd,inv_buyer,$AB128))</f>
        <v/>
      </c>
      <c r="AG128" s="37">
        <f>IF($AB128="","",COUNTIFS(inv_buyer,$AB128,inv_hold30,1))</f>
        <v/>
      </c>
      <c r="AH128" s="37">
        <f>IF($AB128="","",IF(OR($AC128=1,$AG128&gt;0),"선적 보류",""))</f>
        <v/>
      </c>
      <c r="AI128" s="37">
        <f>IF($AH128&lt;&gt;"선적 보류","","내부 에스컬레이션: 여신 한도 동결 제안(사람 승인)")</f>
        <v/>
      </c>
      <c r="AJ128" s="37">
        <f>IF($AB128="","",COUNTIFS(inv_buyer,$AB128,inv_alert,"통지 기한 임박*"))</f>
        <v/>
      </c>
      <c r="AK128" s="40">
        <f>IF($AB128="","",'10_LimitLP'!$F128)</f>
        <v/>
      </c>
      <c r="AL128" s="84">
        <f>IF(OR($AB128="",$AK128&lt;=0),"",$AE128/$AK128)</f>
        <v/>
      </c>
      <c r="AM128" s="37">
        <f>IF($AL128="","",IF($AL128&gt;=0.8,"사용률 80%↑ — 출고 전 사전승인(제18조)",""))</f>
        <v/>
      </c>
      <c r="AN128" s="37">
        <f>IF($AB128="","",IFERROR(IF(INDEX($AU$21:$AU$40,MATCH('02_Buyers'!$S125,$AS$21:$AS$40,0))="","",INDEX($AU$21:$AU$40,MATCH('02_Buyers'!$S125,$AS$21:$AS$40,0))),""))</f>
        <v/>
      </c>
      <c r="AO128" s="37">
        <f>IF($AB128="","",IFERROR(IF(INDEX($AV$21:$AV$40,MATCH('02_Buyers'!$S125,$AS$21:$AS$40,0))="","",INDEX($AV$21:$AV$40,MATCH('02_Buyers'!$S125,$AS$21:$AS$40,0))),""))</f>
        <v/>
      </c>
      <c r="AP128" s="37">
        <f>IF(OR($AB128="",$AN128="",$AO128=""),"",IF($AN128&gt;$AO128,"국가등급 하향 — 한도 재산정",""))</f>
        <v/>
      </c>
      <c r="AQ128" s="37">
        <f>IF($AH128="선적 보류",COUNTIF($AH$5:$AH128,"선적 보류"),"")</f>
        <v/>
      </c>
    </row>
    <row r="129">
      <c r="A129" t="inlineStr">
        <is>
          <t>INV-2609-0045</t>
        </is>
      </c>
      <c r="B129" t="inlineStr">
        <is>
          <t>B064</t>
        </is>
      </c>
      <c r="C129" t="inlineStr">
        <is>
          <t>USA</t>
        </is>
      </c>
      <c r="D129" t="inlineStr">
        <is>
          <t>TT_SPLIT_30_70</t>
        </is>
      </c>
      <c r="E129" t="inlineStr">
        <is>
          <t>USD</t>
        </is>
      </c>
      <c r="F129" t="inlineStr">
        <is>
          <t>Y</t>
        </is>
      </c>
      <c r="G129" s="32" t="n">
        <v>46273</v>
      </c>
      <c r="H129" s="32" t="n">
        <v>46303</v>
      </c>
      <c r="I129" s="82" t="n">
        <v>1323</v>
      </c>
      <c r="J129" s="82" t="n">
        <v>1323</v>
      </c>
      <c r="K129" t="inlineStr">
        <is>
          <t>N</t>
        </is>
      </c>
      <c r="L129" t="inlineStr">
        <is>
          <t>개별</t>
        </is>
      </c>
      <c r="N129" t="inlineStr">
        <is>
          <t>N</t>
        </is>
      </c>
      <c r="O129" s="37">
        <f>IF($A129="","",AsOf-$H129)</f>
        <v/>
      </c>
      <c r="P129" s="37">
        <f>IF($A129="","",IF($K129="Y","-",IF($O129&gt;=30,"D+30 최종통지·선적보류",IF($O129&gt;=15,"D+15 단호한 통지",IF($O129&gt;=7,"D+7 친절한 리마인더",IF(AND($O129&gt;=-3,$O129&lt;=-1),"D-3 사전 안내","모니터링"))))))</f>
        <v/>
      </c>
      <c r="Q129" s="83">
        <f>IF($A129="","",EDATE($H129,1))</f>
        <v/>
      </c>
      <c r="R129" s="37">
        <f>IF($A129="","",$Q129-AsOf)</f>
        <v/>
      </c>
      <c r="S129" s="37">
        <f>IF($A129="","",IF(OR($K129="Y",$F129&lt;&gt;"Y",$O129&lt;=0),"",IF($R129&lt;0,"통지 기한 경과 — 즉시 확인",IF($R129&lt;=NoticeWarnDays,"통지 기한 임박 — 사람 결정",""))))</f>
        <v/>
      </c>
      <c r="T129" s="83">
        <f>IF(OR($A129="",$F129&lt;&gt;"Y"),"",IF(IF($L129="",InsuranceType,$L129)="포괄",DATE(YEAR($G129),MONTH($G129)+1,20),WORKDAY($G129,10)))</f>
        <v/>
      </c>
      <c r="U129" s="83">
        <f>IF(OR($A129="",$M129=""),"",WORKDAY($M129,10))</f>
        <v/>
      </c>
      <c r="V129" s="37">
        <f>IF($A129="","",IF($N129="Y","사기 의심: 콜백 검증 전 대금 안내 중단",""))</f>
        <v/>
      </c>
      <c r="W129" s="37">
        <f>IF($A129="","",IF(AND($K129="N",$D129&lt;&gt;"LC_SIGHT",$D129&lt;&gt;"LC_USANCE",$D129&lt;&gt;"TT_ADV"),$O129,""))</f>
        <v/>
      </c>
      <c r="X129" s="37">
        <f>IF($A129="",0,IF(AND($K129="N",$D129&lt;&gt;"LC_SIGHT",$D129&lt;&gt;"LC_USANCE",$D129&lt;&gt;"TT_ADV",$O129&gt;=30),1,0))</f>
        <v/>
      </c>
      <c r="Y129" s="37">
        <f>IF($A129="","",IF($O129&lt;=0,"미연체",IF($O129&lt;=30,"1-30",IF($O129&lt;=90,"31-90",IF($O129&lt;=180,"91-180",IF($O129&lt;=365,"181-365","365+"))))))</f>
        <v/>
      </c>
      <c r="Z129" s="37">
        <f>IF($S129="통지 기한 임박 — 사람 결정",COUNTIF($S$5:$S129,"통지 기한 임박 — 사람 결정"),"")</f>
        <v/>
      </c>
      <c r="AB129" s="37">
        <f>IF('02_Buyers'!$A126="","",'02_Buyers'!$A126)</f>
        <v/>
      </c>
      <c r="AC129" s="37">
        <f>IF($AB129="","",'02_Buyers'!$AH126)</f>
        <v/>
      </c>
      <c r="AD129" s="37">
        <f>IF($AB129="","",COUNTIFS(inv_buyer,$AB129,inv_paid,"N"))</f>
        <v/>
      </c>
      <c r="AE129" s="40">
        <f>IF($AB129="","",SUMIFS(inv_usd,inv_buyer,$AB129,inv_paid,"N"))</f>
        <v/>
      </c>
      <c r="AF129" s="37">
        <f>IF($AB129="","",_xlfn.MAXIFS(inv_nonlc_dpd,inv_buyer,$AB129))</f>
        <v/>
      </c>
      <c r="AG129" s="37">
        <f>IF($AB129="","",COUNTIFS(inv_buyer,$AB129,inv_hold30,1))</f>
        <v/>
      </c>
      <c r="AH129" s="37">
        <f>IF($AB129="","",IF(OR($AC129=1,$AG129&gt;0),"선적 보류",""))</f>
        <v/>
      </c>
      <c r="AI129" s="37">
        <f>IF($AH129&lt;&gt;"선적 보류","","내부 에스컬레이션: 여신 한도 동결 제안(사람 승인)")</f>
        <v/>
      </c>
      <c r="AJ129" s="37">
        <f>IF($AB129="","",COUNTIFS(inv_buyer,$AB129,inv_alert,"통지 기한 임박*"))</f>
        <v/>
      </c>
      <c r="AK129" s="40">
        <f>IF($AB129="","",'10_LimitLP'!$F129)</f>
        <v/>
      </c>
      <c r="AL129" s="84">
        <f>IF(OR($AB129="",$AK129&lt;=0),"",$AE129/$AK129)</f>
        <v/>
      </c>
      <c r="AM129" s="37">
        <f>IF($AL129="","",IF($AL129&gt;=0.8,"사용률 80%↑ — 출고 전 사전승인(제18조)",""))</f>
        <v/>
      </c>
      <c r="AN129" s="37">
        <f>IF($AB129="","",IFERROR(IF(INDEX($AU$21:$AU$40,MATCH('02_Buyers'!$S126,$AS$21:$AS$40,0))="","",INDEX($AU$21:$AU$40,MATCH('02_Buyers'!$S126,$AS$21:$AS$40,0))),""))</f>
        <v/>
      </c>
      <c r="AO129" s="37">
        <f>IF($AB129="","",IFERROR(IF(INDEX($AV$21:$AV$40,MATCH('02_Buyers'!$S126,$AS$21:$AS$40,0))="","",INDEX($AV$21:$AV$40,MATCH('02_Buyers'!$S126,$AS$21:$AS$40,0))),""))</f>
        <v/>
      </c>
      <c r="AP129" s="37">
        <f>IF(OR($AB129="",$AN129="",$AO129=""),"",IF($AN129&gt;$AO129,"국가등급 하향 — 한도 재산정",""))</f>
        <v/>
      </c>
      <c r="AQ129" s="37">
        <f>IF($AH129="선적 보류",COUNTIF($AH$5:$AH129,"선적 보류"),"")</f>
        <v/>
      </c>
    </row>
    <row r="130">
      <c r="A130" t="inlineStr">
        <is>
          <t>INV-2607-0158</t>
        </is>
      </c>
      <c r="B130" t="inlineStr">
        <is>
          <t>B066</t>
        </is>
      </c>
      <c r="C130" t="inlineStr">
        <is>
          <t>ARE</t>
        </is>
      </c>
      <c r="D130" t="inlineStr">
        <is>
          <t>DA</t>
        </is>
      </c>
      <c r="E130" t="inlineStr">
        <is>
          <t>USD</t>
        </is>
      </c>
      <c r="F130" t="inlineStr">
        <is>
          <t>Y</t>
        </is>
      </c>
      <c r="G130" s="32" t="n">
        <v>46229</v>
      </c>
      <c r="H130" s="32" t="n">
        <v>46289</v>
      </c>
      <c r="I130" s="82" t="n">
        <v>10610</v>
      </c>
      <c r="J130" s="82" t="n">
        <v>10610</v>
      </c>
      <c r="K130" t="inlineStr">
        <is>
          <t>N</t>
        </is>
      </c>
      <c r="L130" t="inlineStr">
        <is>
          <t>개별</t>
        </is>
      </c>
      <c r="N130" t="inlineStr">
        <is>
          <t>N</t>
        </is>
      </c>
      <c r="O130" s="37">
        <f>IF($A130="","",AsOf-$H130)</f>
        <v/>
      </c>
      <c r="P130" s="37">
        <f>IF($A130="","",IF($K130="Y","-",IF($O130&gt;=30,"D+30 최종통지·선적보류",IF($O130&gt;=15,"D+15 단호한 통지",IF($O130&gt;=7,"D+7 친절한 리마인더",IF(AND($O130&gt;=-3,$O130&lt;=-1),"D-3 사전 안내","모니터링"))))))</f>
        <v/>
      </c>
      <c r="Q130" s="83">
        <f>IF($A130="","",EDATE($H130,1))</f>
        <v/>
      </c>
      <c r="R130" s="37">
        <f>IF($A130="","",$Q130-AsOf)</f>
        <v/>
      </c>
      <c r="S130" s="37">
        <f>IF($A130="","",IF(OR($K130="Y",$F130&lt;&gt;"Y",$O130&lt;=0),"",IF($R130&lt;0,"통지 기한 경과 — 즉시 확인",IF($R130&lt;=NoticeWarnDays,"통지 기한 임박 — 사람 결정",""))))</f>
        <v/>
      </c>
      <c r="T130" s="83">
        <f>IF(OR($A130="",$F130&lt;&gt;"Y"),"",IF(IF($L130="",InsuranceType,$L130)="포괄",DATE(YEAR($G130),MONTH($G130)+1,20),WORKDAY($G130,10)))</f>
        <v/>
      </c>
      <c r="U130" s="83">
        <f>IF(OR($A130="",$M130=""),"",WORKDAY($M130,10))</f>
        <v/>
      </c>
      <c r="V130" s="37">
        <f>IF($A130="","",IF($N130="Y","사기 의심: 콜백 검증 전 대금 안내 중단",""))</f>
        <v/>
      </c>
      <c r="W130" s="37">
        <f>IF($A130="","",IF(AND($K130="N",$D130&lt;&gt;"LC_SIGHT",$D130&lt;&gt;"LC_USANCE",$D130&lt;&gt;"TT_ADV"),$O130,""))</f>
        <v/>
      </c>
      <c r="X130" s="37">
        <f>IF($A130="",0,IF(AND($K130="N",$D130&lt;&gt;"LC_SIGHT",$D130&lt;&gt;"LC_USANCE",$D130&lt;&gt;"TT_ADV",$O130&gt;=30),1,0))</f>
        <v/>
      </c>
      <c r="Y130" s="37">
        <f>IF($A130="","",IF($O130&lt;=0,"미연체",IF($O130&lt;=30,"1-30",IF($O130&lt;=90,"31-90",IF($O130&lt;=180,"91-180",IF($O130&lt;=365,"181-365","365+"))))))</f>
        <v/>
      </c>
      <c r="Z130" s="37">
        <f>IF($S130="통지 기한 임박 — 사람 결정",COUNTIF($S$5:$S130,"통지 기한 임박 — 사람 결정"),"")</f>
        <v/>
      </c>
      <c r="AB130" s="37">
        <f>IF('02_Buyers'!$A127="","",'02_Buyers'!$A127)</f>
        <v/>
      </c>
      <c r="AC130" s="37">
        <f>IF($AB130="","",'02_Buyers'!$AH127)</f>
        <v/>
      </c>
      <c r="AD130" s="37">
        <f>IF($AB130="","",COUNTIFS(inv_buyer,$AB130,inv_paid,"N"))</f>
        <v/>
      </c>
      <c r="AE130" s="40">
        <f>IF($AB130="","",SUMIFS(inv_usd,inv_buyer,$AB130,inv_paid,"N"))</f>
        <v/>
      </c>
      <c r="AF130" s="37">
        <f>IF($AB130="","",_xlfn.MAXIFS(inv_nonlc_dpd,inv_buyer,$AB130))</f>
        <v/>
      </c>
      <c r="AG130" s="37">
        <f>IF($AB130="","",COUNTIFS(inv_buyer,$AB130,inv_hold30,1))</f>
        <v/>
      </c>
      <c r="AH130" s="37">
        <f>IF($AB130="","",IF(OR($AC130=1,$AG130&gt;0),"선적 보류",""))</f>
        <v/>
      </c>
      <c r="AI130" s="37">
        <f>IF($AH130&lt;&gt;"선적 보류","","내부 에스컬레이션: 여신 한도 동결 제안(사람 승인)")</f>
        <v/>
      </c>
      <c r="AJ130" s="37">
        <f>IF($AB130="","",COUNTIFS(inv_buyer,$AB130,inv_alert,"통지 기한 임박*"))</f>
        <v/>
      </c>
      <c r="AK130" s="40">
        <f>IF($AB130="","",'10_LimitLP'!$F130)</f>
        <v/>
      </c>
      <c r="AL130" s="84">
        <f>IF(OR($AB130="",$AK130&lt;=0),"",$AE130/$AK130)</f>
        <v/>
      </c>
      <c r="AM130" s="37">
        <f>IF($AL130="","",IF($AL130&gt;=0.8,"사용률 80%↑ — 출고 전 사전승인(제18조)",""))</f>
        <v/>
      </c>
      <c r="AN130" s="37">
        <f>IF($AB130="","",IFERROR(IF(INDEX($AU$21:$AU$40,MATCH('02_Buyers'!$S127,$AS$21:$AS$40,0))="","",INDEX($AU$21:$AU$40,MATCH('02_Buyers'!$S127,$AS$21:$AS$40,0))),""))</f>
        <v/>
      </c>
      <c r="AO130" s="37">
        <f>IF($AB130="","",IFERROR(IF(INDEX($AV$21:$AV$40,MATCH('02_Buyers'!$S127,$AS$21:$AS$40,0))="","",INDEX($AV$21:$AV$40,MATCH('02_Buyers'!$S127,$AS$21:$AS$40,0))),""))</f>
        <v/>
      </c>
      <c r="AP130" s="37">
        <f>IF(OR($AB130="",$AN130="",$AO130=""),"",IF($AN130&gt;$AO130,"국가등급 하향 — 한도 재산정",""))</f>
        <v/>
      </c>
      <c r="AQ130" s="37">
        <f>IF($AH130="선적 보류",COUNTIF($AH$5:$AH130,"선적 보류"),"")</f>
        <v/>
      </c>
    </row>
    <row r="131">
      <c r="A131" t="inlineStr">
        <is>
          <t>INV-2608-0072</t>
        </is>
      </c>
      <c r="B131" t="inlineStr">
        <is>
          <t>B066</t>
        </is>
      </c>
      <c r="C131" t="inlineStr">
        <is>
          <t>ARE</t>
        </is>
      </c>
      <c r="D131" t="inlineStr">
        <is>
          <t>DA</t>
        </is>
      </c>
      <c r="E131" t="inlineStr">
        <is>
          <t>USD</t>
        </is>
      </c>
      <c r="F131" t="inlineStr">
        <is>
          <t>Y</t>
        </is>
      </c>
      <c r="G131" s="32" t="n">
        <v>46250</v>
      </c>
      <c r="H131" s="32" t="n">
        <v>46310</v>
      </c>
      <c r="I131" s="82" t="n">
        <v>5460</v>
      </c>
      <c r="J131" s="82" t="n">
        <v>5460</v>
      </c>
      <c r="K131" t="inlineStr">
        <is>
          <t>N</t>
        </is>
      </c>
      <c r="L131" t="inlineStr">
        <is>
          <t>개별</t>
        </is>
      </c>
      <c r="N131" t="inlineStr">
        <is>
          <t>N</t>
        </is>
      </c>
      <c r="O131" s="37">
        <f>IF($A131="","",AsOf-$H131)</f>
        <v/>
      </c>
      <c r="P131" s="37">
        <f>IF($A131="","",IF($K131="Y","-",IF($O131&gt;=30,"D+30 최종통지·선적보류",IF($O131&gt;=15,"D+15 단호한 통지",IF($O131&gt;=7,"D+7 친절한 리마인더",IF(AND($O131&gt;=-3,$O131&lt;=-1),"D-3 사전 안내","모니터링"))))))</f>
        <v/>
      </c>
      <c r="Q131" s="83">
        <f>IF($A131="","",EDATE($H131,1))</f>
        <v/>
      </c>
      <c r="R131" s="37">
        <f>IF($A131="","",$Q131-AsOf)</f>
        <v/>
      </c>
      <c r="S131" s="37">
        <f>IF($A131="","",IF(OR($K131="Y",$F131&lt;&gt;"Y",$O131&lt;=0),"",IF($R131&lt;0,"통지 기한 경과 — 즉시 확인",IF($R131&lt;=NoticeWarnDays,"통지 기한 임박 — 사람 결정",""))))</f>
        <v/>
      </c>
      <c r="T131" s="83">
        <f>IF(OR($A131="",$F131&lt;&gt;"Y"),"",IF(IF($L131="",InsuranceType,$L131)="포괄",DATE(YEAR($G131),MONTH($G131)+1,20),WORKDAY($G131,10)))</f>
        <v/>
      </c>
      <c r="U131" s="83">
        <f>IF(OR($A131="",$M131=""),"",WORKDAY($M131,10))</f>
        <v/>
      </c>
      <c r="V131" s="37">
        <f>IF($A131="","",IF($N131="Y","사기 의심: 콜백 검증 전 대금 안내 중단",""))</f>
        <v/>
      </c>
      <c r="W131" s="37">
        <f>IF($A131="","",IF(AND($K131="N",$D131&lt;&gt;"LC_SIGHT",$D131&lt;&gt;"LC_USANCE",$D131&lt;&gt;"TT_ADV"),$O131,""))</f>
        <v/>
      </c>
      <c r="X131" s="37">
        <f>IF($A131="",0,IF(AND($K131="N",$D131&lt;&gt;"LC_SIGHT",$D131&lt;&gt;"LC_USANCE",$D131&lt;&gt;"TT_ADV",$O131&gt;=30),1,0))</f>
        <v/>
      </c>
      <c r="Y131" s="37">
        <f>IF($A131="","",IF($O131&lt;=0,"미연체",IF($O131&lt;=30,"1-30",IF($O131&lt;=90,"31-90",IF($O131&lt;=180,"91-180",IF($O131&lt;=365,"181-365","365+"))))))</f>
        <v/>
      </c>
      <c r="Z131" s="37">
        <f>IF($S131="통지 기한 임박 — 사람 결정",COUNTIF($S$5:$S131,"통지 기한 임박 — 사람 결정"),"")</f>
        <v/>
      </c>
      <c r="AB131" s="37">
        <f>IF('02_Buyers'!$A128="","",'02_Buyers'!$A128)</f>
        <v/>
      </c>
      <c r="AC131" s="37">
        <f>IF($AB131="","",'02_Buyers'!$AH128)</f>
        <v/>
      </c>
      <c r="AD131" s="37">
        <f>IF($AB131="","",COUNTIFS(inv_buyer,$AB131,inv_paid,"N"))</f>
        <v/>
      </c>
      <c r="AE131" s="40">
        <f>IF($AB131="","",SUMIFS(inv_usd,inv_buyer,$AB131,inv_paid,"N"))</f>
        <v/>
      </c>
      <c r="AF131" s="37">
        <f>IF($AB131="","",_xlfn.MAXIFS(inv_nonlc_dpd,inv_buyer,$AB131))</f>
        <v/>
      </c>
      <c r="AG131" s="37">
        <f>IF($AB131="","",COUNTIFS(inv_buyer,$AB131,inv_hold30,1))</f>
        <v/>
      </c>
      <c r="AH131" s="37">
        <f>IF($AB131="","",IF(OR($AC131=1,$AG131&gt;0),"선적 보류",""))</f>
        <v/>
      </c>
      <c r="AI131" s="37">
        <f>IF($AH131&lt;&gt;"선적 보류","","내부 에스컬레이션: 여신 한도 동결 제안(사람 승인)")</f>
        <v/>
      </c>
      <c r="AJ131" s="37">
        <f>IF($AB131="","",COUNTIFS(inv_buyer,$AB131,inv_alert,"통지 기한 임박*"))</f>
        <v/>
      </c>
      <c r="AK131" s="40">
        <f>IF($AB131="","",'10_LimitLP'!$F131)</f>
        <v/>
      </c>
      <c r="AL131" s="84">
        <f>IF(OR($AB131="",$AK131&lt;=0),"",$AE131/$AK131)</f>
        <v/>
      </c>
      <c r="AM131" s="37">
        <f>IF($AL131="","",IF($AL131&gt;=0.8,"사용률 80%↑ — 출고 전 사전승인(제18조)",""))</f>
        <v/>
      </c>
      <c r="AN131" s="37">
        <f>IF($AB131="","",IFERROR(IF(INDEX($AU$21:$AU$40,MATCH('02_Buyers'!$S128,$AS$21:$AS$40,0))="","",INDEX($AU$21:$AU$40,MATCH('02_Buyers'!$S128,$AS$21:$AS$40,0))),""))</f>
        <v/>
      </c>
      <c r="AO131" s="37">
        <f>IF($AB131="","",IFERROR(IF(INDEX($AV$21:$AV$40,MATCH('02_Buyers'!$S128,$AS$21:$AS$40,0))="","",INDEX($AV$21:$AV$40,MATCH('02_Buyers'!$S128,$AS$21:$AS$40,0))),""))</f>
        <v/>
      </c>
      <c r="AP131" s="37">
        <f>IF(OR($AB131="",$AN131="",$AO131=""),"",IF($AN131&gt;$AO131,"국가등급 하향 — 한도 재산정",""))</f>
        <v/>
      </c>
      <c r="AQ131" s="37">
        <f>IF($AH131="선적 보류",COUNTIF($AH$5:$AH131,"선적 보류"),"")</f>
        <v/>
      </c>
    </row>
    <row r="132">
      <c r="A132" t="inlineStr">
        <is>
          <t>INV-2609-0072</t>
        </is>
      </c>
      <c r="B132" t="inlineStr">
        <is>
          <t>B066</t>
        </is>
      </c>
      <c r="C132" t="inlineStr">
        <is>
          <t>ARE</t>
        </is>
      </c>
      <c r="D132" t="inlineStr">
        <is>
          <t>DA</t>
        </is>
      </c>
      <c r="E132" t="inlineStr">
        <is>
          <t>USD</t>
        </is>
      </c>
      <c r="F132" t="inlineStr">
        <is>
          <t>Y</t>
        </is>
      </c>
      <c r="G132" s="32" t="n">
        <v>46278</v>
      </c>
      <c r="H132" s="32" t="n">
        <v>46338</v>
      </c>
      <c r="I132" s="82" t="n">
        <v>4020</v>
      </c>
      <c r="J132" s="82" t="n">
        <v>4020</v>
      </c>
      <c r="K132" t="inlineStr">
        <is>
          <t>N</t>
        </is>
      </c>
      <c r="L132" t="inlineStr">
        <is>
          <t>개별</t>
        </is>
      </c>
      <c r="N132" t="inlineStr">
        <is>
          <t>N</t>
        </is>
      </c>
      <c r="O132" s="37">
        <f>IF($A132="","",AsOf-$H132)</f>
        <v/>
      </c>
      <c r="P132" s="37">
        <f>IF($A132="","",IF($K132="Y","-",IF($O132&gt;=30,"D+30 최종통지·선적보류",IF($O132&gt;=15,"D+15 단호한 통지",IF($O132&gt;=7,"D+7 친절한 리마인더",IF(AND($O132&gt;=-3,$O132&lt;=-1),"D-3 사전 안내","모니터링"))))))</f>
        <v/>
      </c>
      <c r="Q132" s="83">
        <f>IF($A132="","",EDATE($H132,1))</f>
        <v/>
      </c>
      <c r="R132" s="37">
        <f>IF($A132="","",$Q132-AsOf)</f>
        <v/>
      </c>
      <c r="S132" s="37">
        <f>IF($A132="","",IF(OR($K132="Y",$F132&lt;&gt;"Y",$O132&lt;=0),"",IF($R132&lt;0,"통지 기한 경과 — 즉시 확인",IF($R132&lt;=NoticeWarnDays,"통지 기한 임박 — 사람 결정",""))))</f>
        <v/>
      </c>
      <c r="T132" s="83">
        <f>IF(OR($A132="",$F132&lt;&gt;"Y"),"",IF(IF($L132="",InsuranceType,$L132)="포괄",DATE(YEAR($G132),MONTH($G132)+1,20),WORKDAY($G132,10)))</f>
        <v/>
      </c>
      <c r="U132" s="83">
        <f>IF(OR($A132="",$M132=""),"",WORKDAY($M132,10))</f>
        <v/>
      </c>
      <c r="V132" s="37">
        <f>IF($A132="","",IF($N132="Y","사기 의심: 콜백 검증 전 대금 안내 중단",""))</f>
        <v/>
      </c>
      <c r="W132" s="37">
        <f>IF($A132="","",IF(AND($K132="N",$D132&lt;&gt;"LC_SIGHT",$D132&lt;&gt;"LC_USANCE",$D132&lt;&gt;"TT_ADV"),$O132,""))</f>
        <v/>
      </c>
      <c r="X132" s="37">
        <f>IF($A132="",0,IF(AND($K132="N",$D132&lt;&gt;"LC_SIGHT",$D132&lt;&gt;"LC_USANCE",$D132&lt;&gt;"TT_ADV",$O132&gt;=30),1,0))</f>
        <v/>
      </c>
      <c r="Y132" s="37">
        <f>IF($A132="","",IF($O132&lt;=0,"미연체",IF($O132&lt;=30,"1-30",IF($O132&lt;=90,"31-90",IF($O132&lt;=180,"91-180",IF($O132&lt;=365,"181-365","365+"))))))</f>
        <v/>
      </c>
      <c r="Z132" s="37">
        <f>IF($S132="통지 기한 임박 — 사람 결정",COUNTIF($S$5:$S132,"통지 기한 임박 — 사람 결정"),"")</f>
        <v/>
      </c>
      <c r="AB132" s="37">
        <f>IF('02_Buyers'!$A129="","",'02_Buyers'!$A129)</f>
        <v/>
      </c>
      <c r="AC132" s="37">
        <f>IF($AB132="","",'02_Buyers'!$AH129)</f>
        <v/>
      </c>
      <c r="AD132" s="37">
        <f>IF($AB132="","",COUNTIFS(inv_buyer,$AB132,inv_paid,"N"))</f>
        <v/>
      </c>
      <c r="AE132" s="40">
        <f>IF($AB132="","",SUMIFS(inv_usd,inv_buyer,$AB132,inv_paid,"N"))</f>
        <v/>
      </c>
      <c r="AF132" s="37">
        <f>IF($AB132="","",_xlfn.MAXIFS(inv_nonlc_dpd,inv_buyer,$AB132))</f>
        <v/>
      </c>
      <c r="AG132" s="37">
        <f>IF($AB132="","",COUNTIFS(inv_buyer,$AB132,inv_hold30,1))</f>
        <v/>
      </c>
      <c r="AH132" s="37">
        <f>IF($AB132="","",IF(OR($AC132=1,$AG132&gt;0),"선적 보류",""))</f>
        <v/>
      </c>
      <c r="AI132" s="37">
        <f>IF($AH132&lt;&gt;"선적 보류","","내부 에스컬레이션: 여신 한도 동결 제안(사람 승인)")</f>
        <v/>
      </c>
      <c r="AJ132" s="37">
        <f>IF($AB132="","",COUNTIFS(inv_buyer,$AB132,inv_alert,"통지 기한 임박*"))</f>
        <v/>
      </c>
      <c r="AK132" s="40">
        <f>IF($AB132="","",'10_LimitLP'!$F132)</f>
        <v/>
      </c>
      <c r="AL132" s="84">
        <f>IF(OR($AB132="",$AK132&lt;=0),"",$AE132/$AK132)</f>
        <v/>
      </c>
      <c r="AM132" s="37">
        <f>IF($AL132="","",IF($AL132&gt;=0.8,"사용률 80%↑ — 출고 전 사전승인(제18조)",""))</f>
        <v/>
      </c>
      <c r="AN132" s="37">
        <f>IF($AB132="","",IFERROR(IF(INDEX($AU$21:$AU$40,MATCH('02_Buyers'!$S129,$AS$21:$AS$40,0))="","",INDEX($AU$21:$AU$40,MATCH('02_Buyers'!$S129,$AS$21:$AS$40,0))),""))</f>
        <v/>
      </c>
      <c r="AO132" s="37">
        <f>IF($AB132="","",IFERROR(IF(INDEX($AV$21:$AV$40,MATCH('02_Buyers'!$S129,$AS$21:$AS$40,0))="","",INDEX($AV$21:$AV$40,MATCH('02_Buyers'!$S129,$AS$21:$AS$40,0))),""))</f>
        <v/>
      </c>
      <c r="AP132" s="37">
        <f>IF(OR($AB132="",$AN132="",$AO132=""),"",IF($AN132&gt;$AO132,"국가등급 하향 — 한도 재산정",""))</f>
        <v/>
      </c>
      <c r="AQ132" s="37">
        <f>IF($AH132="선적 보류",COUNTIF($AH$5:$AH132,"선적 보류"),"")</f>
        <v/>
      </c>
    </row>
    <row r="133">
      <c r="A133" t="inlineStr">
        <is>
          <t>INV-2609-0099</t>
        </is>
      </c>
      <c r="B133" t="inlineStr">
        <is>
          <t>B066</t>
        </is>
      </c>
      <c r="C133" t="inlineStr">
        <is>
          <t>ARE</t>
        </is>
      </c>
      <c r="D133" t="inlineStr">
        <is>
          <t>DA</t>
        </is>
      </c>
      <c r="E133" t="inlineStr">
        <is>
          <t>USD</t>
        </is>
      </c>
      <c r="F133" t="inlineStr">
        <is>
          <t>Y</t>
        </is>
      </c>
      <c r="G133" s="32" t="n">
        <v>46284</v>
      </c>
      <c r="H133" s="32" t="n">
        <v>46344</v>
      </c>
      <c r="I133" s="82" t="n">
        <v>36040</v>
      </c>
      <c r="J133" s="82" t="n">
        <v>36040</v>
      </c>
      <c r="K133" t="inlineStr">
        <is>
          <t>N</t>
        </is>
      </c>
      <c r="L133" t="inlineStr">
        <is>
          <t>개별</t>
        </is>
      </c>
      <c r="N133" t="inlineStr">
        <is>
          <t>N</t>
        </is>
      </c>
      <c r="O133" s="37">
        <f>IF($A133="","",AsOf-$H133)</f>
        <v/>
      </c>
      <c r="P133" s="37">
        <f>IF($A133="","",IF($K133="Y","-",IF($O133&gt;=30,"D+30 최종통지·선적보류",IF($O133&gt;=15,"D+15 단호한 통지",IF($O133&gt;=7,"D+7 친절한 리마인더",IF(AND($O133&gt;=-3,$O133&lt;=-1),"D-3 사전 안내","모니터링"))))))</f>
        <v/>
      </c>
      <c r="Q133" s="83">
        <f>IF($A133="","",EDATE($H133,1))</f>
        <v/>
      </c>
      <c r="R133" s="37">
        <f>IF($A133="","",$Q133-AsOf)</f>
        <v/>
      </c>
      <c r="S133" s="37">
        <f>IF($A133="","",IF(OR($K133="Y",$F133&lt;&gt;"Y",$O133&lt;=0),"",IF($R133&lt;0,"통지 기한 경과 — 즉시 확인",IF($R133&lt;=NoticeWarnDays,"통지 기한 임박 — 사람 결정",""))))</f>
        <v/>
      </c>
      <c r="T133" s="83">
        <f>IF(OR($A133="",$F133&lt;&gt;"Y"),"",IF(IF($L133="",InsuranceType,$L133)="포괄",DATE(YEAR($G133),MONTH($G133)+1,20),WORKDAY($G133,10)))</f>
        <v/>
      </c>
      <c r="U133" s="83">
        <f>IF(OR($A133="",$M133=""),"",WORKDAY($M133,10))</f>
        <v/>
      </c>
      <c r="V133" s="37">
        <f>IF($A133="","",IF($N133="Y","사기 의심: 콜백 검증 전 대금 안내 중단",""))</f>
        <v/>
      </c>
      <c r="W133" s="37">
        <f>IF($A133="","",IF(AND($K133="N",$D133&lt;&gt;"LC_SIGHT",$D133&lt;&gt;"LC_USANCE",$D133&lt;&gt;"TT_ADV"),$O133,""))</f>
        <v/>
      </c>
      <c r="X133" s="37">
        <f>IF($A133="",0,IF(AND($K133="N",$D133&lt;&gt;"LC_SIGHT",$D133&lt;&gt;"LC_USANCE",$D133&lt;&gt;"TT_ADV",$O133&gt;=30),1,0))</f>
        <v/>
      </c>
      <c r="Y133" s="37">
        <f>IF($A133="","",IF($O133&lt;=0,"미연체",IF($O133&lt;=30,"1-30",IF($O133&lt;=90,"31-90",IF($O133&lt;=180,"91-180",IF($O133&lt;=365,"181-365","365+"))))))</f>
        <v/>
      </c>
      <c r="Z133" s="37">
        <f>IF($S133="통지 기한 임박 — 사람 결정",COUNTIF($S$5:$S133,"통지 기한 임박 — 사람 결정"),"")</f>
        <v/>
      </c>
      <c r="AB133" s="37">
        <f>IF('02_Buyers'!$A130="","",'02_Buyers'!$A130)</f>
        <v/>
      </c>
      <c r="AC133" s="37">
        <f>IF($AB133="","",'02_Buyers'!$AH130)</f>
        <v/>
      </c>
      <c r="AD133" s="37">
        <f>IF($AB133="","",COUNTIFS(inv_buyer,$AB133,inv_paid,"N"))</f>
        <v/>
      </c>
      <c r="AE133" s="40">
        <f>IF($AB133="","",SUMIFS(inv_usd,inv_buyer,$AB133,inv_paid,"N"))</f>
        <v/>
      </c>
      <c r="AF133" s="37">
        <f>IF($AB133="","",_xlfn.MAXIFS(inv_nonlc_dpd,inv_buyer,$AB133))</f>
        <v/>
      </c>
      <c r="AG133" s="37">
        <f>IF($AB133="","",COUNTIFS(inv_buyer,$AB133,inv_hold30,1))</f>
        <v/>
      </c>
      <c r="AH133" s="37">
        <f>IF($AB133="","",IF(OR($AC133=1,$AG133&gt;0),"선적 보류",""))</f>
        <v/>
      </c>
      <c r="AI133" s="37">
        <f>IF($AH133&lt;&gt;"선적 보류","","내부 에스컬레이션: 여신 한도 동결 제안(사람 승인)")</f>
        <v/>
      </c>
      <c r="AJ133" s="37">
        <f>IF($AB133="","",COUNTIFS(inv_buyer,$AB133,inv_alert,"통지 기한 임박*"))</f>
        <v/>
      </c>
      <c r="AK133" s="40">
        <f>IF($AB133="","",'10_LimitLP'!$F133)</f>
        <v/>
      </c>
      <c r="AL133" s="84">
        <f>IF(OR($AB133="",$AK133&lt;=0),"",$AE133/$AK133)</f>
        <v/>
      </c>
      <c r="AM133" s="37">
        <f>IF($AL133="","",IF($AL133&gt;=0.8,"사용률 80%↑ — 출고 전 사전승인(제18조)",""))</f>
        <v/>
      </c>
      <c r="AN133" s="37">
        <f>IF($AB133="","",IFERROR(IF(INDEX($AU$21:$AU$40,MATCH('02_Buyers'!$S130,$AS$21:$AS$40,0))="","",INDEX($AU$21:$AU$40,MATCH('02_Buyers'!$S130,$AS$21:$AS$40,0))),""))</f>
        <v/>
      </c>
      <c r="AO133" s="37">
        <f>IF($AB133="","",IFERROR(IF(INDEX($AV$21:$AV$40,MATCH('02_Buyers'!$S130,$AS$21:$AS$40,0))="","",INDEX($AV$21:$AV$40,MATCH('02_Buyers'!$S130,$AS$21:$AS$40,0))),""))</f>
        <v/>
      </c>
      <c r="AP133" s="37">
        <f>IF(OR($AB133="",$AN133="",$AO133=""),"",IF($AN133&gt;$AO133,"국가등급 하향 — 한도 재산정",""))</f>
        <v/>
      </c>
      <c r="AQ133" s="37">
        <f>IF($AH133="선적 보류",COUNTIF($AH$5:$AH133,"선적 보류"),"")</f>
        <v/>
      </c>
    </row>
    <row r="134">
      <c r="A134" t="inlineStr">
        <is>
          <t>INV-2609-0132</t>
        </is>
      </c>
      <c r="B134" t="inlineStr">
        <is>
          <t>B066</t>
        </is>
      </c>
      <c r="C134" t="inlineStr">
        <is>
          <t>ARE</t>
        </is>
      </c>
      <c r="D134" t="inlineStr">
        <is>
          <t>DA</t>
        </is>
      </c>
      <c r="E134" t="inlineStr">
        <is>
          <t>USD</t>
        </is>
      </c>
      <c r="F134" t="inlineStr">
        <is>
          <t>Y</t>
        </is>
      </c>
      <c r="G134" s="32" t="n">
        <v>46290</v>
      </c>
      <c r="H134" s="32" t="n">
        <v>46350</v>
      </c>
      <c r="I134" s="82" t="n">
        <v>12720</v>
      </c>
      <c r="J134" s="82" t="n">
        <v>12720</v>
      </c>
      <c r="K134" t="inlineStr">
        <is>
          <t>N</t>
        </is>
      </c>
      <c r="L134" t="inlineStr">
        <is>
          <t>개별</t>
        </is>
      </c>
      <c r="N134" t="inlineStr">
        <is>
          <t>N</t>
        </is>
      </c>
      <c r="O134" s="37">
        <f>IF($A134="","",AsOf-$H134)</f>
        <v/>
      </c>
      <c r="P134" s="37">
        <f>IF($A134="","",IF($K134="Y","-",IF($O134&gt;=30,"D+30 최종통지·선적보류",IF($O134&gt;=15,"D+15 단호한 통지",IF($O134&gt;=7,"D+7 친절한 리마인더",IF(AND($O134&gt;=-3,$O134&lt;=-1),"D-3 사전 안내","모니터링"))))))</f>
        <v/>
      </c>
      <c r="Q134" s="83">
        <f>IF($A134="","",EDATE($H134,1))</f>
        <v/>
      </c>
      <c r="R134" s="37">
        <f>IF($A134="","",$Q134-AsOf)</f>
        <v/>
      </c>
      <c r="S134" s="37">
        <f>IF($A134="","",IF(OR($K134="Y",$F134&lt;&gt;"Y",$O134&lt;=0),"",IF($R134&lt;0,"통지 기한 경과 — 즉시 확인",IF($R134&lt;=NoticeWarnDays,"통지 기한 임박 — 사람 결정",""))))</f>
        <v/>
      </c>
      <c r="T134" s="83">
        <f>IF(OR($A134="",$F134&lt;&gt;"Y"),"",IF(IF($L134="",InsuranceType,$L134)="포괄",DATE(YEAR($G134),MONTH($G134)+1,20),WORKDAY($G134,10)))</f>
        <v/>
      </c>
      <c r="U134" s="83">
        <f>IF(OR($A134="",$M134=""),"",WORKDAY($M134,10))</f>
        <v/>
      </c>
      <c r="V134" s="37">
        <f>IF($A134="","",IF($N134="Y","사기 의심: 콜백 검증 전 대금 안내 중단",""))</f>
        <v/>
      </c>
      <c r="W134" s="37">
        <f>IF($A134="","",IF(AND($K134="N",$D134&lt;&gt;"LC_SIGHT",$D134&lt;&gt;"LC_USANCE",$D134&lt;&gt;"TT_ADV"),$O134,""))</f>
        <v/>
      </c>
      <c r="X134" s="37">
        <f>IF($A134="",0,IF(AND($K134="N",$D134&lt;&gt;"LC_SIGHT",$D134&lt;&gt;"LC_USANCE",$D134&lt;&gt;"TT_ADV",$O134&gt;=30),1,0))</f>
        <v/>
      </c>
      <c r="Y134" s="37">
        <f>IF($A134="","",IF($O134&lt;=0,"미연체",IF($O134&lt;=30,"1-30",IF($O134&lt;=90,"31-90",IF($O134&lt;=180,"91-180",IF($O134&lt;=365,"181-365","365+"))))))</f>
        <v/>
      </c>
      <c r="Z134" s="37">
        <f>IF($S134="통지 기한 임박 — 사람 결정",COUNTIF($S$5:$S134,"통지 기한 임박 — 사람 결정"),"")</f>
        <v/>
      </c>
      <c r="AB134" s="37">
        <f>IF('02_Buyers'!$A131="","",'02_Buyers'!$A131)</f>
        <v/>
      </c>
      <c r="AC134" s="37">
        <f>IF($AB134="","",'02_Buyers'!$AH131)</f>
        <v/>
      </c>
      <c r="AD134" s="37">
        <f>IF($AB134="","",COUNTIFS(inv_buyer,$AB134,inv_paid,"N"))</f>
        <v/>
      </c>
      <c r="AE134" s="40">
        <f>IF($AB134="","",SUMIFS(inv_usd,inv_buyer,$AB134,inv_paid,"N"))</f>
        <v/>
      </c>
      <c r="AF134" s="37">
        <f>IF($AB134="","",_xlfn.MAXIFS(inv_nonlc_dpd,inv_buyer,$AB134))</f>
        <v/>
      </c>
      <c r="AG134" s="37">
        <f>IF($AB134="","",COUNTIFS(inv_buyer,$AB134,inv_hold30,1))</f>
        <v/>
      </c>
      <c r="AH134" s="37">
        <f>IF($AB134="","",IF(OR($AC134=1,$AG134&gt;0),"선적 보류",""))</f>
        <v/>
      </c>
      <c r="AI134" s="37">
        <f>IF($AH134&lt;&gt;"선적 보류","","내부 에스컬레이션: 여신 한도 동결 제안(사람 승인)")</f>
        <v/>
      </c>
      <c r="AJ134" s="37">
        <f>IF($AB134="","",COUNTIFS(inv_buyer,$AB134,inv_alert,"통지 기한 임박*"))</f>
        <v/>
      </c>
      <c r="AK134" s="40">
        <f>IF($AB134="","",'10_LimitLP'!$F134)</f>
        <v/>
      </c>
      <c r="AL134" s="84">
        <f>IF(OR($AB134="",$AK134&lt;=0),"",$AE134/$AK134)</f>
        <v/>
      </c>
      <c r="AM134" s="37">
        <f>IF($AL134="","",IF($AL134&gt;=0.8,"사용률 80%↑ — 출고 전 사전승인(제18조)",""))</f>
        <v/>
      </c>
      <c r="AN134" s="37">
        <f>IF($AB134="","",IFERROR(IF(INDEX($AU$21:$AU$40,MATCH('02_Buyers'!$S131,$AS$21:$AS$40,0))="","",INDEX($AU$21:$AU$40,MATCH('02_Buyers'!$S131,$AS$21:$AS$40,0))),""))</f>
        <v/>
      </c>
      <c r="AO134" s="37">
        <f>IF($AB134="","",IFERROR(IF(INDEX($AV$21:$AV$40,MATCH('02_Buyers'!$S131,$AS$21:$AS$40,0))="","",INDEX($AV$21:$AV$40,MATCH('02_Buyers'!$S131,$AS$21:$AS$40,0))),""))</f>
        <v/>
      </c>
      <c r="AP134" s="37">
        <f>IF(OR($AB134="",$AN134="",$AO134=""),"",IF($AN134&gt;$AO134,"국가등급 하향 — 한도 재산정",""))</f>
        <v/>
      </c>
      <c r="AQ134" s="37">
        <f>IF($AH134="선적 보류",COUNTIF($AH$5:$AH134,"선적 보류"),"")</f>
        <v/>
      </c>
    </row>
    <row r="135">
      <c r="A135" t="inlineStr">
        <is>
          <t>INV-2609-0003</t>
        </is>
      </c>
      <c r="B135" t="inlineStr">
        <is>
          <t>B066</t>
        </is>
      </c>
      <c r="C135" t="inlineStr">
        <is>
          <t>ARE</t>
        </is>
      </c>
      <c r="D135" t="inlineStr">
        <is>
          <t>OA</t>
        </is>
      </c>
      <c r="E135" t="inlineStr">
        <is>
          <t>USD</t>
        </is>
      </c>
      <c r="F135" t="inlineStr">
        <is>
          <t>Y</t>
        </is>
      </c>
      <c r="G135" s="32" t="n">
        <v>46266</v>
      </c>
      <c r="H135" s="32" t="n">
        <v>46356</v>
      </c>
      <c r="I135" s="82" t="n">
        <v>11700</v>
      </c>
      <c r="J135" s="82" t="n">
        <v>11700</v>
      </c>
      <c r="K135" t="inlineStr">
        <is>
          <t>N</t>
        </is>
      </c>
      <c r="L135" t="inlineStr">
        <is>
          <t>개별</t>
        </is>
      </c>
      <c r="N135" t="inlineStr">
        <is>
          <t>N</t>
        </is>
      </c>
      <c r="O135" s="37">
        <f>IF($A135="","",AsOf-$H135)</f>
        <v/>
      </c>
      <c r="P135" s="37">
        <f>IF($A135="","",IF($K135="Y","-",IF($O135&gt;=30,"D+30 최종통지·선적보류",IF($O135&gt;=15,"D+15 단호한 통지",IF($O135&gt;=7,"D+7 친절한 리마인더",IF(AND($O135&gt;=-3,$O135&lt;=-1),"D-3 사전 안내","모니터링"))))))</f>
        <v/>
      </c>
      <c r="Q135" s="83">
        <f>IF($A135="","",EDATE($H135,1))</f>
        <v/>
      </c>
      <c r="R135" s="37">
        <f>IF($A135="","",$Q135-AsOf)</f>
        <v/>
      </c>
      <c r="S135" s="37">
        <f>IF($A135="","",IF(OR($K135="Y",$F135&lt;&gt;"Y",$O135&lt;=0),"",IF($R135&lt;0,"통지 기한 경과 — 즉시 확인",IF($R135&lt;=NoticeWarnDays,"통지 기한 임박 — 사람 결정",""))))</f>
        <v/>
      </c>
      <c r="T135" s="83">
        <f>IF(OR($A135="",$F135&lt;&gt;"Y"),"",IF(IF($L135="",InsuranceType,$L135)="포괄",DATE(YEAR($G135),MONTH($G135)+1,20),WORKDAY($G135,10)))</f>
        <v/>
      </c>
      <c r="U135" s="83">
        <f>IF(OR($A135="",$M135=""),"",WORKDAY($M135,10))</f>
        <v/>
      </c>
      <c r="V135" s="37">
        <f>IF($A135="","",IF($N135="Y","사기 의심: 콜백 검증 전 대금 안내 중단",""))</f>
        <v/>
      </c>
      <c r="W135" s="37">
        <f>IF($A135="","",IF(AND($K135="N",$D135&lt;&gt;"LC_SIGHT",$D135&lt;&gt;"LC_USANCE",$D135&lt;&gt;"TT_ADV"),$O135,""))</f>
        <v/>
      </c>
      <c r="X135" s="37">
        <f>IF($A135="",0,IF(AND($K135="N",$D135&lt;&gt;"LC_SIGHT",$D135&lt;&gt;"LC_USANCE",$D135&lt;&gt;"TT_ADV",$O135&gt;=30),1,0))</f>
        <v/>
      </c>
      <c r="Y135" s="37">
        <f>IF($A135="","",IF($O135&lt;=0,"미연체",IF($O135&lt;=30,"1-30",IF($O135&lt;=90,"31-90",IF($O135&lt;=180,"91-180",IF($O135&lt;=365,"181-365","365+"))))))</f>
        <v/>
      </c>
      <c r="Z135" s="37">
        <f>IF($S135="통지 기한 임박 — 사람 결정",COUNTIF($S$5:$S135,"통지 기한 임박 — 사람 결정"),"")</f>
        <v/>
      </c>
      <c r="AB135" s="37">
        <f>IF('02_Buyers'!$A132="","",'02_Buyers'!$A132)</f>
        <v/>
      </c>
      <c r="AC135" s="37">
        <f>IF($AB135="","",'02_Buyers'!$AH132)</f>
        <v/>
      </c>
      <c r="AD135" s="37">
        <f>IF($AB135="","",COUNTIFS(inv_buyer,$AB135,inv_paid,"N"))</f>
        <v/>
      </c>
      <c r="AE135" s="40">
        <f>IF($AB135="","",SUMIFS(inv_usd,inv_buyer,$AB135,inv_paid,"N"))</f>
        <v/>
      </c>
      <c r="AF135" s="37">
        <f>IF($AB135="","",_xlfn.MAXIFS(inv_nonlc_dpd,inv_buyer,$AB135))</f>
        <v/>
      </c>
      <c r="AG135" s="37">
        <f>IF($AB135="","",COUNTIFS(inv_buyer,$AB135,inv_hold30,1))</f>
        <v/>
      </c>
      <c r="AH135" s="37">
        <f>IF($AB135="","",IF(OR($AC135=1,$AG135&gt;0),"선적 보류",""))</f>
        <v/>
      </c>
      <c r="AI135" s="37">
        <f>IF($AH135&lt;&gt;"선적 보류","","내부 에스컬레이션: 여신 한도 동결 제안(사람 승인)")</f>
        <v/>
      </c>
      <c r="AJ135" s="37">
        <f>IF($AB135="","",COUNTIFS(inv_buyer,$AB135,inv_alert,"통지 기한 임박*"))</f>
        <v/>
      </c>
      <c r="AK135" s="40">
        <f>IF($AB135="","",'10_LimitLP'!$F135)</f>
        <v/>
      </c>
      <c r="AL135" s="84">
        <f>IF(OR($AB135="",$AK135&lt;=0),"",$AE135/$AK135)</f>
        <v/>
      </c>
      <c r="AM135" s="37">
        <f>IF($AL135="","",IF($AL135&gt;=0.8,"사용률 80%↑ — 출고 전 사전승인(제18조)",""))</f>
        <v/>
      </c>
      <c r="AN135" s="37">
        <f>IF($AB135="","",IFERROR(IF(INDEX($AU$21:$AU$40,MATCH('02_Buyers'!$S132,$AS$21:$AS$40,0))="","",INDEX($AU$21:$AU$40,MATCH('02_Buyers'!$S132,$AS$21:$AS$40,0))),""))</f>
        <v/>
      </c>
      <c r="AO135" s="37">
        <f>IF($AB135="","",IFERROR(IF(INDEX($AV$21:$AV$40,MATCH('02_Buyers'!$S132,$AS$21:$AS$40,0))="","",INDEX($AV$21:$AV$40,MATCH('02_Buyers'!$S132,$AS$21:$AS$40,0))),""))</f>
        <v/>
      </c>
      <c r="AP135" s="37">
        <f>IF(OR($AB135="",$AN135="",$AO135=""),"",IF($AN135&gt;$AO135,"국가등급 하향 — 한도 재산정",""))</f>
        <v/>
      </c>
      <c r="AQ135" s="37">
        <f>IF($AH135="선적 보류",COUNTIF($AH$5:$AH135,"선적 보류"),"")</f>
        <v/>
      </c>
    </row>
    <row r="136">
      <c r="A136" t="inlineStr">
        <is>
          <t>INV-2608-0005</t>
        </is>
      </c>
      <c r="B136" t="inlineStr">
        <is>
          <t>B068</t>
        </is>
      </c>
      <c r="C136" t="inlineStr">
        <is>
          <t>THA</t>
        </is>
      </c>
      <c r="D136" t="inlineStr">
        <is>
          <t>OA</t>
        </is>
      </c>
      <c r="E136" t="inlineStr">
        <is>
          <t>USD</t>
        </is>
      </c>
      <c r="F136" t="inlineStr">
        <is>
          <t>N</t>
        </is>
      </c>
      <c r="G136" s="32" t="n">
        <v>46235</v>
      </c>
      <c r="H136" s="32" t="n">
        <v>46295</v>
      </c>
      <c r="I136" s="82" t="n">
        <v>55440</v>
      </c>
      <c r="J136" s="82" t="n">
        <v>55440</v>
      </c>
      <c r="K136" t="inlineStr">
        <is>
          <t>N</t>
        </is>
      </c>
      <c r="N136" t="inlineStr">
        <is>
          <t>N</t>
        </is>
      </c>
      <c r="O136" s="37">
        <f>IF($A136="","",AsOf-$H136)</f>
        <v/>
      </c>
      <c r="P136" s="37">
        <f>IF($A136="","",IF($K136="Y","-",IF($O136&gt;=30,"D+30 최종통지·선적보류",IF($O136&gt;=15,"D+15 단호한 통지",IF($O136&gt;=7,"D+7 친절한 리마인더",IF(AND($O136&gt;=-3,$O136&lt;=-1),"D-3 사전 안내","모니터링"))))))</f>
        <v/>
      </c>
      <c r="Q136" s="83">
        <f>IF($A136="","",EDATE($H136,1))</f>
        <v/>
      </c>
      <c r="R136" s="37">
        <f>IF($A136="","",$Q136-AsOf)</f>
        <v/>
      </c>
      <c r="S136" s="37">
        <f>IF($A136="","",IF(OR($K136="Y",$F136&lt;&gt;"Y",$O136&lt;=0),"",IF($R136&lt;0,"통지 기한 경과 — 즉시 확인",IF($R136&lt;=NoticeWarnDays,"통지 기한 임박 — 사람 결정",""))))</f>
        <v/>
      </c>
      <c r="T136" s="83">
        <f>IF(OR($A136="",$F136&lt;&gt;"Y"),"",IF(IF($L136="",InsuranceType,$L136)="포괄",DATE(YEAR($G136),MONTH($G136)+1,20),WORKDAY($G136,10)))</f>
        <v/>
      </c>
      <c r="U136" s="83">
        <f>IF(OR($A136="",$M136=""),"",WORKDAY($M136,10))</f>
        <v/>
      </c>
      <c r="V136" s="37">
        <f>IF($A136="","",IF($N136="Y","사기 의심: 콜백 검증 전 대금 안내 중단",""))</f>
        <v/>
      </c>
      <c r="W136" s="37">
        <f>IF($A136="","",IF(AND($K136="N",$D136&lt;&gt;"LC_SIGHT",$D136&lt;&gt;"LC_USANCE",$D136&lt;&gt;"TT_ADV"),$O136,""))</f>
        <v/>
      </c>
      <c r="X136" s="37">
        <f>IF($A136="",0,IF(AND($K136="N",$D136&lt;&gt;"LC_SIGHT",$D136&lt;&gt;"LC_USANCE",$D136&lt;&gt;"TT_ADV",$O136&gt;=30),1,0))</f>
        <v/>
      </c>
      <c r="Y136" s="37">
        <f>IF($A136="","",IF($O136&lt;=0,"미연체",IF($O136&lt;=30,"1-30",IF($O136&lt;=90,"31-90",IF($O136&lt;=180,"91-180",IF($O136&lt;=365,"181-365","365+"))))))</f>
        <v/>
      </c>
      <c r="Z136" s="37">
        <f>IF($S136="통지 기한 임박 — 사람 결정",COUNTIF($S$5:$S136,"통지 기한 임박 — 사람 결정"),"")</f>
        <v/>
      </c>
      <c r="AB136" s="37">
        <f>IF('02_Buyers'!$A133="","",'02_Buyers'!$A133)</f>
        <v/>
      </c>
      <c r="AC136" s="37">
        <f>IF($AB136="","",'02_Buyers'!$AH133)</f>
        <v/>
      </c>
      <c r="AD136" s="37">
        <f>IF($AB136="","",COUNTIFS(inv_buyer,$AB136,inv_paid,"N"))</f>
        <v/>
      </c>
      <c r="AE136" s="40">
        <f>IF($AB136="","",SUMIFS(inv_usd,inv_buyer,$AB136,inv_paid,"N"))</f>
        <v/>
      </c>
      <c r="AF136" s="37">
        <f>IF($AB136="","",_xlfn.MAXIFS(inv_nonlc_dpd,inv_buyer,$AB136))</f>
        <v/>
      </c>
      <c r="AG136" s="37">
        <f>IF($AB136="","",COUNTIFS(inv_buyer,$AB136,inv_hold30,1))</f>
        <v/>
      </c>
      <c r="AH136" s="37">
        <f>IF($AB136="","",IF(OR($AC136=1,$AG136&gt;0),"선적 보류",""))</f>
        <v/>
      </c>
      <c r="AI136" s="37">
        <f>IF($AH136&lt;&gt;"선적 보류","","내부 에스컬레이션: 여신 한도 동결 제안(사람 승인)")</f>
        <v/>
      </c>
      <c r="AJ136" s="37">
        <f>IF($AB136="","",COUNTIFS(inv_buyer,$AB136,inv_alert,"통지 기한 임박*"))</f>
        <v/>
      </c>
      <c r="AK136" s="40">
        <f>IF($AB136="","",'10_LimitLP'!$F136)</f>
        <v/>
      </c>
      <c r="AL136" s="84">
        <f>IF(OR($AB136="",$AK136&lt;=0),"",$AE136/$AK136)</f>
        <v/>
      </c>
      <c r="AM136" s="37">
        <f>IF($AL136="","",IF($AL136&gt;=0.8,"사용률 80%↑ — 출고 전 사전승인(제18조)",""))</f>
        <v/>
      </c>
      <c r="AN136" s="37">
        <f>IF($AB136="","",IFERROR(IF(INDEX($AU$21:$AU$40,MATCH('02_Buyers'!$S133,$AS$21:$AS$40,0))="","",INDEX($AU$21:$AU$40,MATCH('02_Buyers'!$S133,$AS$21:$AS$40,0))),""))</f>
        <v/>
      </c>
      <c r="AO136" s="37">
        <f>IF($AB136="","",IFERROR(IF(INDEX($AV$21:$AV$40,MATCH('02_Buyers'!$S133,$AS$21:$AS$40,0))="","",INDEX($AV$21:$AV$40,MATCH('02_Buyers'!$S133,$AS$21:$AS$40,0))),""))</f>
        <v/>
      </c>
      <c r="AP136" s="37">
        <f>IF(OR($AB136="",$AN136="",$AO136=""),"",IF($AN136&gt;$AO136,"국가등급 하향 — 한도 재산정",""))</f>
        <v/>
      </c>
      <c r="AQ136" s="37">
        <f>IF($AH136="선적 보류",COUNTIF($AH$5:$AH136,"선적 보류"),"")</f>
        <v/>
      </c>
    </row>
    <row r="137">
      <c r="A137" t="inlineStr">
        <is>
          <t>INV-2608-0099</t>
        </is>
      </c>
      <c r="B137" t="inlineStr">
        <is>
          <t>B068</t>
        </is>
      </c>
      <c r="C137" t="inlineStr">
        <is>
          <t>THA</t>
        </is>
      </c>
      <c r="D137" t="inlineStr">
        <is>
          <t>OA</t>
        </is>
      </c>
      <c r="E137" t="inlineStr">
        <is>
          <t>USD</t>
        </is>
      </c>
      <c r="F137" t="inlineStr">
        <is>
          <t>N</t>
        </is>
      </c>
      <c r="G137" s="32" t="n">
        <v>46255</v>
      </c>
      <c r="H137" s="32" t="n">
        <v>46315</v>
      </c>
      <c r="I137" s="82" t="n">
        <v>15740</v>
      </c>
      <c r="J137" s="82" t="n">
        <v>15740</v>
      </c>
      <c r="K137" t="inlineStr">
        <is>
          <t>N</t>
        </is>
      </c>
      <c r="N137" t="inlineStr">
        <is>
          <t>N</t>
        </is>
      </c>
      <c r="O137" s="37">
        <f>IF($A137="","",AsOf-$H137)</f>
        <v/>
      </c>
      <c r="P137" s="37">
        <f>IF($A137="","",IF($K137="Y","-",IF($O137&gt;=30,"D+30 최종통지·선적보류",IF($O137&gt;=15,"D+15 단호한 통지",IF($O137&gt;=7,"D+7 친절한 리마인더",IF(AND($O137&gt;=-3,$O137&lt;=-1),"D-3 사전 안내","모니터링"))))))</f>
        <v/>
      </c>
      <c r="Q137" s="83">
        <f>IF($A137="","",EDATE($H137,1))</f>
        <v/>
      </c>
      <c r="R137" s="37">
        <f>IF($A137="","",$Q137-AsOf)</f>
        <v/>
      </c>
      <c r="S137" s="37">
        <f>IF($A137="","",IF(OR($K137="Y",$F137&lt;&gt;"Y",$O137&lt;=0),"",IF($R137&lt;0,"통지 기한 경과 — 즉시 확인",IF($R137&lt;=NoticeWarnDays,"통지 기한 임박 — 사람 결정",""))))</f>
        <v/>
      </c>
      <c r="T137" s="83">
        <f>IF(OR($A137="",$F137&lt;&gt;"Y"),"",IF(IF($L137="",InsuranceType,$L137)="포괄",DATE(YEAR($G137),MONTH($G137)+1,20),WORKDAY($G137,10)))</f>
        <v/>
      </c>
      <c r="U137" s="83">
        <f>IF(OR($A137="",$M137=""),"",WORKDAY($M137,10))</f>
        <v/>
      </c>
      <c r="V137" s="37">
        <f>IF($A137="","",IF($N137="Y","사기 의심: 콜백 검증 전 대금 안내 중단",""))</f>
        <v/>
      </c>
      <c r="W137" s="37">
        <f>IF($A137="","",IF(AND($K137="N",$D137&lt;&gt;"LC_SIGHT",$D137&lt;&gt;"LC_USANCE",$D137&lt;&gt;"TT_ADV"),$O137,""))</f>
        <v/>
      </c>
      <c r="X137" s="37">
        <f>IF($A137="",0,IF(AND($K137="N",$D137&lt;&gt;"LC_SIGHT",$D137&lt;&gt;"LC_USANCE",$D137&lt;&gt;"TT_ADV",$O137&gt;=30),1,0))</f>
        <v/>
      </c>
      <c r="Y137" s="37">
        <f>IF($A137="","",IF($O137&lt;=0,"미연체",IF($O137&lt;=30,"1-30",IF($O137&lt;=90,"31-90",IF($O137&lt;=180,"91-180",IF($O137&lt;=365,"181-365","365+"))))))</f>
        <v/>
      </c>
      <c r="Z137" s="37">
        <f>IF($S137="통지 기한 임박 — 사람 결정",COUNTIF($S$5:$S137,"통지 기한 임박 — 사람 결정"),"")</f>
        <v/>
      </c>
      <c r="AB137" s="37">
        <f>IF('02_Buyers'!$A134="","",'02_Buyers'!$A134)</f>
        <v/>
      </c>
      <c r="AC137" s="37">
        <f>IF($AB137="","",'02_Buyers'!$AH134)</f>
        <v/>
      </c>
      <c r="AD137" s="37">
        <f>IF($AB137="","",COUNTIFS(inv_buyer,$AB137,inv_paid,"N"))</f>
        <v/>
      </c>
      <c r="AE137" s="40">
        <f>IF($AB137="","",SUMIFS(inv_usd,inv_buyer,$AB137,inv_paid,"N"))</f>
        <v/>
      </c>
      <c r="AF137" s="37">
        <f>IF($AB137="","",_xlfn.MAXIFS(inv_nonlc_dpd,inv_buyer,$AB137))</f>
        <v/>
      </c>
      <c r="AG137" s="37">
        <f>IF($AB137="","",COUNTIFS(inv_buyer,$AB137,inv_hold30,1))</f>
        <v/>
      </c>
      <c r="AH137" s="37">
        <f>IF($AB137="","",IF(OR($AC137=1,$AG137&gt;0),"선적 보류",""))</f>
        <v/>
      </c>
      <c r="AI137" s="37">
        <f>IF($AH137&lt;&gt;"선적 보류","","내부 에스컬레이션: 여신 한도 동결 제안(사람 승인)")</f>
        <v/>
      </c>
      <c r="AJ137" s="37">
        <f>IF($AB137="","",COUNTIFS(inv_buyer,$AB137,inv_alert,"통지 기한 임박*"))</f>
        <v/>
      </c>
      <c r="AK137" s="40">
        <f>IF($AB137="","",'10_LimitLP'!$F137)</f>
        <v/>
      </c>
      <c r="AL137" s="84">
        <f>IF(OR($AB137="",$AK137&lt;=0),"",$AE137/$AK137)</f>
        <v/>
      </c>
      <c r="AM137" s="37">
        <f>IF($AL137="","",IF($AL137&gt;=0.8,"사용률 80%↑ — 출고 전 사전승인(제18조)",""))</f>
        <v/>
      </c>
      <c r="AN137" s="37">
        <f>IF($AB137="","",IFERROR(IF(INDEX($AU$21:$AU$40,MATCH('02_Buyers'!$S134,$AS$21:$AS$40,0))="","",INDEX($AU$21:$AU$40,MATCH('02_Buyers'!$S134,$AS$21:$AS$40,0))),""))</f>
        <v/>
      </c>
      <c r="AO137" s="37">
        <f>IF($AB137="","",IFERROR(IF(INDEX($AV$21:$AV$40,MATCH('02_Buyers'!$S134,$AS$21:$AS$40,0))="","",INDEX($AV$21:$AV$40,MATCH('02_Buyers'!$S134,$AS$21:$AS$40,0))),""))</f>
        <v/>
      </c>
      <c r="AP137" s="37">
        <f>IF(OR($AB137="",$AN137="",$AO137=""),"",IF($AN137&gt;$AO137,"국가등급 하향 — 한도 재산정",""))</f>
        <v/>
      </c>
      <c r="AQ137" s="37">
        <f>IF($AH137="선적 보류",COUNTIF($AH$5:$AH137,"선적 보류"),"")</f>
        <v/>
      </c>
    </row>
    <row r="138">
      <c r="A138" t="inlineStr">
        <is>
          <t>INV-2608-0107</t>
        </is>
      </c>
      <c r="B138" t="inlineStr">
        <is>
          <t>B068</t>
        </is>
      </c>
      <c r="C138" t="inlineStr">
        <is>
          <t>THA</t>
        </is>
      </c>
      <c r="D138" t="inlineStr">
        <is>
          <t>OA</t>
        </is>
      </c>
      <c r="E138" t="inlineStr">
        <is>
          <t>USD</t>
        </is>
      </c>
      <c r="F138" t="inlineStr">
        <is>
          <t>N</t>
        </is>
      </c>
      <c r="G138" s="32" t="n">
        <v>46256</v>
      </c>
      <c r="H138" s="32" t="n">
        <v>46316</v>
      </c>
      <c r="I138" s="82" t="n">
        <v>15430</v>
      </c>
      <c r="J138" s="82" t="n">
        <v>15430</v>
      </c>
      <c r="K138" t="inlineStr">
        <is>
          <t>N</t>
        </is>
      </c>
      <c r="N138" t="inlineStr">
        <is>
          <t>N</t>
        </is>
      </c>
      <c r="O138" s="37">
        <f>IF($A138="","",AsOf-$H138)</f>
        <v/>
      </c>
      <c r="P138" s="37">
        <f>IF($A138="","",IF($K138="Y","-",IF($O138&gt;=30,"D+30 최종통지·선적보류",IF($O138&gt;=15,"D+15 단호한 통지",IF($O138&gt;=7,"D+7 친절한 리마인더",IF(AND($O138&gt;=-3,$O138&lt;=-1),"D-3 사전 안내","모니터링"))))))</f>
        <v/>
      </c>
      <c r="Q138" s="83">
        <f>IF($A138="","",EDATE($H138,1))</f>
        <v/>
      </c>
      <c r="R138" s="37">
        <f>IF($A138="","",$Q138-AsOf)</f>
        <v/>
      </c>
      <c r="S138" s="37">
        <f>IF($A138="","",IF(OR($K138="Y",$F138&lt;&gt;"Y",$O138&lt;=0),"",IF($R138&lt;0,"통지 기한 경과 — 즉시 확인",IF($R138&lt;=NoticeWarnDays,"통지 기한 임박 — 사람 결정",""))))</f>
        <v/>
      </c>
      <c r="T138" s="83">
        <f>IF(OR($A138="",$F138&lt;&gt;"Y"),"",IF(IF($L138="",InsuranceType,$L138)="포괄",DATE(YEAR($G138),MONTH($G138)+1,20),WORKDAY($G138,10)))</f>
        <v/>
      </c>
      <c r="U138" s="83">
        <f>IF(OR($A138="",$M138=""),"",WORKDAY($M138,10))</f>
        <v/>
      </c>
      <c r="V138" s="37">
        <f>IF($A138="","",IF($N138="Y","사기 의심: 콜백 검증 전 대금 안내 중단",""))</f>
        <v/>
      </c>
      <c r="W138" s="37">
        <f>IF($A138="","",IF(AND($K138="N",$D138&lt;&gt;"LC_SIGHT",$D138&lt;&gt;"LC_USANCE",$D138&lt;&gt;"TT_ADV"),$O138,""))</f>
        <v/>
      </c>
      <c r="X138" s="37">
        <f>IF($A138="",0,IF(AND($K138="N",$D138&lt;&gt;"LC_SIGHT",$D138&lt;&gt;"LC_USANCE",$D138&lt;&gt;"TT_ADV",$O138&gt;=30),1,0))</f>
        <v/>
      </c>
      <c r="Y138" s="37">
        <f>IF($A138="","",IF($O138&lt;=0,"미연체",IF($O138&lt;=30,"1-30",IF($O138&lt;=90,"31-90",IF($O138&lt;=180,"91-180",IF($O138&lt;=365,"181-365","365+"))))))</f>
        <v/>
      </c>
      <c r="Z138" s="37">
        <f>IF($S138="통지 기한 임박 — 사람 결정",COUNTIF($S$5:$S138,"통지 기한 임박 — 사람 결정"),"")</f>
        <v/>
      </c>
      <c r="AB138" s="37">
        <f>IF('02_Buyers'!$A135="","",'02_Buyers'!$A135)</f>
        <v/>
      </c>
      <c r="AC138" s="37">
        <f>IF($AB138="","",'02_Buyers'!$AH135)</f>
        <v/>
      </c>
      <c r="AD138" s="37">
        <f>IF($AB138="","",COUNTIFS(inv_buyer,$AB138,inv_paid,"N"))</f>
        <v/>
      </c>
      <c r="AE138" s="40">
        <f>IF($AB138="","",SUMIFS(inv_usd,inv_buyer,$AB138,inv_paid,"N"))</f>
        <v/>
      </c>
      <c r="AF138" s="37">
        <f>IF($AB138="","",_xlfn.MAXIFS(inv_nonlc_dpd,inv_buyer,$AB138))</f>
        <v/>
      </c>
      <c r="AG138" s="37">
        <f>IF($AB138="","",COUNTIFS(inv_buyer,$AB138,inv_hold30,1))</f>
        <v/>
      </c>
      <c r="AH138" s="37">
        <f>IF($AB138="","",IF(OR($AC138=1,$AG138&gt;0),"선적 보류",""))</f>
        <v/>
      </c>
      <c r="AI138" s="37">
        <f>IF($AH138&lt;&gt;"선적 보류","","내부 에스컬레이션: 여신 한도 동결 제안(사람 승인)")</f>
        <v/>
      </c>
      <c r="AJ138" s="37">
        <f>IF($AB138="","",COUNTIFS(inv_buyer,$AB138,inv_alert,"통지 기한 임박*"))</f>
        <v/>
      </c>
      <c r="AK138" s="40">
        <f>IF($AB138="","",'10_LimitLP'!$F138)</f>
        <v/>
      </c>
      <c r="AL138" s="84">
        <f>IF(OR($AB138="",$AK138&lt;=0),"",$AE138/$AK138)</f>
        <v/>
      </c>
      <c r="AM138" s="37">
        <f>IF($AL138="","",IF($AL138&gt;=0.8,"사용률 80%↑ — 출고 전 사전승인(제18조)",""))</f>
        <v/>
      </c>
      <c r="AN138" s="37">
        <f>IF($AB138="","",IFERROR(IF(INDEX($AU$21:$AU$40,MATCH('02_Buyers'!$S135,$AS$21:$AS$40,0))="","",INDEX($AU$21:$AU$40,MATCH('02_Buyers'!$S135,$AS$21:$AS$40,0))),""))</f>
        <v/>
      </c>
      <c r="AO138" s="37">
        <f>IF($AB138="","",IFERROR(IF(INDEX($AV$21:$AV$40,MATCH('02_Buyers'!$S135,$AS$21:$AS$40,0))="","",INDEX($AV$21:$AV$40,MATCH('02_Buyers'!$S135,$AS$21:$AS$40,0))),""))</f>
        <v/>
      </c>
      <c r="AP138" s="37">
        <f>IF(OR($AB138="",$AN138="",$AO138=""),"",IF($AN138&gt;$AO138,"국가등급 하향 — 한도 재산정",""))</f>
        <v/>
      </c>
      <c r="AQ138" s="37">
        <f>IF($AH138="선적 보류",COUNTIF($AH$5:$AH138,"선적 보류"),"")</f>
        <v/>
      </c>
    </row>
    <row r="139">
      <c r="A139" t="inlineStr">
        <is>
          <t>INV-2608-0142</t>
        </is>
      </c>
      <c r="B139" t="inlineStr">
        <is>
          <t>B068</t>
        </is>
      </c>
      <c r="C139" t="inlineStr">
        <is>
          <t>THA</t>
        </is>
      </c>
      <c r="D139" t="inlineStr">
        <is>
          <t>OA</t>
        </is>
      </c>
      <c r="E139" t="inlineStr">
        <is>
          <t>USD</t>
        </is>
      </c>
      <c r="F139" t="inlineStr">
        <is>
          <t>N</t>
        </is>
      </c>
      <c r="G139" s="32" t="n">
        <v>46263</v>
      </c>
      <c r="H139" s="32" t="n">
        <v>46323</v>
      </c>
      <c r="I139" s="82" t="n">
        <v>2360</v>
      </c>
      <c r="J139" s="82" t="n">
        <v>2360</v>
      </c>
      <c r="K139" t="inlineStr">
        <is>
          <t>N</t>
        </is>
      </c>
      <c r="N139" t="inlineStr">
        <is>
          <t>N</t>
        </is>
      </c>
      <c r="O139" s="37">
        <f>IF($A139="","",AsOf-$H139)</f>
        <v/>
      </c>
      <c r="P139" s="37">
        <f>IF($A139="","",IF($K139="Y","-",IF($O139&gt;=30,"D+30 최종통지·선적보류",IF($O139&gt;=15,"D+15 단호한 통지",IF($O139&gt;=7,"D+7 친절한 리마인더",IF(AND($O139&gt;=-3,$O139&lt;=-1),"D-3 사전 안내","모니터링"))))))</f>
        <v/>
      </c>
      <c r="Q139" s="83">
        <f>IF($A139="","",EDATE($H139,1))</f>
        <v/>
      </c>
      <c r="R139" s="37">
        <f>IF($A139="","",$Q139-AsOf)</f>
        <v/>
      </c>
      <c r="S139" s="37">
        <f>IF($A139="","",IF(OR($K139="Y",$F139&lt;&gt;"Y",$O139&lt;=0),"",IF($R139&lt;0,"통지 기한 경과 — 즉시 확인",IF($R139&lt;=NoticeWarnDays,"통지 기한 임박 — 사람 결정",""))))</f>
        <v/>
      </c>
      <c r="T139" s="83">
        <f>IF(OR($A139="",$F139&lt;&gt;"Y"),"",IF(IF($L139="",InsuranceType,$L139)="포괄",DATE(YEAR($G139),MONTH($G139)+1,20),WORKDAY($G139,10)))</f>
        <v/>
      </c>
      <c r="U139" s="83">
        <f>IF(OR($A139="",$M139=""),"",WORKDAY($M139,10))</f>
        <v/>
      </c>
      <c r="V139" s="37">
        <f>IF($A139="","",IF($N139="Y","사기 의심: 콜백 검증 전 대금 안내 중단",""))</f>
        <v/>
      </c>
      <c r="W139" s="37">
        <f>IF($A139="","",IF(AND($K139="N",$D139&lt;&gt;"LC_SIGHT",$D139&lt;&gt;"LC_USANCE",$D139&lt;&gt;"TT_ADV"),$O139,""))</f>
        <v/>
      </c>
      <c r="X139" s="37">
        <f>IF($A139="",0,IF(AND($K139="N",$D139&lt;&gt;"LC_SIGHT",$D139&lt;&gt;"LC_USANCE",$D139&lt;&gt;"TT_ADV",$O139&gt;=30),1,0))</f>
        <v/>
      </c>
      <c r="Y139" s="37">
        <f>IF($A139="","",IF($O139&lt;=0,"미연체",IF($O139&lt;=30,"1-30",IF($O139&lt;=90,"31-90",IF($O139&lt;=180,"91-180",IF($O139&lt;=365,"181-365","365+"))))))</f>
        <v/>
      </c>
      <c r="Z139" s="37">
        <f>IF($S139="통지 기한 임박 — 사람 결정",COUNTIF($S$5:$S139,"통지 기한 임박 — 사람 결정"),"")</f>
        <v/>
      </c>
      <c r="AB139" s="37">
        <f>IF('02_Buyers'!$A136="","",'02_Buyers'!$A136)</f>
        <v/>
      </c>
      <c r="AC139" s="37">
        <f>IF($AB139="","",'02_Buyers'!$AH136)</f>
        <v/>
      </c>
      <c r="AD139" s="37">
        <f>IF($AB139="","",COUNTIFS(inv_buyer,$AB139,inv_paid,"N"))</f>
        <v/>
      </c>
      <c r="AE139" s="40">
        <f>IF($AB139="","",SUMIFS(inv_usd,inv_buyer,$AB139,inv_paid,"N"))</f>
        <v/>
      </c>
      <c r="AF139" s="37">
        <f>IF($AB139="","",_xlfn.MAXIFS(inv_nonlc_dpd,inv_buyer,$AB139))</f>
        <v/>
      </c>
      <c r="AG139" s="37">
        <f>IF($AB139="","",COUNTIFS(inv_buyer,$AB139,inv_hold30,1))</f>
        <v/>
      </c>
      <c r="AH139" s="37">
        <f>IF($AB139="","",IF(OR($AC139=1,$AG139&gt;0),"선적 보류",""))</f>
        <v/>
      </c>
      <c r="AI139" s="37">
        <f>IF($AH139&lt;&gt;"선적 보류","","내부 에스컬레이션: 여신 한도 동결 제안(사람 승인)")</f>
        <v/>
      </c>
      <c r="AJ139" s="37">
        <f>IF($AB139="","",COUNTIFS(inv_buyer,$AB139,inv_alert,"통지 기한 임박*"))</f>
        <v/>
      </c>
      <c r="AK139" s="40">
        <f>IF($AB139="","",'10_LimitLP'!$F139)</f>
        <v/>
      </c>
      <c r="AL139" s="84">
        <f>IF(OR($AB139="",$AK139&lt;=0),"",$AE139/$AK139)</f>
        <v/>
      </c>
      <c r="AM139" s="37">
        <f>IF($AL139="","",IF($AL139&gt;=0.8,"사용률 80%↑ — 출고 전 사전승인(제18조)",""))</f>
        <v/>
      </c>
      <c r="AN139" s="37">
        <f>IF($AB139="","",IFERROR(IF(INDEX($AU$21:$AU$40,MATCH('02_Buyers'!$S136,$AS$21:$AS$40,0))="","",INDEX($AU$21:$AU$40,MATCH('02_Buyers'!$S136,$AS$21:$AS$40,0))),""))</f>
        <v/>
      </c>
      <c r="AO139" s="37">
        <f>IF($AB139="","",IFERROR(IF(INDEX($AV$21:$AV$40,MATCH('02_Buyers'!$S136,$AS$21:$AS$40,0))="","",INDEX($AV$21:$AV$40,MATCH('02_Buyers'!$S136,$AS$21:$AS$40,0))),""))</f>
        <v/>
      </c>
      <c r="AP139" s="37">
        <f>IF(OR($AB139="",$AN139="",$AO139=""),"",IF($AN139&gt;$AO139,"국가등급 하향 — 한도 재산정",""))</f>
        <v/>
      </c>
      <c r="AQ139" s="37">
        <f>IF($AH139="선적 보류",COUNTIF($AH$5:$AH139,"선적 보류"),"")</f>
        <v/>
      </c>
    </row>
    <row r="140">
      <c r="A140" t="inlineStr">
        <is>
          <t>INV-2609-0017</t>
        </is>
      </c>
      <c r="B140" t="inlineStr">
        <is>
          <t>B068</t>
        </is>
      </c>
      <c r="C140" t="inlineStr">
        <is>
          <t>THA</t>
        </is>
      </c>
      <c r="D140" t="inlineStr">
        <is>
          <t>OA</t>
        </is>
      </c>
      <c r="E140" t="inlineStr">
        <is>
          <t>USD</t>
        </is>
      </c>
      <c r="F140" t="inlineStr">
        <is>
          <t>N</t>
        </is>
      </c>
      <c r="G140" s="32" t="n">
        <v>46268</v>
      </c>
      <c r="H140" s="32" t="n">
        <v>46328</v>
      </c>
      <c r="I140" s="82" t="n">
        <v>14580</v>
      </c>
      <c r="J140" s="82" t="n">
        <v>14580</v>
      </c>
      <c r="K140" t="inlineStr">
        <is>
          <t>N</t>
        </is>
      </c>
      <c r="N140" t="inlineStr">
        <is>
          <t>N</t>
        </is>
      </c>
      <c r="O140" s="37">
        <f>IF($A140="","",AsOf-$H140)</f>
        <v/>
      </c>
      <c r="P140" s="37">
        <f>IF($A140="","",IF($K140="Y","-",IF($O140&gt;=30,"D+30 최종통지·선적보류",IF($O140&gt;=15,"D+15 단호한 통지",IF($O140&gt;=7,"D+7 친절한 리마인더",IF(AND($O140&gt;=-3,$O140&lt;=-1),"D-3 사전 안내","모니터링"))))))</f>
        <v/>
      </c>
      <c r="Q140" s="83">
        <f>IF($A140="","",EDATE($H140,1))</f>
        <v/>
      </c>
      <c r="R140" s="37">
        <f>IF($A140="","",$Q140-AsOf)</f>
        <v/>
      </c>
      <c r="S140" s="37">
        <f>IF($A140="","",IF(OR($K140="Y",$F140&lt;&gt;"Y",$O140&lt;=0),"",IF($R140&lt;0,"통지 기한 경과 — 즉시 확인",IF($R140&lt;=NoticeWarnDays,"통지 기한 임박 — 사람 결정",""))))</f>
        <v/>
      </c>
      <c r="T140" s="83">
        <f>IF(OR($A140="",$F140&lt;&gt;"Y"),"",IF(IF($L140="",InsuranceType,$L140)="포괄",DATE(YEAR($G140),MONTH($G140)+1,20),WORKDAY($G140,10)))</f>
        <v/>
      </c>
      <c r="U140" s="83">
        <f>IF(OR($A140="",$M140=""),"",WORKDAY($M140,10))</f>
        <v/>
      </c>
      <c r="V140" s="37">
        <f>IF($A140="","",IF($N140="Y","사기 의심: 콜백 검증 전 대금 안내 중단",""))</f>
        <v/>
      </c>
      <c r="W140" s="37">
        <f>IF($A140="","",IF(AND($K140="N",$D140&lt;&gt;"LC_SIGHT",$D140&lt;&gt;"LC_USANCE",$D140&lt;&gt;"TT_ADV"),$O140,""))</f>
        <v/>
      </c>
      <c r="X140" s="37">
        <f>IF($A140="",0,IF(AND($K140="N",$D140&lt;&gt;"LC_SIGHT",$D140&lt;&gt;"LC_USANCE",$D140&lt;&gt;"TT_ADV",$O140&gt;=30),1,0))</f>
        <v/>
      </c>
      <c r="Y140" s="37">
        <f>IF($A140="","",IF($O140&lt;=0,"미연체",IF($O140&lt;=30,"1-30",IF($O140&lt;=90,"31-90",IF($O140&lt;=180,"91-180",IF($O140&lt;=365,"181-365","365+"))))))</f>
        <v/>
      </c>
      <c r="Z140" s="37">
        <f>IF($S140="통지 기한 임박 — 사람 결정",COUNTIF($S$5:$S140,"통지 기한 임박 — 사람 결정"),"")</f>
        <v/>
      </c>
      <c r="AB140" s="37">
        <f>IF('02_Buyers'!$A137="","",'02_Buyers'!$A137)</f>
        <v/>
      </c>
      <c r="AC140" s="37">
        <f>IF($AB140="","",'02_Buyers'!$AH137)</f>
        <v/>
      </c>
      <c r="AD140" s="37">
        <f>IF($AB140="","",COUNTIFS(inv_buyer,$AB140,inv_paid,"N"))</f>
        <v/>
      </c>
      <c r="AE140" s="40">
        <f>IF($AB140="","",SUMIFS(inv_usd,inv_buyer,$AB140,inv_paid,"N"))</f>
        <v/>
      </c>
      <c r="AF140" s="37">
        <f>IF($AB140="","",_xlfn.MAXIFS(inv_nonlc_dpd,inv_buyer,$AB140))</f>
        <v/>
      </c>
      <c r="AG140" s="37">
        <f>IF($AB140="","",COUNTIFS(inv_buyer,$AB140,inv_hold30,1))</f>
        <v/>
      </c>
      <c r="AH140" s="37">
        <f>IF($AB140="","",IF(OR($AC140=1,$AG140&gt;0),"선적 보류",""))</f>
        <v/>
      </c>
      <c r="AI140" s="37">
        <f>IF($AH140&lt;&gt;"선적 보류","","내부 에스컬레이션: 여신 한도 동결 제안(사람 승인)")</f>
        <v/>
      </c>
      <c r="AJ140" s="37">
        <f>IF($AB140="","",COUNTIFS(inv_buyer,$AB140,inv_alert,"통지 기한 임박*"))</f>
        <v/>
      </c>
      <c r="AK140" s="40">
        <f>IF($AB140="","",'10_LimitLP'!$F140)</f>
        <v/>
      </c>
      <c r="AL140" s="84">
        <f>IF(OR($AB140="",$AK140&lt;=0),"",$AE140/$AK140)</f>
        <v/>
      </c>
      <c r="AM140" s="37">
        <f>IF($AL140="","",IF($AL140&gt;=0.8,"사용률 80%↑ — 출고 전 사전승인(제18조)",""))</f>
        <v/>
      </c>
      <c r="AN140" s="37">
        <f>IF($AB140="","",IFERROR(IF(INDEX($AU$21:$AU$40,MATCH('02_Buyers'!$S137,$AS$21:$AS$40,0))="","",INDEX($AU$21:$AU$40,MATCH('02_Buyers'!$S137,$AS$21:$AS$40,0))),""))</f>
        <v/>
      </c>
      <c r="AO140" s="37">
        <f>IF($AB140="","",IFERROR(IF(INDEX($AV$21:$AV$40,MATCH('02_Buyers'!$S137,$AS$21:$AS$40,0))="","",INDEX($AV$21:$AV$40,MATCH('02_Buyers'!$S137,$AS$21:$AS$40,0))),""))</f>
        <v/>
      </c>
      <c r="AP140" s="37">
        <f>IF(OR($AB140="",$AN140="",$AO140=""),"",IF($AN140&gt;$AO140,"국가등급 하향 — 한도 재산정",""))</f>
        <v/>
      </c>
      <c r="AQ140" s="37">
        <f>IF($AH140="선적 보류",COUNTIF($AH$5:$AH140,"선적 보류"),"")</f>
        <v/>
      </c>
    </row>
    <row r="141">
      <c r="A141" t="inlineStr">
        <is>
          <t>INV-2609-0034</t>
        </is>
      </c>
      <c r="B141" t="inlineStr">
        <is>
          <t>B068</t>
        </is>
      </c>
      <c r="C141" t="inlineStr">
        <is>
          <t>THA</t>
        </is>
      </c>
      <c r="D141" t="inlineStr">
        <is>
          <t>OA</t>
        </is>
      </c>
      <c r="E141" t="inlineStr">
        <is>
          <t>USD</t>
        </is>
      </c>
      <c r="F141" t="inlineStr">
        <is>
          <t>N</t>
        </is>
      </c>
      <c r="G141" s="32" t="n">
        <v>46271</v>
      </c>
      <c r="H141" s="32" t="n">
        <v>46331</v>
      </c>
      <c r="I141" s="82" t="n">
        <v>14980</v>
      </c>
      <c r="J141" s="82" t="n">
        <v>14980</v>
      </c>
      <c r="K141" t="inlineStr">
        <is>
          <t>N</t>
        </is>
      </c>
      <c r="N141" t="inlineStr">
        <is>
          <t>N</t>
        </is>
      </c>
      <c r="O141" s="37">
        <f>IF($A141="","",AsOf-$H141)</f>
        <v/>
      </c>
      <c r="P141" s="37">
        <f>IF($A141="","",IF($K141="Y","-",IF($O141&gt;=30,"D+30 최종통지·선적보류",IF($O141&gt;=15,"D+15 단호한 통지",IF($O141&gt;=7,"D+7 친절한 리마인더",IF(AND($O141&gt;=-3,$O141&lt;=-1),"D-3 사전 안내","모니터링"))))))</f>
        <v/>
      </c>
      <c r="Q141" s="83">
        <f>IF($A141="","",EDATE($H141,1))</f>
        <v/>
      </c>
      <c r="R141" s="37">
        <f>IF($A141="","",$Q141-AsOf)</f>
        <v/>
      </c>
      <c r="S141" s="37">
        <f>IF($A141="","",IF(OR($K141="Y",$F141&lt;&gt;"Y",$O141&lt;=0),"",IF($R141&lt;0,"통지 기한 경과 — 즉시 확인",IF($R141&lt;=NoticeWarnDays,"통지 기한 임박 — 사람 결정",""))))</f>
        <v/>
      </c>
      <c r="T141" s="83">
        <f>IF(OR($A141="",$F141&lt;&gt;"Y"),"",IF(IF($L141="",InsuranceType,$L141)="포괄",DATE(YEAR($G141),MONTH($G141)+1,20),WORKDAY($G141,10)))</f>
        <v/>
      </c>
      <c r="U141" s="83">
        <f>IF(OR($A141="",$M141=""),"",WORKDAY($M141,10))</f>
        <v/>
      </c>
      <c r="V141" s="37">
        <f>IF($A141="","",IF($N141="Y","사기 의심: 콜백 검증 전 대금 안내 중단",""))</f>
        <v/>
      </c>
      <c r="W141" s="37">
        <f>IF($A141="","",IF(AND($K141="N",$D141&lt;&gt;"LC_SIGHT",$D141&lt;&gt;"LC_USANCE",$D141&lt;&gt;"TT_ADV"),$O141,""))</f>
        <v/>
      </c>
      <c r="X141" s="37">
        <f>IF($A141="",0,IF(AND($K141="N",$D141&lt;&gt;"LC_SIGHT",$D141&lt;&gt;"LC_USANCE",$D141&lt;&gt;"TT_ADV",$O141&gt;=30),1,0))</f>
        <v/>
      </c>
      <c r="Y141" s="37">
        <f>IF($A141="","",IF($O141&lt;=0,"미연체",IF($O141&lt;=30,"1-30",IF($O141&lt;=90,"31-90",IF($O141&lt;=180,"91-180",IF($O141&lt;=365,"181-365","365+"))))))</f>
        <v/>
      </c>
      <c r="Z141" s="37">
        <f>IF($S141="통지 기한 임박 — 사람 결정",COUNTIF($S$5:$S141,"통지 기한 임박 — 사람 결정"),"")</f>
        <v/>
      </c>
      <c r="AB141" s="37">
        <f>IF('02_Buyers'!$A138="","",'02_Buyers'!$A138)</f>
        <v/>
      </c>
      <c r="AC141" s="37">
        <f>IF($AB141="","",'02_Buyers'!$AH138)</f>
        <v/>
      </c>
      <c r="AD141" s="37">
        <f>IF($AB141="","",COUNTIFS(inv_buyer,$AB141,inv_paid,"N"))</f>
        <v/>
      </c>
      <c r="AE141" s="40">
        <f>IF($AB141="","",SUMIFS(inv_usd,inv_buyer,$AB141,inv_paid,"N"))</f>
        <v/>
      </c>
      <c r="AF141" s="37">
        <f>IF($AB141="","",_xlfn.MAXIFS(inv_nonlc_dpd,inv_buyer,$AB141))</f>
        <v/>
      </c>
      <c r="AG141" s="37">
        <f>IF($AB141="","",COUNTIFS(inv_buyer,$AB141,inv_hold30,1))</f>
        <v/>
      </c>
      <c r="AH141" s="37">
        <f>IF($AB141="","",IF(OR($AC141=1,$AG141&gt;0),"선적 보류",""))</f>
        <v/>
      </c>
      <c r="AI141" s="37">
        <f>IF($AH141&lt;&gt;"선적 보류","","내부 에스컬레이션: 여신 한도 동결 제안(사람 승인)")</f>
        <v/>
      </c>
      <c r="AJ141" s="37">
        <f>IF($AB141="","",COUNTIFS(inv_buyer,$AB141,inv_alert,"통지 기한 임박*"))</f>
        <v/>
      </c>
      <c r="AK141" s="40">
        <f>IF($AB141="","",'10_LimitLP'!$F141)</f>
        <v/>
      </c>
      <c r="AL141" s="84">
        <f>IF(OR($AB141="",$AK141&lt;=0),"",$AE141/$AK141)</f>
        <v/>
      </c>
      <c r="AM141" s="37">
        <f>IF($AL141="","",IF($AL141&gt;=0.8,"사용률 80%↑ — 출고 전 사전승인(제18조)",""))</f>
        <v/>
      </c>
      <c r="AN141" s="37">
        <f>IF($AB141="","",IFERROR(IF(INDEX($AU$21:$AU$40,MATCH('02_Buyers'!$S138,$AS$21:$AS$40,0))="","",INDEX($AU$21:$AU$40,MATCH('02_Buyers'!$S138,$AS$21:$AS$40,0))),""))</f>
        <v/>
      </c>
      <c r="AO141" s="37">
        <f>IF($AB141="","",IFERROR(IF(INDEX($AV$21:$AV$40,MATCH('02_Buyers'!$S138,$AS$21:$AS$40,0))="","",INDEX($AV$21:$AV$40,MATCH('02_Buyers'!$S138,$AS$21:$AS$40,0))),""))</f>
        <v/>
      </c>
      <c r="AP141" s="37">
        <f>IF(OR($AB141="",$AN141="",$AO141=""),"",IF($AN141&gt;$AO141,"국가등급 하향 — 한도 재산정",""))</f>
        <v/>
      </c>
      <c r="AQ141" s="37">
        <f>IF($AH141="선적 보류",COUNTIF($AH$5:$AH141,"선적 보류"),"")</f>
        <v/>
      </c>
    </row>
    <row r="142">
      <c r="A142" t="inlineStr">
        <is>
          <t>INV-2608-0151</t>
        </is>
      </c>
      <c r="B142" t="inlineStr">
        <is>
          <t>B070</t>
        </is>
      </c>
      <c r="C142" t="inlineStr">
        <is>
          <t>POL</t>
        </is>
      </c>
      <c r="D142" t="inlineStr">
        <is>
          <t>OA</t>
        </is>
      </c>
      <c r="E142" t="inlineStr">
        <is>
          <t>EUR</t>
        </is>
      </c>
      <c r="F142" t="inlineStr">
        <is>
          <t>Y</t>
        </is>
      </c>
      <c r="G142" s="32" t="n">
        <v>46265</v>
      </c>
      <c r="H142" s="32" t="n">
        <v>46325</v>
      </c>
      <c r="I142" s="82" t="n">
        <v>7380</v>
      </c>
      <c r="J142" s="82" t="n">
        <v>8413.190000000001</v>
      </c>
      <c r="K142" t="inlineStr">
        <is>
          <t>N</t>
        </is>
      </c>
      <c r="L142" t="inlineStr">
        <is>
          <t>개별</t>
        </is>
      </c>
      <c r="N142" t="inlineStr">
        <is>
          <t>N</t>
        </is>
      </c>
      <c r="O142" s="37">
        <f>IF($A142="","",AsOf-$H142)</f>
        <v/>
      </c>
      <c r="P142" s="37">
        <f>IF($A142="","",IF($K142="Y","-",IF($O142&gt;=30,"D+30 최종통지·선적보류",IF($O142&gt;=15,"D+15 단호한 통지",IF($O142&gt;=7,"D+7 친절한 리마인더",IF(AND($O142&gt;=-3,$O142&lt;=-1),"D-3 사전 안내","모니터링"))))))</f>
        <v/>
      </c>
      <c r="Q142" s="83">
        <f>IF($A142="","",EDATE($H142,1))</f>
        <v/>
      </c>
      <c r="R142" s="37">
        <f>IF($A142="","",$Q142-AsOf)</f>
        <v/>
      </c>
      <c r="S142" s="37">
        <f>IF($A142="","",IF(OR($K142="Y",$F142&lt;&gt;"Y",$O142&lt;=0),"",IF($R142&lt;0,"통지 기한 경과 — 즉시 확인",IF($R142&lt;=NoticeWarnDays,"통지 기한 임박 — 사람 결정",""))))</f>
        <v/>
      </c>
      <c r="T142" s="83">
        <f>IF(OR($A142="",$F142&lt;&gt;"Y"),"",IF(IF($L142="",InsuranceType,$L142)="포괄",DATE(YEAR($G142),MONTH($G142)+1,20),WORKDAY($G142,10)))</f>
        <v/>
      </c>
      <c r="U142" s="83">
        <f>IF(OR($A142="",$M142=""),"",WORKDAY($M142,10))</f>
        <v/>
      </c>
      <c r="V142" s="37">
        <f>IF($A142="","",IF($N142="Y","사기 의심: 콜백 검증 전 대금 안내 중단",""))</f>
        <v/>
      </c>
      <c r="W142" s="37">
        <f>IF($A142="","",IF(AND($K142="N",$D142&lt;&gt;"LC_SIGHT",$D142&lt;&gt;"LC_USANCE",$D142&lt;&gt;"TT_ADV"),$O142,""))</f>
        <v/>
      </c>
      <c r="X142" s="37">
        <f>IF($A142="",0,IF(AND($K142="N",$D142&lt;&gt;"LC_SIGHT",$D142&lt;&gt;"LC_USANCE",$D142&lt;&gt;"TT_ADV",$O142&gt;=30),1,0))</f>
        <v/>
      </c>
      <c r="Y142" s="37">
        <f>IF($A142="","",IF($O142&lt;=0,"미연체",IF($O142&lt;=30,"1-30",IF($O142&lt;=90,"31-90",IF($O142&lt;=180,"91-180",IF($O142&lt;=365,"181-365","365+"))))))</f>
        <v/>
      </c>
      <c r="Z142" s="37">
        <f>IF($S142="통지 기한 임박 — 사람 결정",COUNTIF($S$5:$S142,"통지 기한 임박 — 사람 결정"),"")</f>
        <v/>
      </c>
      <c r="AB142" s="37">
        <f>IF('02_Buyers'!$A139="","",'02_Buyers'!$A139)</f>
        <v/>
      </c>
      <c r="AC142" s="37">
        <f>IF($AB142="","",'02_Buyers'!$AH139)</f>
        <v/>
      </c>
      <c r="AD142" s="37">
        <f>IF($AB142="","",COUNTIFS(inv_buyer,$AB142,inv_paid,"N"))</f>
        <v/>
      </c>
      <c r="AE142" s="40">
        <f>IF($AB142="","",SUMIFS(inv_usd,inv_buyer,$AB142,inv_paid,"N"))</f>
        <v/>
      </c>
      <c r="AF142" s="37">
        <f>IF($AB142="","",_xlfn.MAXIFS(inv_nonlc_dpd,inv_buyer,$AB142))</f>
        <v/>
      </c>
      <c r="AG142" s="37">
        <f>IF($AB142="","",COUNTIFS(inv_buyer,$AB142,inv_hold30,1))</f>
        <v/>
      </c>
      <c r="AH142" s="37">
        <f>IF($AB142="","",IF(OR($AC142=1,$AG142&gt;0),"선적 보류",""))</f>
        <v/>
      </c>
      <c r="AI142" s="37">
        <f>IF($AH142&lt;&gt;"선적 보류","","내부 에스컬레이션: 여신 한도 동결 제안(사람 승인)")</f>
        <v/>
      </c>
      <c r="AJ142" s="37">
        <f>IF($AB142="","",COUNTIFS(inv_buyer,$AB142,inv_alert,"통지 기한 임박*"))</f>
        <v/>
      </c>
      <c r="AK142" s="40">
        <f>IF($AB142="","",'10_LimitLP'!$F142)</f>
        <v/>
      </c>
      <c r="AL142" s="84">
        <f>IF(OR($AB142="",$AK142&lt;=0),"",$AE142/$AK142)</f>
        <v/>
      </c>
      <c r="AM142" s="37">
        <f>IF($AL142="","",IF($AL142&gt;=0.8,"사용률 80%↑ — 출고 전 사전승인(제18조)",""))</f>
        <v/>
      </c>
      <c r="AN142" s="37">
        <f>IF($AB142="","",IFERROR(IF(INDEX($AU$21:$AU$40,MATCH('02_Buyers'!$S139,$AS$21:$AS$40,0))="","",INDEX($AU$21:$AU$40,MATCH('02_Buyers'!$S139,$AS$21:$AS$40,0))),""))</f>
        <v/>
      </c>
      <c r="AO142" s="37">
        <f>IF($AB142="","",IFERROR(IF(INDEX($AV$21:$AV$40,MATCH('02_Buyers'!$S139,$AS$21:$AS$40,0))="","",INDEX($AV$21:$AV$40,MATCH('02_Buyers'!$S139,$AS$21:$AS$40,0))),""))</f>
        <v/>
      </c>
      <c r="AP142" s="37">
        <f>IF(OR($AB142="",$AN142="",$AO142=""),"",IF($AN142&gt;$AO142,"국가등급 하향 — 한도 재산정",""))</f>
        <v/>
      </c>
      <c r="AQ142" s="37">
        <f>IF($AH142="선적 보류",COUNTIF($AH$5:$AH142,"선적 보류"),"")</f>
        <v/>
      </c>
    </row>
    <row r="143">
      <c r="A143" t="inlineStr">
        <is>
          <t>INV-2511-0017</t>
        </is>
      </c>
      <c r="B143" t="inlineStr">
        <is>
          <t>B071</t>
        </is>
      </c>
      <c r="C143" t="inlineStr">
        <is>
          <t>TWN</t>
        </is>
      </c>
      <c r="D143" t="inlineStr">
        <is>
          <t>OA</t>
        </is>
      </c>
      <c r="E143" t="inlineStr">
        <is>
          <t>USD</t>
        </is>
      </c>
      <c r="F143" t="inlineStr">
        <is>
          <t>Y</t>
        </is>
      </c>
      <c r="G143" s="32" t="n">
        <v>45966</v>
      </c>
      <c r="H143" s="32" t="n">
        <v>46026</v>
      </c>
      <c r="I143" s="82" t="n">
        <v>30000</v>
      </c>
      <c r="J143" s="82" t="n">
        <v>30000</v>
      </c>
      <c r="K143" t="inlineStr">
        <is>
          <t>N</t>
        </is>
      </c>
      <c r="L143" t="inlineStr">
        <is>
          <t>개별</t>
        </is>
      </c>
      <c r="N143" t="inlineStr">
        <is>
          <t>N</t>
        </is>
      </c>
      <c r="O143" s="37">
        <f>IF($A143="","",AsOf-$H143)</f>
        <v/>
      </c>
      <c r="P143" s="37">
        <f>IF($A143="","",IF($K143="Y","-",IF($O143&gt;=30,"D+30 최종통지·선적보류",IF($O143&gt;=15,"D+15 단호한 통지",IF($O143&gt;=7,"D+7 친절한 리마인더",IF(AND($O143&gt;=-3,$O143&lt;=-1),"D-3 사전 안내","모니터링"))))))</f>
        <v/>
      </c>
      <c r="Q143" s="83">
        <f>IF($A143="","",EDATE($H143,1))</f>
        <v/>
      </c>
      <c r="R143" s="37">
        <f>IF($A143="","",$Q143-AsOf)</f>
        <v/>
      </c>
      <c r="S143" s="37">
        <f>IF($A143="","",IF(OR($K143="Y",$F143&lt;&gt;"Y",$O143&lt;=0),"",IF($R143&lt;0,"통지 기한 경과 — 즉시 확인",IF($R143&lt;=NoticeWarnDays,"통지 기한 임박 — 사람 결정",""))))</f>
        <v/>
      </c>
      <c r="T143" s="83">
        <f>IF(OR($A143="",$F143&lt;&gt;"Y"),"",IF(IF($L143="",InsuranceType,$L143)="포괄",DATE(YEAR($G143),MONTH($G143)+1,20),WORKDAY($G143,10)))</f>
        <v/>
      </c>
      <c r="U143" s="83">
        <f>IF(OR($A143="",$M143=""),"",WORKDAY($M143,10))</f>
        <v/>
      </c>
      <c r="V143" s="37">
        <f>IF($A143="","",IF($N143="Y","사기 의심: 콜백 검증 전 대금 안내 중단",""))</f>
        <v/>
      </c>
      <c r="W143" s="37">
        <f>IF($A143="","",IF(AND($K143="N",$D143&lt;&gt;"LC_SIGHT",$D143&lt;&gt;"LC_USANCE",$D143&lt;&gt;"TT_ADV"),$O143,""))</f>
        <v/>
      </c>
      <c r="X143" s="37">
        <f>IF($A143="",0,IF(AND($K143="N",$D143&lt;&gt;"LC_SIGHT",$D143&lt;&gt;"LC_USANCE",$D143&lt;&gt;"TT_ADV",$O143&gt;=30),1,0))</f>
        <v/>
      </c>
      <c r="Y143" s="37">
        <f>IF($A143="","",IF($O143&lt;=0,"미연체",IF($O143&lt;=30,"1-30",IF($O143&lt;=90,"31-90",IF($O143&lt;=180,"91-180",IF($O143&lt;=365,"181-365","365+"))))))</f>
        <v/>
      </c>
      <c r="Z143" s="37">
        <f>IF($S143="통지 기한 임박 — 사람 결정",COUNTIF($S$5:$S143,"통지 기한 임박 — 사람 결정"),"")</f>
        <v/>
      </c>
      <c r="AB143" s="37">
        <f>IF('02_Buyers'!$A140="","",'02_Buyers'!$A140)</f>
        <v/>
      </c>
      <c r="AC143" s="37">
        <f>IF($AB143="","",'02_Buyers'!$AH140)</f>
        <v/>
      </c>
      <c r="AD143" s="37">
        <f>IF($AB143="","",COUNTIFS(inv_buyer,$AB143,inv_paid,"N"))</f>
        <v/>
      </c>
      <c r="AE143" s="40">
        <f>IF($AB143="","",SUMIFS(inv_usd,inv_buyer,$AB143,inv_paid,"N"))</f>
        <v/>
      </c>
      <c r="AF143" s="37">
        <f>IF($AB143="","",_xlfn.MAXIFS(inv_nonlc_dpd,inv_buyer,$AB143))</f>
        <v/>
      </c>
      <c r="AG143" s="37">
        <f>IF($AB143="","",COUNTIFS(inv_buyer,$AB143,inv_hold30,1))</f>
        <v/>
      </c>
      <c r="AH143" s="37">
        <f>IF($AB143="","",IF(OR($AC143=1,$AG143&gt;0),"선적 보류",""))</f>
        <v/>
      </c>
      <c r="AI143" s="37">
        <f>IF($AH143&lt;&gt;"선적 보류","","내부 에스컬레이션: 여신 한도 동결 제안(사람 승인)")</f>
        <v/>
      </c>
      <c r="AJ143" s="37">
        <f>IF($AB143="","",COUNTIFS(inv_buyer,$AB143,inv_alert,"통지 기한 임박*"))</f>
        <v/>
      </c>
      <c r="AK143" s="40">
        <f>IF($AB143="","",'10_LimitLP'!$F143)</f>
        <v/>
      </c>
      <c r="AL143" s="84">
        <f>IF(OR($AB143="",$AK143&lt;=0),"",$AE143/$AK143)</f>
        <v/>
      </c>
      <c r="AM143" s="37">
        <f>IF($AL143="","",IF($AL143&gt;=0.8,"사용률 80%↑ — 출고 전 사전승인(제18조)",""))</f>
        <v/>
      </c>
      <c r="AN143" s="37">
        <f>IF($AB143="","",IFERROR(IF(INDEX($AU$21:$AU$40,MATCH('02_Buyers'!$S140,$AS$21:$AS$40,0))="","",INDEX($AU$21:$AU$40,MATCH('02_Buyers'!$S140,$AS$21:$AS$40,0))),""))</f>
        <v/>
      </c>
      <c r="AO143" s="37">
        <f>IF($AB143="","",IFERROR(IF(INDEX($AV$21:$AV$40,MATCH('02_Buyers'!$S140,$AS$21:$AS$40,0))="","",INDEX($AV$21:$AV$40,MATCH('02_Buyers'!$S140,$AS$21:$AS$40,0))),""))</f>
        <v/>
      </c>
      <c r="AP143" s="37">
        <f>IF(OR($AB143="",$AN143="",$AO143=""),"",IF($AN143&gt;$AO143,"국가등급 하향 — 한도 재산정",""))</f>
        <v/>
      </c>
      <c r="AQ143" s="37">
        <f>IF($AH143="선적 보류",COUNTIF($AH$5:$AH143,"선적 보류"),"")</f>
        <v/>
      </c>
    </row>
    <row r="144">
      <c r="A144" t="inlineStr">
        <is>
          <t>INV-2602-0051</t>
        </is>
      </c>
      <c r="B144" t="inlineStr">
        <is>
          <t>B071</t>
        </is>
      </c>
      <c r="C144" t="inlineStr">
        <is>
          <t>TWN</t>
        </is>
      </c>
      <c r="D144" t="inlineStr">
        <is>
          <t>OA</t>
        </is>
      </c>
      <c r="E144" t="inlineStr">
        <is>
          <t>USD</t>
        </is>
      </c>
      <c r="F144" t="inlineStr">
        <is>
          <t>Y</t>
        </is>
      </c>
      <c r="G144" s="32" t="n">
        <v>46063</v>
      </c>
      <c r="H144" s="32" t="n">
        <v>46123</v>
      </c>
      <c r="I144" s="82" t="n">
        <v>20000</v>
      </c>
      <c r="J144" s="82" t="n">
        <v>20000</v>
      </c>
      <c r="K144" t="inlineStr">
        <is>
          <t>N</t>
        </is>
      </c>
      <c r="L144" t="inlineStr">
        <is>
          <t>개별</t>
        </is>
      </c>
      <c r="N144" t="inlineStr">
        <is>
          <t>N</t>
        </is>
      </c>
      <c r="O144" s="37">
        <f>IF($A144="","",AsOf-$H144)</f>
        <v/>
      </c>
      <c r="P144" s="37">
        <f>IF($A144="","",IF($K144="Y","-",IF($O144&gt;=30,"D+30 최종통지·선적보류",IF($O144&gt;=15,"D+15 단호한 통지",IF($O144&gt;=7,"D+7 친절한 리마인더",IF(AND($O144&gt;=-3,$O144&lt;=-1),"D-3 사전 안내","모니터링"))))))</f>
        <v/>
      </c>
      <c r="Q144" s="83">
        <f>IF($A144="","",EDATE($H144,1))</f>
        <v/>
      </c>
      <c r="R144" s="37">
        <f>IF($A144="","",$Q144-AsOf)</f>
        <v/>
      </c>
      <c r="S144" s="37">
        <f>IF($A144="","",IF(OR($K144="Y",$F144&lt;&gt;"Y",$O144&lt;=0),"",IF($R144&lt;0,"통지 기한 경과 — 즉시 확인",IF($R144&lt;=NoticeWarnDays,"통지 기한 임박 — 사람 결정",""))))</f>
        <v/>
      </c>
      <c r="T144" s="83">
        <f>IF(OR($A144="",$F144&lt;&gt;"Y"),"",IF(IF($L144="",InsuranceType,$L144)="포괄",DATE(YEAR($G144),MONTH($G144)+1,20),WORKDAY($G144,10)))</f>
        <v/>
      </c>
      <c r="U144" s="83">
        <f>IF(OR($A144="",$M144=""),"",WORKDAY($M144,10))</f>
        <v/>
      </c>
      <c r="V144" s="37">
        <f>IF($A144="","",IF($N144="Y","사기 의심: 콜백 검증 전 대금 안내 중단",""))</f>
        <v/>
      </c>
      <c r="W144" s="37">
        <f>IF($A144="","",IF(AND($K144="N",$D144&lt;&gt;"LC_SIGHT",$D144&lt;&gt;"LC_USANCE",$D144&lt;&gt;"TT_ADV"),$O144,""))</f>
        <v/>
      </c>
      <c r="X144" s="37">
        <f>IF($A144="",0,IF(AND($K144="N",$D144&lt;&gt;"LC_SIGHT",$D144&lt;&gt;"LC_USANCE",$D144&lt;&gt;"TT_ADV",$O144&gt;=30),1,0))</f>
        <v/>
      </c>
      <c r="Y144" s="37">
        <f>IF($A144="","",IF($O144&lt;=0,"미연체",IF($O144&lt;=30,"1-30",IF($O144&lt;=90,"31-90",IF($O144&lt;=180,"91-180",IF($O144&lt;=365,"181-365","365+"))))))</f>
        <v/>
      </c>
      <c r="Z144" s="37">
        <f>IF($S144="통지 기한 임박 — 사람 결정",COUNTIF($S$5:$S144,"통지 기한 임박 — 사람 결정"),"")</f>
        <v/>
      </c>
      <c r="AB144" s="37">
        <f>IF('02_Buyers'!$A141="","",'02_Buyers'!$A141)</f>
        <v/>
      </c>
      <c r="AC144" s="37">
        <f>IF($AB144="","",'02_Buyers'!$AH141)</f>
        <v/>
      </c>
      <c r="AD144" s="37">
        <f>IF($AB144="","",COUNTIFS(inv_buyer,$AB144,inv_paid,"N"))</f>
        <v/>
      </c>
      <c r="AE144" s="40">
        <f>IF($AB144="","",SUMIFS(inv_usd,inv_buyer,$AB144,inv_paid,"N"))</f>
        <v/>
      </c>
      <c r="AF144" s="37">
        <f>IF($AB144="","",_xlfn.MAXIFS(inv_nonlc_dpd,inv_buyer,$AB144))</f>
        <v/>
      </c>
      <c r="AG144" s="37">
        <f>IF($AB144="","",COUNTIFS(inv_buyer,$AB144,inv_hold30,1))</f>
        <v/>
      </c>
      <c r="AH144" s="37">
        <f>IF($AB144="","",IF(OR($AC144=1,$AG144&gt;0),"선적 보류",""))</f>
        <v/>
      </c>
      <c r="AI144" s="37">
        <f>IF($AH144&lt;&gt;"선적 보류","","내부 에스컬레이션: 여신 한도 동결 제안(사람 승인)")</f>
        <v/>
      </c>
      <c r="AJ144" s="37">
        <f>IF($AB144="","",COUNTIFS(inv_buyer,$AB144,inv_alert,"통지 기한 임박*"))</f>
        <v/>
      </c>
      <c r="AK144" s="40">
        <f>IF($AB144="","",'10_LimitLP'!$F144)</f>
        <v/>
      </c>
      <c r="AL144" s="84">
        <f>IF(OR($AB144="",$AK144&lt;=0),"",$AE144/$AK144)</f>
        <v/>
      </c>
      <c r="AM144" s="37">
        <f>IF($AL144="","",IF($AL144&gt;=0.8,"사용률 80%↑ — 출고 전 사전승인(제18조)",""))</f>
        <v/>
      </c>
      <c r="AN144" s="37">
        <f>IF($AB144="","",IFERROR(IF(INDEX($AU$21:$AU$40,MATCH('02_Buyers'!$S141,$AS$21:$AS$40,0))="","",INDEX($AU$21:$AU$40,MATCH('02_Buyers'!$S141,$AS$21:$AS$40,0))),""))</f>
        <v/>
      </c>
      <c r="AO144" s="37">
        <f>IF($AB144="","",IFERROR(IF(INDEX($AV$21:$AV$40,MATCH('02_Buyers'!$S141,$AS$21:$AS$40,0))="","",INDEX($AV$21:$AV$40,MATCH('02_Buyers'!$S141,$AS$21:$AS$40,0))),""))</f>
        <v/>
      </c>
      <c r="AP144" s="37">
        <f>IF(OR($AB144="",$AN144="",$AO144=""),"",IF($AN144&gt;$AO144,"국가등급 하향 — 한도 재산정",""))</f>
        <v/>
      </c>
      <c r="AQ144" s="37">
        <f>IF($AH144="선적 보류",COUNTIF($AH$5:$AH144,"선적 보류"),"")</f>
        <v/>
      </c>
    </row>
    <row r="145">
      <c r="A145" t="inlineStr">
        <is>
          <t>INV-2603-0039</t>
        </is>
      </c>
      <c r="B145" t="inlineStr">
        <is>
          <t>B071</t>
        </is>
      </c>
      <c r="C145" t="inlineStr">
        <is>
          <t>TWN</t>
        </is>
      </c>
      <c r="D145" t="inlineStr">
        <is>
          <t>OA</t>
        </is>
      </c>
      <c r="E145" t="inlineStr">
        <is>
          <t>USD</t>
        </is>
      </c>
      <c r="F145" t="inlineStr">
        <is>
          <t>Y</t>
        </is>
      </c>
      <c r="G145" s="32" t="n">
        <v>46088</v>
      </c>
      <c r="H145" s="32" t="n">
        <v>46148</v>
      </c>
      <c r="I145" s="82" t="n">
        <v>15000</v>
      </c>
      <c r="J145" s="82" t="n">
        <v>15000</v>
      </c>
      <c r="K145" t="inlineStr">
        <is>
          <t>N</t>
        </is>
      </c>
      <c r="L145" t="inlineStr">
        <is>
          <t>개별</t>
        </is>
      </c>
      <c r="N145" t="inlineStr">
        <is>
          <t>N</t>
        </is>
      </c>
      <c r="O145" s="37">
        <f>IF($A145="","",AsOf-$H145)</f>
        <v/>
      </c>
      <c r="P145" s="37">
        <f>IF($A145="","",IF($K145="Y","-",IF($O145&gt;=30,"D+30 최종통지·선적보류",IF($O145&gt;=15,"D+15 단호한 통지",IF($O145&gt;=7,"D+7 친절한 리마인더",IF(AND($O145&gt;=-3,$O145&lt;=-1),"D-3 사전 안내","모니터링"))))))</f>
        <v/>
      </c>
      <c r="Q145" s="83">
        <f>IF($A145="","",EDATE($H145,1))</f>
        <v/>
      </c>
      <c r="R145" s="37">
        <f>IF($A145="","",$Q145-AsOf)</f>
        <v/>
      </c>
      <c r="S145" s="37">
        <f>IF($A145="","",IF(OR($K145="Y",$F145&lt;&gt;"Y",$O145&lt;=0),"",IF($R145&lt;0,"통지 기한 경과 — 즉시 확인",IF($R145&lt;=NoticeWarnDays,"통지 기한 임박 — 사람 결정",""))))</f>
        <v/>
      </c>
      <c r="T145" s="83">
        <f>IF(OR($A145="",$F145&lt;&gt;"Y"),"",IF(IF($L145="",InsuranceType,$L145)="포괄",DATE(YEAR($G145),MONTH($G145)+1,20),WORKDAY($G145,10)))</f>
        <v/>
      </c>
      <c r="U145" s="83">
        <f>IF(OR($A145="",$M145=""),"",WORKDAY($M145,10))</f>
        <v/>
      </c>
      <c r="V145" s="37">
        <f>IF($A145="","",IF($N145="Y","사기 의심: 콜백 검증 전 대금 안내 중단",""))</f>
        <v/>
      </c>
      <c r="W145" s="37">
        <f>IF($A145="","",IF(AND($K145="N",$D145&lt;&gt;"LC_SIGHT",$D145&lt;&gt;"LC_USANCE",$D145&lt;&gt;"TT_ADV"),$O145,""))</f>
        <v/>
      </c>
      <c r="X145" s="37">
        <f>IF($A145="",0,IF(AND($K145="N",$D145&lt;&gt;"LC_SIGHT",$D145&lt;&gt;"LC_USANCE",$D145&lt;&gt;"TT_ADV",$O145&gt;=30),1,0))</f>
        <v/>
      </c>
      <c r="Y145" s="37">
        <f>IF($A145="","",IF($O145&lt;=0,"미연체",IF($O145&lt;=30,"1-30",IF($O145&lt;=90,"31-90",IF($O145&lt;=180,"91-180",IF($O145&lt;=365,"181-365","365+"))))))</f>
        <v/>
      </c>
      <c r="Z145" s="37">
        <f>IF($S145="통지 기한 임박 — 사람 결정",COUNTIF($S$5:$S145,"통지 기한 임박 — 사람 결정"),"")</f>
        <v/>
      </c>
      <c r="AB145" s="37">
        <f>IF('02_Buyers'!$A142="","",'02_Buyers'!$A142)</f>
        <v/>
      </c>
      <c r="AC145" s="37">
        <f>IF($AB145="","",'02_Buyers'!$AH142)</f>
        <v/>
      </c>
      <c r="AD145" s="37">
        <f>IF($AB145="","",COUNTIFS(inv_buyer,$AB145,inv_paid,"N"))</f>
        <v/>
      </c>
      <c r="AE145" s="40">
        <f>IF($AB145="","",SUMIFS(inv_usd,inv_buyer,$AB145,inv_paid,"N"))</f>
        <v/>
      </c>
      <c r="AF145" s="37">
        <f>IF($AB145="","",_xlfn.MAXIFS(inv_nonlc_dpd,inv_buyer,$AB145))</f>
        <v/>
      </c>
      <c r="AG145" s="37">
        <f>IF($AB145="","",COUNTIFS(inv_buyer,$AB145,inv_hold30,1))</f>
        <v/>
      </c>
      <c r="AH145" s="37">
        <f>IF($AB145="","",IF(OR($AC145=1,$AG145&gt;0),"선적 보류",""))</f>
        <v/>
      </c>
      <c r="AI145" s="37">
        <f>IF($AH145&lt;&gt;"선적 보류","","내부 에스컬레이션: 여신 한도 동결 제안(사람 승인)")</f>
        <v/>
      </c>
      <c r="AJ145" s="37">
        <f>IF($AB145="","",COUNTIFS(inv_buyer,$AB145,inv_alert,"통지 기한 임박*"))</f>
        <v/>
      </c>
      <c r="AK145" s="40">
        <f>IF($AB145="","",'10_LimitLP'!$F145)</f>
        <v/>
      </c>
      <c r="AL145" s="84">
        <f>IF(OR($AB145="",$AK145&lt;=0),"",$AE145/$AK145)</f>
        <v/>
      </c>
      <c r="AM145" s="37">
        <f>IF($AL145="","",IF($AL145&gt;=0.8,"사용률 80%↑ — 출고 전 사전승인(제18조)",""))</f>
        <v/>
      </c>
      <c r="AN145" s="37">
        <f>IF($AB145="","",IFERROR(IF(INDEX($AU$21:$AU$40,MATCH('02_Buyers'!$S142,$AS$21:$AS$40,0))="","",INDEX($AU$21:$AU$40,MATCH('02_Buyers'!$S142,$AS$21:$AS$40,0))),""))</f>
        <v/>
      </c>
      <c r="AO145" s="37">
        <f>IF($AB145="","",IFERROR(IF(INDEX($AV$21:$AV$40,MATCH('02_Buyers'!$S142,$AS$21:$AS$40,0))="","",INDEX($AV$21:$AV$40,MATCH('02_Buyers'!$S142,$AS$21:$AS$40,0))),""))</f>
        <v/>
      </c>
      <c r="AP145" s="37">
        <f>IF(OR($AB145="",$AN145="",$AO145=""),"",IF($AN145&gt;$AO145,"국가등급 하향 — 한도 재산정",""))</f>
        <v/>
      </c>
      <c r="AQ145" s="37">
        <f>IF($AH145="선적 보류",COUNTIF($AH$5:$AH145,"선적 보류"),"")</f>
        <v/>
      </c>
    </row>
    <row r="146">
      <c r="A146" t="inlineStr">
        <is>
          <t>INV-2609-0011</t>
        </is>
      </c>
      <c r="B146" t="inlineStr">
        <is>
          <t>B072</t>
        </is>
      </c>
      <c r="C146" t="inlineStr">
        <is>
          <t>DEU</t>
        </is>
      </c>
      <c r="D146" t="inlineStr">
        <is>
          <t>OA</t>
        </is>
      </c>
      <c r="E146" t="inlineStr">
        <is>
          <t>EUR</t>
        </is>
      </c>
      <c r="F146" t="inlineStr">
        <is>
          <t>N</t>
        </is>
      </c>
      <c r="G146" s="32" t="n">
        <v>46267</v>
      </c>
      <c r="H146" s="32" t="n">
        <v>46297</v>
      </c>
      <c r="I146" s="82" t="n">
        <v>8490</v>
      </c>
      <c r="J146" s="82" t="n">
        <v>9678.59</v>
      </c>
      <c r="K146" t="inlineStr">
        <is>
          <t>N</t>
        </is>
      </c>
      <c r="N146" t="inlineStr">
        <is>
          <t>N</t>
        </is>
      </c>
      <c r="O146" s="37">
        <f>IF($A146="","",AsOf-$H146)</f>
        <v/>
      </c>
      <c r="P146" s="37">
        <f>IF($A146="","",IF($K146="Y","-",IF($O146&gt;=30,"D+30 최종통지·선적보류",IF($O146&gt;=15,"D+15 단호한 통지",IF($O146&gt;=7,"D+7 친절한 리마인더",IF(AND($O146&gt;=-3,$O146&lt;=-1),"D-3 사전 안내","모니터링"))))))</f>
        <v/>
      </c>
      <c r="Q146" s="83">
        <f>IF($A146="","",EDATE($H146,1))</f>
        <v/>
      </c>
      <c r="R146" s="37">
        <f>IF($A146="","",$Q146-AsOf)</f>
        <v/>
      </c>
      <c r="S146" s="37">
        <f>IF($A146="","",IF(OR($K146="Y",$F146&lt;&gt;"Y",$O146&lt;=0),"",IF($R146&lt;0,"통지 기한 경과 — 즉시 확인",IF($R146&lt;=NoticeWarnDays,"통지 기한 임박 — 사람 결정",""))))</f>
        <v/>
      </c>
      <c r="T146" s="83">
        <f>IF(OR($A146="",$F146&lt;&gt;"Y"),"",IF(IF($L146="",InsuranceType,$L146)="포괄",DATE(YEAR($G146),MONTH($G146)+1,20),WORKDAY($G146,10)))</f>
        <v/>
      </c>
      <c r="U146" s="83">
        <f>IF(OR($A146="",$M146=""),"",WORKDAY($M146,10))</f>
        <v/>
      </c>
      <c r="V146" s="37">
        <f>IF($A146="","",IF($N146="Y","사기 의심: 콜백 검증 전 대금 안내 중단",""))</f>
        <v/>
      </c>
      <c r="W146" s="37">
        <f>IF($A146="","",IF(AND($K146="N",$D146&lt;&gt;"LC_SIGHT",$D146&lt;&gt;"LC_USANCE",$D146&lt;&gt;"TT_ADV"),$O146,""))</f>
        <v/>
      </c>
      <c r="X146" s="37">
        <f>IF($A146="",0,IF(AND($K146="N",$D146&lt;&gt;"LC_SIGHT",$D146&lt;&gt;"LC_USANCE",$D146&lt;&gt;"TT_ADV",$O146&gt;=30),1,0))</f>
        <v/>
      </c>
      <c r="Y146" s="37">
        <f>IF($A146="","",IF($O146&lt;=0,"미연체",IF($O146&lt;=30,"1-30",IF($O146&lt;=90,"31-90",IF($O146&lt;=180,"91-180",IF($O146&lt;=365,"181-365","365+"))))))</f>
        <v/>
      </c>
      <c r="Z146" s="37">
        <f>IF($S146="통지 기한 임박 — 사람 결정",COUNTIF($S$5:$S146,"통지 기한 임박 — 사람 결정"),"")</f>
        <v/>
      </c>
      <c r="AB146" s="37">
        <f>IF('02_Buyers'!$A143="","",'02_Buyers'!$A143)</f>
        <v/>
      </c>
      <c r="AC146" s="37">
        <f>IF($AB146="","",'02_Buyers'!$AH143)</f>
        <v/>
      </c>
      <c r="AD146" s="37">
        <f>IF($AB146="","",COUNTIFS(inv_buyer,$AB146,inv_paid,"N"))</f>
        <v/>
      </c>
      <c r="AE146" s="40">
        <f>IF($AB146="","",SUMIFS(inv_usd,inv_buyer,$AB146,inv_paid,"N"))</f>
        <v/>
      </c>
      <c r="AF146" s="37">
        <f>IF($AB146="","",_xlfn.MAXIFS(inv_nonlc_dpd,inv_buyer,$AB146))</f>
        <v/>
      </c>
      <c r="AG146" s="37">
        <f>IF($AB146="","",COUNTIFS(inv_buyer,$AB146,inv_hold30,1))</f>
        <v/>
      </c>
      <c r="AH146" s="37">
        <f>IF($AB146="","",IF(OR($AC146=1,$AG146&gt;0),"선적 보류",""))</f>
        <v/>
      </c>
      <c r="AI146" s="37">
        <f>IF($AH146&lt;&gt;"선적 보류","","내부 에스컬레이션: 여신 한도 동결 제안(사람 승인)")</f>
        <v/>
      </c>
      <c r="AJ146" s="37">
        <f>IF($AB146="","",COUNTIFS(inv_buyer,$AB146,inv_alert,"통지 기한 임박*"))</f>
        <v/>
      </c>
      <c r="AK146" s="40">
        <f>IF($AB146="","",'10_LimitLP'!$F146)</f>
        <v/>
      </c>
      <c r="AL146" s="84">
        <f>IF(OR($AB146="",$AK146&lt;=0),"",$AE146/$AK146)</f>
        <v/>
      </c>
      <c r="AM146" s="37">
        <f>IF($AL146="","",IF($AL146&gt;=0.8,"사용률 80%↑ — 출고 전 사전승인(제18조)",""))</f>
        <v/>
      </c>
      <c r="AN146" s="37">
        <f>IF($AB146="","",IFERROR(IF(INDEX($AU$21:$AU$40,MATCH('02_Buyers'!$S143,$AS$21:$AS$40,0))="","",INDEX($AU$21:$AU$40,MATCH('02_Buyers'!$S143,$AS$21:$AS$40,0))),""))</f>
        <v/>
      </c>
      <c r="AO146" s="37">
        <f>IF($AB146="","",IFERROR(IF(INDEX($AV$21:$AV$40,MATCH('02_Buyers'!$S143,$AS$21:$AS$40,0))="","",INDEX($AV$21:$AV$40,MATCH('02_Buyers'!$S143,$AS$21:$AS$40,0))),""))</f>
        <v/>
      </c>
      <c r="AP146" s="37">
        <f>IF(OR($AB146="",$AN146="",$AO146=""),"",IF($AN146&gt;$AO146,"국가등급 하향 — 한도 재산정",""))</f>
        <v/>
      </c>
      <c r="AQ146" s="37">
        <f>IF($AH146="선적 보류",COUNTIF($AH$5:$AH146,"선적 보류"),"")</f>
        <v/>
      </c>
    </row>
    <row r="147">
      <c r="A147" t="inlineStr">
        <is>
          <t>INV-2608-0054</t>
        </is>
      </c>
      <c r="B147" t="inlineStr">
        <is>
          <t>B073</t>
        </is>
      </c>
      <c r="C147" t="inlineStr">
        <is>
          <t>BRA</t>
        </is>
      </c>
      <c r="D147" t="inlineStr">
        <is>
          <t>OA</t>
        </is>
      </c>
      <c r="E147" t="inlineStr">
        <is>
          <t>USD</t>
        </is>
      </c>
      <c r="F147" t="inlineStr">
        <is>
          <t>N</t>
        </is>
      </c>
      <c r="G147" s="32" t="n">
        <v>46246</v>
      </c>
      <c r="H147" s="32" t="n">
        <v>46276</v>
      </c>
      <c r="I147" s="82" t="n">
        <v>48270</v>
      </c>
      <c r="J147" s="82" t="n">
        <v>48270</v>
      </c>
      <c r="K147" t="inlineStr">
        <is>
          <t>N</t>
        </is>
      </c>
      <c r="N147" t="inlineStr">
        <is>
          <t>N</t>
        </is>
      </c>
      <c r="O147" s="37">
        <f>IF($A147="","",AsOf-$H147)</f>
        <v/>
      </c>
      <c r="P147" s="37">
        <f>IF($A147="","",IF($K147="Y","-",IF($O147&gt;=30,"D+30 최종통지·선적보류",IF($O147&gt;=15,"D+15 단호한 통지",IF($O147&gt;=7,"D+7 친절한 리마인더",IF(AND($O147&gt;=-3,$O147&lt;=-1),"D-3 사전 안내","모니터링"))))))</f>
        <v/>
      </c>
      <c r="Q147" s="83">
        <f>IF($A147="","",EDATE($H147,1))</f>
        <v/>
      </c>
      <c r="R147" s="37">
        <f>IF($A147="","",$Q147-AsOf)</f>
        <v/>
      </c>
      <c r="S147" s="37">
        <f>IF($A147="","",IF(OR($K147="Y",$F147&lt;&gt;"Y",$O147&lt;=0),"",IF($R147&lt;0,"통지 기한 경과 — 즉시 확인",IF($R147&lt;=NoticeWarnDays,"통지 기한 임박 — 사람 결정",""))))</f>
        <v/>
      </c>
      <c r="T147" s="83">
        <f>IF(OR($A147="",$F147&lt;&gt;"Y"),"",IF(IF($L147="",InsuranceType,$L147)="포괄",DATE(YEAR($G147),MONTH($G147)+1,20),WORKDAY($G147,10)))</f>
        <v/>
      </c>
      <c r="U147" s="83">
        <f>IF(OR($A147="",$M147=""),"",WORKDAY($M147,10))</f>
        <v/>
      </c>
      <c r="V147" s="37">
        <f>IF($A147="","",IF($N147="Y","사기 의심: 콜백 검증 전 대금 안내 중단",""))</f>
        <v/>
      </c>
      <c r="W147" s="37">
        <f>IF($A147="","",IF(AND($K147="N",$D147&lt;&gt;"LC_SIGHT",$D147&lt;&gt;"LC_USANCE",$D147&lt;&gt;"TT_ADV"),$O147,""))</f>
        <v/>
      </c>
      <c r="X147" s="37">
        <f>IF($A147="",0,IF(AND($K147="N",$D147&lt;&gt;"LC_SIGHT",$D147&lt;&gt;"LC_USANCE",$D147&lt;&gt;"TT_ADV",$O147&gt;=30),1,0))</f>
        <v/>
      </c>
      <c r="Y147" s="37">
        <f>IF($A147="","",IF($O147&lt;=0,"미연체",IF($O147&lt;=30,"1-30",IF($O147&lt;=90,"31-90",IF($O147&lt;=180,"91-180",IF($O147&lt;=365,"181-365","365+"))))))</f>
        <v/>
      </c>
      <c r="Z147" s="37">
        <f>IF($S147="통지 기한 임박 — 사람 결정",COUNTIF($S$5:$S147,"통지 기한 임박 — 사람 결정"),"")</f>
        <v/>
      </c>
      <c r="AB147" s="37">
        <f>IF('02_Buyers'!$A144="","",'02_Buyers'!$A144)</f>
        <v/>
      </c>
      <c r="AC147" s="37">
        <f>IF($AB147="","",'02_Buyers'!$AH144)</f>
        <v/>
      </c>
      <c r="AD147" s="37">
        <f>IF($AB147="","",COUNTIFS(inv_buyer,$AB147,inv_paid,"N"))</f>
        <v/>
      </c>
      <c r="AE147" s="40">
        <f>IF($AB147="","",SUMIFS(inv_usd,inv_buyer,$AB147,inv_paid,"N"))</f>
        <v/>
      </c>
      <c r="AF147" s="37">
        <f>IF($AB147="","",_xlfn.MAXIFS(inv_nonlc_dpd,inv_buyer,$AB147))</f>
        <v/>
      </c>
      <c r="AG147" s="37">
        <f>IF($AB147="","",COUNTIFS(inv_buyer,$AB147,inv_hold30,1))</f>
        <v/>
      </c>
      <c r="AH147" s="37">
        <f>IF($AB147="","",IF(OR($AC147=1,$AG147&gt;0),"선적 보류",""))</f>
        <v/>
      </c>
      <c r="AI147" s="37">
        <f>IF($AH147&lt;&gt;"선적 보류","","내부 에스컬레이션: 여신 한도 동결 제안(사람 승인)")</f>
        <v/>
      </c>
      <c r="AJ147" s="37">
        <f>IF($AB147="","",COUNTIFS(inv_buyer,$AB147,inv_alert,"통지 기한 임박*"))</f>
        <v/>
      </c>
      <c r="AK147" s="40">
        <f>IF($AB147="","",'10_LimitLP'!$F147)</f>
        <v/>
      </c>
      <c r="AL147" s="84">
        <f>IF(OR($AB147="",$AK147&lt;=0),"",$AE147/$AK147)</f>
        <v/>
      </c>
      <c r="AM147" s="37">
        <f>IF($AL147="","",IF($AL147&gt;=0.8,"사용률 80%↑ — 출고 전 사전승인(제18조)",""))</f>
        <v/>
      </c>
      <c r="AN147" s="37">
        <f>IF($AB147="","",IFERROR(IF(INDEX($AU$21:$AU$40,MATCH('02_Buyers'!$S144,$AS$21:$AS$40,0))="","",INDEX($AU$21:$AU$40,MATCH('02_Buyers'!$S144,$AS$21:$AS$40,0))),""))</f>
        <v/>
      </c>
      <c r="AO147" s="37">
        <f>IF($AB147="","",IFERROR(IF(INDEX($AV$21:$AV$40,MATCH('02_Buyers'!$S144,$AS$21:$AS$40,0))="","",INDEX($AV$21:$AV$40,MATCH('02_Buyers'!$S144,$AS$21:$AS$40,0))),""))</f>
        <v/>
      </c>
      <c r="AP147" s="37">
        <f>IF(OR($AB147="",$AN147="",$AO147=""),"",IF($AN147&gt;$AO147,"국가등급 하향 — 한도 재산정",""))</f>
        <v/>
      </c>
      <c r="AQ147" s="37">
        <f>IF($AH147="선적 보류",COUNTIF($AH$5:$AH147,"선적 보류"),"")</f>
        <v/>
      </c>
    </row>
    <row r="148">
      <c r="A148" t="inlineStr">
        <is>
          <t>INV-2605-0022</t>
        </is>
      </c>
      <c r="B148" t="inlineStr">
        <is>
          <t>B075</t>
        </is>
      </c>
      <c r="C148" t="inlineStr">
        <is>
          <t>DEU</t>
        </is>
      </c>
      <c r="D148" t="inlineStr">
        <is>
          <t>OA</t>
        </is>
      </c>
      <c r="E148" t="inlineStr">
        <is>
          <t>EUR</t>
        </is>
      </c>
      <c r="F148" t="inlineStr">
        <is>
          <t>Y</t>
        </is>
      </c>
      <c r="G148" s="32" t="n">
        <v>46146</v>
      </c>
      <c r="H148" s="32" t="n">
        <v>46206</v>
      </c>
      <c r="I148" s="82" t="n">
        <v>4710</v>
      </c>
      <c r="J148" s="82" t="n">
        <v>5369.4</v>
      </c>
      <c r="K148" t="inlineStr">
        <is>
          <t>N</t>
        </is>
      </c>
      <c r="L148" t="inlineStr">
        <is>
          <t>개별</t>
        </is>
      </c>
      <c r="N148" t="inlineStr">
        <is>
          <t>N</t>
        </is>
      </c>
      <c r="O148" s="37">
        <f>IF($A148="","",AsOf-$H148)</f>
        <v/>
      </c>
      <c r="P148" s="37">
        <f>IF($A148="","",IF($K148="Y","-",IF($O148&gt;=30,"D+30 최종통지·선적보류",IF($O148&gt;=15,"D+15 단호한 통지",IF($O148&gt;=7,"D+7 친절한 리마인더",IF(AND($O148&gt;=-3,$O148&lt;=-1),"D-3 사전 안내","모니터링"))))))</f>
        <v/>
      </c>
      <c r="Q148" s="83">
        <f>IF($A148="","",EDATE($H148,1))</f>
        <v/>
      </c>
      <c r="R148" s="37">
        <f>IF($A148="","",$Q148-AsOf)</f>
        <v/>
      </c>
      <c r="S148" s="37">
        <f>IF($A148="","",IF(OR($K148="Y",$F148&lt;&gt;"Y",$O148&lt;=0),"",IF($R148&lt;0,"통지 기한 경과 — 즉시 확인",IF($R148&lt;=NoticeWarnDays,"통지 기한 임박 — 사람 결정",""))))</f>
        <v/>
      </c>
      <c r="T148" s="83">
        <f>IF(OR($A148="",$F148&lt;&gt;"Y"),"",IF(IF($L148="",InsuranceType,$L148)="포괄",DATE(YEAR($G148),MONTH($G148)+1,20),WORKDAY($G148,10)))</f>
        <v/>
      </c>
      <c r="U148" s="83">
        <f>IF(OR($A148="",$M148=""),"",WORKDAY($M148,10))</f>
        <v/>
      </c>
      <c r="V148" s="37">
        <f>IF($A148="","",IF($N148="Y","사기 의심: 콜백 검증 전 대금 안내 중단",""))</f>
        <v/>
      </c>
      <c r="W148" s="37">
        <f>IF($A148="","",IF(AND($K148="N",$D148&lt;&gt;"LC_SIGHT",$D148&lt;&gt;"LC_USANCE",$D148&lt;&gt;"TT_ADV"),$O148,""))</f>
        <v/>
      </c>
      <c r="X148" s="37">
        <f>IF($A148="",0,IF(AND($K148="N",$D148&lt;&gt;"LC_SIGHT",$D148&lt;&gt;"LC_USANCE",$D148&lt;&gt;"TT_ADV",$O148&gt;=30),1,0))</f>
        <v/>
      </c>
      <c r="Y148" s="37">
        <f>IF($A148="","",IF($O148&lt;=0,"미연체",IF($O148&lt;=30,"1-30",IF($O148&lt;=90,"31-90",IF($O148&lt;=180,"91-180",IF($O148&lt;=365,"181-365","365+"))))))</f>
        <v/>
      </c>
      <c r="Z148" s="37">
        <f>IF($S148="통지 기한 임박 — 사람 결정",COUNTIF($S$5:$S148,"통지 기한 임박 — 사람 결정"),"")</f>
        <v/>
      </c>
      <c r="AB148" s="37">
        <f>IF('02_Buyers'!$A145="","",'02_Buyers'!$A145)</f>
        <v/>
      </c>
      <c r="AC148" s="37">
        <f>IF($AB148="","",'02_Buyers'!$AH145)</f>
        <v/>
      </c>
      <c r="AD148" s="37">
        <f>IF($AB148="","",COUNTIFS(inv_buyer,$AB148,inv_paid,"N"))</f>
        <v/>
      </c>
      <c r="AE148" s="40">
        <f>IF($AB148="","",SUMIFS(inv_usd,inv_buyer,$AB148,inv_paid,"N"))</f>
        <v/>
      </c>
      <c r="AF148" s="37">
        <f>IF($AB148="","",_xlfn.MAXIFS(inv_nonlc_dpd,inv_buyer,$AB148))</f>
        <v/>
      </c>
      <c r="AG148" s="37">
        <f>IF($AB148="","",COUNTIFS(inv_buyer,$AB148,inv_hold30,1))</f>
        <v/>
      </c>
      <c r="AH148" s="37">
        <f>IF($AB148="","",IF(OR($AC148=1,$AG148&gt;0),"선적 보류",""))</f>
        <v/>
      </c>
      <c r="AI148" s="37">
        <f>IF($AH148&lt;&gt;"선적 보류","","내부 에스컬레이션: 여신 한도 동결 제안(사람 승인)")</f>
        <v/>
      </c>
      <c r="AJ148" s="37">
        <f>IF($AB148="","",COUNTIFS(inv_buyer,$AB148,inv_alert,"통지 기한 임박*"))</f>
        <v/>
      </c>
      <c r="AK148" s="40">
        <f>IF($AB148="","",'10_LimitLP'!$F148)</f>
        <v/>
      </c>
      <c r="AL148" s="84">
        <f>IF(OR($AB148="",$AK148&lt;=0),"",$AE148/$AK148)</f>
        <v/>
      </c>
      <c r="AM148" s="37">
        <f>IF($AL148="","",IF($AL148&gt;=0.8,"사용률 80%↑ — 출고 전 사전승인(제18조)",""))</f>
        <v/>
      </c>
      <c r="AN148" s="37">
        <f>IF($AB148="","",IFERROR(IF(INDEX($AU$21:$AU$40,MATCH('02_Buyers'!$S145,$AS$21:$AS$40,0))="","",INDEX($AU$21:$AU$40,MATCH('02_Buyers'!$S145,$AS$21:$AS$40,0))),""))</f>
        <v/>
      </c>
      <c r="AO148" s="37">
        <f>IF($AB148="","",IFERROR(IF(INDEX($AV$21:$AV$40,MATCH('02_Buyers'!$S145,$AS$21:$AS$40,0))="","",INDEX($AV$21:$AV$40,MATCH('02_Buyers'!$S145,$AS$21:$AS$40,0))),""))</f>
        <v/>
      </c>
      <c r="AP148" s="37">
        <f>IF(OR($AB148="",$AN148="",$AO148=""),"",IF($AN148&gt;$AO148,"국가등급 하향 — 한도 재산정",""))</f>
        <v/>
      </c>
      <c r="AQ148" s="37">
        <f>IF($AH148="선적 보류",COUNTIF($AH$5:$AH148,"선적 보류"),"")</f>
        <v/>
      </c>
    </row>
    <row r="149">
      <c r="A149" t="inlineStr">
        <is>
          <t>INV-2609-0106</t>
        </is>
      </c>
      <c r="B149" t="inlineStr">
        <is>
          <t>B078</t>
        </is>
      </c>
      <c r="C149" t="inlineStr">
        <is>
          <t>VNM</t>
        </is>
      </c>
      <c r="D149" t="inlineStr">
        <is>
          <t>TT_SPLIT_30_70</t>
        </is>
      </c>
      <c r="E149" t="inlineStr">
        <is>
          <t>USD</t>
        </is>
      </c>
      <c r="F149" t="inlineStr">
        <is>
          <t>N</t>
        </is>
      </c>
      <c r="G149" s="32" t="n">
        <v>46285</v>
      </c>
      <c r="H149" s="32" t="n">
        <v>46315</v>
      </c>
      <c r="I149" s="82" t="n">
        <v>2933</v>
      </c>
      <c r="J149" s="82" t="n">
        <v>2933</v>
      </c>
      <c r="K149" t="inlineStr">
        <is>
          <t>N</t>
        </is>
      </c>
      <c r="N149" t="inlineStr">
        <is>
          <t>N</t>
        </is>
      </c>
      <c r="O149" s="37">
        <f>IF($A149="","",AsOf-$H149)</f>
        <v/>
      </c>
      <c r="P149" s="37">
        <f>IF($A149="","",IF($K149="Y","-",IF($O149&gt;=30,"D+30 최종통지·선적보류",IF($O149&gt;=15,"D+15 단호한 통지",IF($O149&gt;=7,"D+7 친절한 리마인더",IF(AND($O149&gt;=-3,$O149&lt;=-1),"D-3 사전 안내","모니터링"))))))</f>
        <v/>
      </c>
      <c r="Q149" s="83">
        <f>IF($A149="","",EDATE($H149,1))</f>
        <v/>
      </c>
      <c r="R149" s="37">
        <f>IF($A149="","",$Q149-AsOf)</f>
        <v/>
      </c>
      <c r="S149" s="37">
        <f>IF($A149="","",IF(OR($K149="Y",$F149&lt;&gt;"Y",$O149&lt;=0),"",IF($R149&lt;0,"통지 기한 경과 — 즉시 확인",IF($R149&lt;=NoticeWarnDays,"통지 기한 임박 — 사람 결정",""))))</f>
        <v/>
      </c>
      <c r="T149" s="83">
        <f>IF(OR($A149="",$F149&lt;&gt;"Y"),"",IF(IF($L149="",InsuranceType,$L149)="포괄",DATE(YEAR($G149),MONTH($G149)+1,20),WORKDAY($G149,10)))</f>
        <v/>
      </c>
      <c r="U149" s="83">
        <f>IF(OR($A149="",$M149=""),"",WORKDAY($M149,10))</f>
        <v/>
      </c>
      <c r="V149" s="37">
        <f>IF($A149="","",IF($N149="Y","사기 의심: 콜백 검증 전 대금 안내 중단",""))</f>
        <v/>
      </c>
      <c r="W149" s="37">
        <f>IF($A149="","",IF(AND($K149="N",$D149&lt;&gt;"LC_SIGHT",$D149&lt;&gt;"LC_USANCE",$D149&lt;&gt;"TT_ADV"),$O149,""))</f>
        <v/>
      </c>
      <c r="X149" s="37">
        <f>IF($A149="",0,IF(AND($K149="N",$D149&lt;&gt;"LC_SIGHT",$D149&lt;&gt;"LC_USANCE",$D149&lt;&gt;"TT_ADV",$O149&gt;=30),1,0))</f>
        <v/>
      </c>
      <c r="Y149" s="37">
        <f>IF($A149="","",IF($O149&lt;=0,"미연체",IF($O149&lt;=30,"1-30",IF($O149&lt;=90,"31-90",IF($O149&lt;=180,"91-180",IF($O149&lt;=365,"181-365","365+"))))))</f>
        <v/>
      </c>
      <c r="Z149" s="37">
        <f>IF($S149="통지 기한 임박 — 사람 결정",COUNTIF($S$5:$S149,"통지 기한 임박 — 사람 결정"),"")</f>
        <v/>
      </c>
      <c r="AB149" s="37">
        <f>IF('02_Buyers'!$A146="","",'02_Buyers'!$A146)</f>
        <v/>
      </c>
      <c r="AC149" s="37">
        <f>IF($AB149="","",'02_Buyers'!$AH146)</f>
        <v/>
      </c>
      <c r="AD149" s="37">
        <f>IF($AB149="","",COUNTIFS(inv_buyer,$AB149,inv_paid,"N"))</f>
        <v/>
      </c>
      <c r="AE149" s="40">
        <f>IF($AB149="","",SUMIFS(inv_usd,inv_buyer,$AB149,inv_paid,"N"))</f>
        <v/>
      </c>
      <c r="AF149" s="37">
        <f>IF($AB149="","",_xlfn.MAXIFS(inv_nonlc_dpd,inv_buyer,$AB149))</f>
        <v/>
      </c>
      <c r="AG149" s="37">
        <f>IF($AB149="","",COUNTIFS(inv_buyer,$AB149,inv_hold30,1))</f>
        <v/>
      </c>
      <c r="AH149" s="37">
        <f>IF($AB149="","",IF(OR($AC149=1,$AG149&gt;0),"선적 보류",""))</f>
        <v/>
      </c>
      <c r="AI149" s="37">
        <f>IF($AH149&lt;&gt;"선적 보류","","내부 에스컬레이션: 여신 한도 동결 제안(사람 승인)")</f>
        <v/>
      </c>
      <c r="AJ149" s="37">
        <f>IF($AB149="","",COUNTIFS(inv_buyer,$AB149,inv_alert,"통지 기한 임박*"))</f>
        <v/>
      </c>
      <c r="AK149" s="40">
        <f>IF($AB149="","",'10_LimitLP'!$F149)</f>
        <v/>
      </c>
      <c r="AL149" s="84">
        <f>IF(OR($AB149="",$AK149&lt;=0),"",$AE149/$AK149)</f>
        <v/>
      </c>
      <c r="AM149" s="37">
        <f>IF($AL149="","",IF($AL149&gt;=0.8,"사용률 80%↑ — 출고 전 사전승인(제18조)",""))</f>
        <v/>
      </c>
      <c r="AN149" s="37">
        <f>IF($AB149="","",IFERROR(IF(INDEX($AU$21:$AU$40,MATCH('02_Buyers'!$S146,$AS$21:$AS$40,0))="","",INDEX($AU$21:$AU$40,MATCH('02_Buyers'!$S146,$AS$21:$AS$40,0))),""))</f>
        <v/>
      </c>
      <c r="AO149" s="37">
        <f>IF($AB149="","",IFERROR(IF(INDEX($AV$21:$AV$40,MATCH('02_Buyers'!$S146,$AS$21:$AS$40,0))="","",INDEX($AV$21:$AV$40,MATCH('02_Buyers'!$S146,$AS$21:$AS$40,0))),""))</f>
        <v/>
      </c>
      <c r="AP149" s="37">
        <f>IF(OR($AB149="",$AN149="",$AO149=""),"",IF($AN149&gt;$AO149,"국가등급 하향 — 한도 재산정",""))</f>
        <v/>
      </c>
      <c r="AQ149" s="37">
        <f>IF($AH149="선적 보류",COUNTIF($AH$5:$AH149,"선적 보류"),"")</f>
        <v/>
      </c>
    </row>
    <row r="150">
      <c r="A150" t="inlineStr">
        <is>
          <t>INV-2609-0156</t>
        </is>
      </c>
      <c r="B150" t="inlineStr">
        <is>
          <t>B078</t>
        </is>
      </c>
      <c r="C150" t="inlineStr">
        <is>
          <t>VNM</t>
        </is>
      </c>
      <c r="D150" t="inlineStr">
        <is>
          <t>TT_SPLIT_30_70</t>
        </is>
      </c>
      <c r="E150" t="inlineStr">
        <is>
          <t>USD</t>
        </is>
      </c>
      <c r="F150" t="inlineStr">
        <is>
          <t>N</t>
        </is>
      </c>
      <c r="G150" s="32" t="n">
        <v>46294</v>
      </c>
      <c r="H150" s="32" t="n">
        <v>46324</v>
      </c>
      <c r="I150" s="82" t="n">
        <v>4949</v>
      </c>
      <c r="J150" s="82" t="n">
        <v>4949</v>
      </c>
      <c r="K150" t="inlineStr">
        <is>
          <t>N</t>
        </is>
      </c>
      <c r="N150" t="inlineStr">
        <is>
          <t>N</t>
        </is>
      </c>
      <c r="O150" s="37">
        <f>IF($A150="","",AsOf-$H150)</f>
        <v/>
      </c>
      <c r="P150" s="37">
        <f>IF($A150="","",IF($K150="Y","-",IF($O150&gt;=30,"D+30 최종통지·선적보류",IF($O150&gt;=15,"D+15 단호한 통지",IF($O150&gt;=7,"D+7 친절한 리마인더",IF(AND($O150&gt;=-3,$O150&lt;=-1),"D-3 사전 안내","모니터링"))))))</f>
        <v/>
      </c>
      <c r="Q150" s="83">
        <f>IF($A150="","",EDATE($H150,1))</f>
        <v/>
      </c>
      <c r="R150" s="37">
        <f>IF($A150="","",$Q150-AsOf)</f>
        <v/>
      </c>
      <c r="S150" s="37">
        <f>IF($A150="","",IF(OR($K150="Y",$F150&lt;&gt;"Y",$O150&lt;=0),"",IF($R150&lt;0,"통지 기한 경과 — 즉시 확인",IF($R150&lt;=NoticeWarnDays,"통지 기한 임박 — 사람 결정",""))))</f>
        <v/>
      </c>
      <c r="T150" s="83">
        <f>IF(OR($A150="",$F150&lt;&gt;"Y"),"",IF(IF($L150="",InsuranceType,$L150)="포괄",DATE(YEAR($G150),MONTH($G150)+1,20),WORKDAY($G150,10)))</f>
        <v/>
      </c>
      <c r="U150" s="83">
        <f>IF(OR($A150="",$M150=""),"",WORKDAY($M150,10))</f>
        <v/>
      </c>
      <c r="V150" s="37">
        <f>IF($A150="","",IF($N150="Y","사기 의심: 콜백 검증 전 대금 안내 중단",""))</f>
        <v/>
      </c>
      <c r="W150" s="37">
        <f>IF($A150="","",IF(AND($K150="N",$D150&lt;&gt;"LC_SIGHT",$D150&lt;&gt;"LC_USANCE",$D150&lt;&gt;"TT_ADV"),$O150,""))</f>
        <v/>
      </c>
      <c r="X150" s="37">
        <f>IF($A150="",0,IF(AND($K150="N",$D150&lt;&gt;"LC_SIGHT",$D150&lt;&gt;"LC_USANCE",$D150&lt;&gt;"TT_ADV",$O150&gt;=30),1,0))</f>
        <v/>
      </c>
      <c r="Y150" s="37">
        <f>IF($A150="","",IF($O150&lt;=0,"미연체",IF($O150&lt;=30,"1-30",IF($O150&lt;=90,"31-90",IF($O150&lt;=180,"91-180",IF($O150&lt;=365,"181-365","365+"))))))</f>
        <v/>
      </c>
      <c r="Z150" s="37">
        <f>IF($S150="통지 기한 임박 — 사람 결정",COUNTIF($S$5:$S150,"통지 기한 임박 — 사람 결정"),"")</f>
        <v/>
      </c>
      <c r="AB150" s="37">
        <f>IF('02_Buyers'!$A147="","",'02_Buyers'!$A147)</f>
        <v/>
      </c>
      <c r="AC150" s="37">
        <f>IF($AB150="","",'02_Buyers'!$AH147)</f>
        <v/>
      </c>
      <c r="AD150" s="37">
        <f>IF($AB150="","",COUNTIFS(inv_buyer,$AB150,inv_paid,"N"))</f>
        <v/>
      </c>
      <c r="AE150" s="40">
        <f>IF($AB150="","",SUMIFS(inv_usd,inv_buyer,$AB150,inv_paid,"N"))</f>
        <v/>
      </c>
      <c r="AF150" s="37">
        <f>IF($AB150="","",_xlfn.MAXIFS(inv_nonlc_dpd,inv_buyer,$AB150))</f>
        <v/>
      </c>
      <c r="AG150" s="37">
        <f>IF($AB150="","",COUNTIFS(inv_buyer,$AB150,inv_hold30,1))</f>
        <v/>
      </c>
      <c r="AH150" s="37">
        <f>IF($AB150="","",IF(OR($AC150=1,$AG150&gt;0),"선적 보류",""))</f>
        <v/>
      </c>
      <c r="AI150" s="37">
        <f>IF($AH150&lt;&gt;"선적 보류","","내부 에스컬레이션: 여신 한도 동결 제안(사람 승인)")</f>
        <v/>
      </c>
      <c r="AJ150" s="37">
        <f>IF($AB150="","",COUNTIFS(inv_buyer,$AB150,inv_alert,"통지 기한 임박*"))</f>
        <v/>
      </c>
      <c r="AK150" s="40">
        <f>IF($AB150="","",'10_LimitLP'!$F150)</f>
        <v/>
      </c>
      <c r="AL150" s="84">
        <f>IF(OR($AB150="",$AK150&lt;=0),"",$AE150/$AK150)</f>
        <v/>
      </c>
      <c r="AM150" s="37">
        <f>IF($AL150="","",IF($AL150&gt;=0.8,"사용률 80%↑ — 출고 전 사전승인(제18조)",""))</f>
        <v/>
      </c>
      <c r="AN150" s="37">
        <f>IF($AB150="","",IFERROR(IF(INDEX($AU$21:$AU$40,MATCH('02_Buyers'!$S147,$AS$21:$AS$40,0))="","",INDEX($AU$21:$AU$40,MATCH('02_Buyers'!$S147,$AS$21:$AS$40,0))),""))</f>
        <v/>
      </c>
      <c r="AO150" s="37">
        <f>IF($AB150="","",IFERROR(IF(INDEX($AV$21:$AV$40,MATCH('02_Buyers'!$S147,$AS$21:$AS$40,0))="","",INDEX($AV$21:$AV$40,MATCH('02_Buyers'!$S147,$AS$21:$AS$40,0))),""))</f>
        <v/>
      </c>
      <c r="AP150" s="37">
        <f>IF(OR($AB150="",$AN150="",$AO150=""),"",IF($AN150&gt;$AO150,"국가등급 하향 — 한도 재산정",""))</f>
        <v/>
      </c>
      <c r="AQ150" s="37">
        <f>IF($AH150="선적 보류",COUNTIF($AH$5:$AH150,"선적 보류"),"")</f>
        <v/>
      </c>
    </row>
    <row r="151">
      <c r="A151" t="inlineStr">
        <is>
          <t>INV-2608-0035</t>
        </is>
      </c>
      <c r="B151" t="inlineStr">
        <is>
          <t>B079</t>
        </is>
      </c>
      <c r="C151" t="inlineStr">
        <is>
          <t>JPN</t>
        </is>
      </c>
      <c r="D151" t="inlineStr">
        <is>
          <t>OA</t>
        </is>
      </c>
      <c r="E151" t="inlineStr">
        <is>
          <t>JPY</t>
        </is>
      </c>
      <c r="F151" t="inlineStr">
        <is>
          <t>Y</t>
        </is>
      </c>
      <c r="G151" s="32" t="n">
        <v>46242</v>
      </c>
      <c r="H151" s="32" t="n">
        <v>46302</v>
      </c>
      <c r="I151" s="82" t="n">
        <v>971000</v>
      </c>
      <c r="J151" s="82" t="n">
        <v>6177.63</v>
      </c>
      <c r="K151" t="inlineStr">
        <is>
          <t>N</t>
        </is>
      </c>
      <c r="L151" t="inlineStr">
        <is>
          <t>개별</t>
        </is>
      </c>
      <c r="N151" t="inlineStr">
        <is>
          <t>N</t>
        </is>
      </c>
      <c r="O151" s="37">
        <f>IF($A151="","",AsOf-$H151)</f>
        <v/>
      </c>
      <c r="P151" s="37">
        <f>IF($A151="","",IF($K151="Y","-",IF($O151&gt;=30,"D+30 최종통지·선적보류",IF($O151&gt;=15,"D+15 단호한 통지",IF($O151&gt;=7,"D+7 친절한 리마인더",IF(AND($O151&gt;=-3,$O151&lt;=-1),"D-3 사전 안내","모니터링"))))))</f>
        <v/>
      </c>
      <c r="Q151" s="83">
        <f>IF($A151="","",EDATE($H151,1))</f>
        <v/>
      </c>
      <c r="R151" s="37">
        <f>IF($A151="","",$Q151-AsOf)</f>
        <v/>
      </c>
      <c r="S151" s="37">
        <f>IF($A151="","",IF(OR($K151="Y",$F151&lt;&gt;"Y",$O151&lt;=0),"",IF($R151&lt;0,"통지 기한 경과 — 즉시 확인",IF($R151&lt;=NoticeWarnDays,"통지 기한 임박 — 사람 결정",""))))</f>
        <v/>
      </c>
      <c r="T151" s="83">
        <f>IF(OR($A151="",$F151&lt;&gt;"Y"),"",IF(IF($L151="",InsuranceType,$L151)="포괄",DATE(YEAR($G151),MONTH($G151)+1,20),WORKDAY($G151,10)))</f>
        <v/>
      </c>
      <c r="U151" s="83">
        <f>IF(OR($A151="",$M151=""),"",WORKDAY($M151,10))</f>
        <v/>
      </c>
      <c r="V151" s="37">
        <f>IF($A151="","",IF($N151="Y","사기 의심: 콜백 검증 전 대금 안내 중단",""))</f>
        <v/>
      </c>
      <c r="W151" s="37">
        <f>IF($A151="","",IF(AND($K151="N",$D151&lt;&gt;"LC_SIGHT",$D151&lt;&gt;"LC_USANCE",$D151&lt;&gt;"TT_ADV"),$O151,""))</f>
        <v/>
      </c>
      <c r="X151" s="37">
        <f>IF($A151="",0,IF(AND($K151="N",$D151&lt;&gt;"LC_SIGHT",$D151&lt;&gt;"LC_USANCE",$D151&lt;&gt;"TT_ADV",$O151&gt;=30),1,0))</f>
        <v/>
      </c>
      <c r="Y151" s="37">
        <f>IF($A151="","",IF($O151&lt;=0,"미연체",IF($O151&lt;=30,"1-30",IF($O151&lt;=90,"31-90",IF($O151&lt;=180,"91-180",IF($O151&lt;=365,"181-365","365+"))))))</f>
        <v/>
      </c>
      <c r="Z151" s="37">
        <f>IF($S151="통지 기한 임박 — 사람 결정",COUNTIF($S$5:$S151,"통지 기한 임박 — 사람 결정"),"")</f>
        <v/>
      </c>
      <c r="AB151" s="37">
        <f>IF('02_Buyers'!$A148="","",'02_Buyers'!$A148)</f>
        <v/>
      </c>
      <c r="AC151" s="37">
        <f>IF($AB151="","",'02_Buyers'!$AH148)</f>
        <v/>
      </c>
      <c r="AD151" s="37">
        <f>IF($AB151="","",COUNTIFS(inv_buyer,$AB151,inv_paid,"N"))</f>
        <v/>
      </c>
      <c r="AE151" s="40">
        <f>IF($AB151="","",SUMIFS(inv_usd,inv_buyer,$AB151,inv_paid,"N"))</f>
        <v/>
      </c>
      <c r="AF151" s="37">
        <f>IF($AB151="","",_xlfn.MAXIFS(inv_nonlc_dpd,inv_buyer,$AB151))</f>
        <v/>
      </c>
      <c r="AG151" s="37">
        <f>IF($AB151="","",COUNTIFS(inv_buyer,$AB151,inv_hold30,1))</f>
        <v/>
      </c>
      <c r="AH151" s="37">
        <f>IF($AB151="","",IF(OR($AC151=1,$AG151&gt;0),"선적 보류",""))</f>
        <v/>
      </c>
      <c r="AI151" s="37">
        <f>IF($AH151&lt;&gt;"선적 보류","","내부 에스컬레이션: 여신 한도 동결 제안(사람 승인)")</f>
        <v/>
      </c>
      <c r="AJ151" s="37">
        <f>IF($AB151="","",COUNTIFS(inv_buyer,$AB151,inv_alert,"통지 기한 임박*"))</f>
        <v/>
      </c>
      <c r="AK151" s="40">
        <f>IF($AB151="","",'10_LimitLP'!$F151)</f>
        <v/>
      </c>
      <c r="AL151" s="84">
        <f>IF(OR($AB151="",$AK151&lt;=0),"",$AE151/$AK151)</f>
        <v/>
      </c>
      <c r="AM151" s="37">
        <f>IF($AL151="","",IF($AL151&gt;=0.8,"사용률 80%↑ — 출고 전 사전승인(제18조)",""))</f>
        <v/>
      </c>
      <c r="AN151" s="37">
        <f>IF($AB151="","",IFERROR(IF(INDEX($AU$21:$AU$40,MATCH('02_Buyers'!$S148,$AS$21:$AS$40,0))="","",INDEX($AU$21:$AU$40,MATCH('02_Buyers'!$S148,$AS$21:$AS$40,0))),""))</f>
        <v/>
      </c>
      <c r="AO151" s="37">
        <f>IF($AB151="","",IFERROR(IF(INDEX($AV$21:$AV$40,MATCH('02_Buyers'!$S148,$AS$21:$AS$40,0))="","",INDEX($AV$21:$AV$40,MATCH('02_Buyers'!$S148,$AS$21:$AS$40,0))),""))</f>
        <v/>
      </c>
      <c r="AP151" s="37">
        <f>IF(OR($AB151="",$AN151="",$AO151=""),"",IF($AN151&gt;$AO151,"국가등급 하향 — 한도 재산정",""))</f>
        <v/>
      </c>
      <c r="AQ151" s="37">
        <f>IF($AH151="선적 보류",COUNTIF($AH$5:$AH151,"선적 보류"),"")</f>
        <v/>
      </c>
    </row>
    <row r="152">
      <c r="A152" t="inlineStr">
        <is>
          <t>INV-2609-0139</t>
        </is>
      </c>
      <c r="B152" t="inlineStr">
        <is>
          <t>B079</t>
        </is>
      </c>
      <c r="C152" t="inlineStr">
        <is>
          <t>JPN</t>
        </is>
      </c>
      <c r="D152" t="inlineStr">
        <is>
          <t>OA</t>
        </is>
      </c>
      <c r="E152" t="inlineStr">
        <is>
          <t>JPY</t>
        </is>
      </c>
      <c r="F152" t="inlineStr">
        <is>
          <t>Y</t>
        </is>
      </c>
      <c r="G152" s="32" t="n">
        <v>46291</v>
      </c>
      <c r="H152" s="32" t="n">
        <v>46351</v>
      </c>
      <c r="I152" s="82" t="n">
        <v>5844000</v>
      </c>
      <c r="J152" s="82" t="n">
        <v>37180.32</v>
      </c>
      <c r="K152" t="inlineStr">
        <is>
          <t>N</t>
        </is>
      </c>
      <c r="L152" t="inlineStr">
        <is>
          <t>개별</t>
        </is>
      </c>
      <c r="N152" t="inlineStr">
        <is>
          <t>N</t>
        </is>
      </c>
      <c r="O152" s="37">
        <f>IF($A152="","",AsOf-$H152)</f>
        <v/>
      </c>
      <c r="P152" s="37">
        <f>IF($A152="","",IF($K152="Y","-",IF($O152&gt;=30,"D+30 최종통지·선적보류",IF($O152&gt;=15,"D+15 단호한 통지",IF($O152&gt;=7,"D+7 친절한 리마인더",IF(AND($O152&gt;=-3,$O152&lt;=-1),"D-3 사전 안내","모니터링"))))))</f>
        <v/>
      </c>
      <c r="Q152" s="83">
        <f>IF($A152="","",EDATE($H152,1))</f>
        <v/>
      </c>
      <c r="R152" s="37">
        <f>IF($A152="","",$Q152-AsOf)</f>
        <v/>
      </c>
      <c r="S152" s="37">
        <f>IF($A152="","",IF(OR($K152="Y",$F152&lt;&gt;"Y",$O152&lt;=0),"",IF($R152&lt;0,"통지 기한 경과 — 즉시 확인",IF($R152&lt;=NoticeWarnDays,"통지 기한 임박 — 사람 결정",""))))</f>
        <v/>
      </c>
      <c r="T152" s="83">
        <f>IF(OR($A152="",$F152&lt;&gt;"Y"),"",IF(IF($L152="",InsuranceType,$L152)="포괄",DATE(YEAR($G152),MONTH($G152)+1,20),WORKDAY($G152,10)))</f>
        <v/>
      </c>
      <c r="U152" s="83">
        <f>IF(OR($A152="",$M152=""),"",WORKDAY($M152,10))</f>
        <v/>
      </c>
      <c r="V152" s="37">
        <f>IF($A152="","",IF($N152="Y","사기 의심: 콜백 검증 전 대금 안내 중단",""))</f>
        <v/>
      </c>
      <c r="W152" s="37">
        <f>IF($A152="","",IF(AND($K152="N",$D152&lt;&gt;"LC_SIGHT",$D152&lt;&gt;"LC_USANCE",$D152&lt;&gt;"TT_ADV"),$O152,""))</f>
        <v/>
      </c>
      <c r="X152" s="37">
        <f>IF($A152="",0,IF(AND($K152="N",$D152&lt;&gt;"LC_SIGHT",$D152&lt;&gt;"LC_USANCE",$D152&lt;&gt;"TT_ADV",$O152&gt;=30),1,0))</f>
        <v/>
      </c>
      <c r="Y152" s="37">
        <f>IF($A152="","",IF($O152&lt;=0,"미연체",IF($O152&lt;=30,"1-30",IF($O152&lt;=90,"31-90",IF($O152&lt;=180,"91-180",IF($O152&lt;=365,"181-365","365+"))))))</f>
        <v/>
      </c>
      <c r="Z152" s="37">
        <f>IF($S152="통지 기한 임박 — 사람 결정",COUNTIF($S$5:$S152,"통지 기한 임박 — 사람 결정"),"")</f>
        <v/>
      </c>
      <c r="AB152" s="37">
        <f>IF('02_Buyers'!$A149="","",'02_Buyers'!$A149)</f>
        <v/>
      </c>
      <c r="AC152" s="37">
        <f>IF($AB152="","",'02_Buyers'!$AH149)</f>
        <v/>
      </c>
      <c r="AD152" s="37">
        <f>IF($AB152="","",COUNTIFS(inv_buyer,$AB152,inv_paid,"N"))</f>
        <v/>
      </c>
      <c r="AE152" s="40">
        <f>IF($AB152="","",SUMIFS(inv_usd,inv_buyer,$AB152,inv_paid,"N"))</f>
        <v/>
      </c>
      <c r="AF152" s="37">
        <f>IF($AB152="","",_xlfn.MAXIFS(inv_nonlc_dpd,inv_buyer,$AB152))</f>
        <v/>
      </c>
      <c r="AG152" s="37">
        <f>IF($AB152="","",COUNTIFS(inv_buyer,$AB152,inv_hold30,1))</f>
        <v/>
      </c>
      <c r="AH152" s="37">
        <f>IF($AB152="","",IF(OR($AC152=1,$AG152&gt;0),"선적 보류",""))</f>
        <v/>
      </c>
      <c r="AI152" s="37">
        <f>IF($AH152&lt;&gt;"선적 보류","","내부 에스컬레이션: 여신 한도 동결 제안(사람 승인)")</f>
        <v/>
      </c>
      <c r="AJ152" s="37">
        <f>IF($AB152="","",COUNTIFS(inv_buyer,$AB152,inv_alert,"통지 기한 임박*"))</f>
        <v/>
      </c>
      <c r="AK152" s="40">
        <f>IF($AB152="","",'10_LimitLP'!$F152)</f>
        <v/>
      </c>
      <c r="AL152" s="84">
        <f>IF(OR($AB152="",$AK152&lt;=0),"",$AE152/$AK152)</f>
        <v/>
      </c>
      <c r="AM152" s="37">
        <f>IF($AL152="","",IF($AL152&gt;=0.8,"사용률 80%↑ — 출고 전 사전승인(제18조)",""))</f>
        <v/>
      </c>
      <c r="AN152" s="37">
        <f>IF($AB152="","",IFERROR(IF(INDEX($AU$21:$AU$40,MATCH('02_Buyers'!$S149,$AS$21:$AS$40,0))="","",INDEX($AU$21:$AU$40,MATCH('02_Buyers'!$S149,$AS$21:$AS$40,0))),""))</f>
        <v/>
      </c>
      <c r="AO152" s="37">
        <f>IF($AB152="","",IFERROR(IF(INDEX($AV$21:$AV$40,MATCH('02_Buyers'!$S149,$AS$21:$AS$40,0))="","",INDEX($AV$21:$AV$40,MATCH('02_Buyers'!$S149,$AS$21:$AS$40,0))),""))</f>
        <v/>
      </c>
      <c r="AP152" s="37">
        <f>IF(OR($AB152="",$AN152="",$AO152=""),"",IF($AN152&gt;$AO152,"국가등급 하향 — 한도 재산정",""))</f>
        <v/>
      </c>
      <c r="AQ152" s="37">
        <f>IF($AH152="선적 보류",COUNTIF($AH$5:$AH152,"선적 보류"),"")</f>
        <v/>
      </c>
    </row>
    <row r="153">
      <c r="A153" t="inlineStr">
        <is>
          <t>INV-2608-0080</t>
        </is>
      </c>
      <c r="B153" t="inlineStr">
        <is>
          <t>B080</t>
        </is>
      </c>
      <c r="C153" t="inlineStr">
        <is>
          <t>JPN</t>
        </is>
      </c>
      <c r="D153" t="inlineStr">
        <is>
          <t>OA</t>
        </is>
      </c>
      <c r="E153" t="inlineStr">
        <is>
          <t>JPY</t>
        </is>
      </c>
      <c r="F153" t="inlineStr">
        <is>
          <t>Y</t>
        </is>
      </c>
      <c r="G153" s="32" t="n">
        <v>46251</v>
      </c>
      <c r="H153" s="32" t="n">
        <v>46311</v>
      </c>
      <c r="I153" s="82" t="n">
        <v>3149000</v>
      </c>
      <c r="J153" s="82" t="n">
        <v>20034.36</v>
      </c>
      <c r="K153" t="inlineStr">
        <is>
          <t>N</t>
        </is>
      </c>
      <c r="L153" t="inlineStr">
        <is>
          <t>개별</t>
        </is>
      </c>
      <c r="N153" t="inlineStr">
        <is>
          <t>N</t>
        </is>
      </c>
      <c r="O153" s="37">
        <f>IF($A153="","",AsOf-$H153)</f>
        <v/>
      </c>
      <c r="P153" s="37">
        <f>IF($A153="","",IF($K153="Y","-",IF($O153&gt;=30,"D+30 최종통지·선적보류",IF($O153&gt;=15,"D+15 단호한 통지",IF($O153&gt;=7,"D+7 친절한 리마인더",IF(AND($O153&gt;=-3,$O153&lt;=-1),"D-3 사전 안내","모니터링"))))))</f>
        <v/>
      </c>
      <c r="Q153" s="83">
        <f>IF($A153="","",EDATE($H153,1))</f>
        <v/>
      </c>
      <c r="R153" s="37">
        <f>IF($A153="","",$Q153-AsOf)</f>
        <v/>
      </c>
      <c r="S153" s="37">
        <f>IF($A153="","",IF(OR($K153="Y",$F153&lt;&gt;"Y",$O153&lt;=0),"",IF($R153&lt;0,"통지 기한 경과 — 즉시 확인",IF($R153&lt;=NoticeWarnDays,"통지 기한 임박 — 사람 결정",""))))</f>
        <v/>
      </c>
      <c r="T153" s="83">
        <f>IF(OR($A153="",$F153&lt;&gt;"Y"),"",IF(IF($L153="",InsuranceType,$L153)="포괄",DATE(YEAR($G153),MONTH($G153)+1,20),WORKDAY($G153,10)))</f>
        <v/>
      </c>
      <c r="U153" s="83">
        <f>IF(OR($A153="",$M153=""),"",WORKDAY($M153,10))</f>
        <v/>
      </c>
      <c r="V153" s="37">
        <f>IF($A153="","",IF($N153="Y","사기 의심: 콜백 검증 전 대금 안내 중단",""))</f>
        <v/>
      </c>
      <c r="W153" s="37">
        <f>IF($A153="","",IF(AND($K153="N",$D153&lt;&gt;"LC_SIGHT",$D153&lt;&gt;"LC_USANCE",$D153&lt;&gt;"TT_ADV"),$O153,""))</f>
        <v/>
      </c>
      <c r="X153" s="37">
        <f>IF($A153="",0,IF(AND($K153="N",$D153&lt;&gt;"LC_SIGHT",$D153&lt;&gt;"LC_USANCE",$D153&lt;&gt;"TT_ADV",$O153&gt;=30),1,0))</f>
        <v/>
      </c>
      <c r="Y153" s="37">
        <f>IF($A153="","",IF($O153&lt;=0,"미연체",IF($O153&lt;=30,"1-30",IF($O153&lt;=90,"31-90",IF($O153&lt;=180,"91-180",IF($O153&lt;=365,"181-365","365+"))))))</f>
        <v/>
      </c>
      <c r="Z153" s="37">
        <f>IF($S153="통지 기한 임박 — 사람 결정",COUNTIF($S$5:$S153,"통지 기한 임박 — 사람 결정"),"")</f>
        <v/>
      </c>
      <c r="AB153" s="37">
        <f>IF('02_Buyers'!$A150="","",'02_Buyers'!$A150)</f>
        <v/>
      </c>
      <c r="AC153" s="37">
        <f>IF($AB153="","",'02_Buyers'!$AH150)</f>
        <v/>
      </c>
      <c r="AD153" s="37">
        <f>IF($AB153="","",COUNTIFS(inv_buyer,$AB153,inv_paid,"N"))</f>
        <v/>
      </c>
      <c r="AE153" s="40">
        <f>IF($AB153="","",SUMIFS(inv_usd,inv_buyer,$AB153,inv_paid,"N"))</f>
        <v/>
      </c>
      <c r="AF153" s="37">
        <f>IF($AB153="","",_xlfn.MAXIFS(inv_nonlc_dpd,inv_buyer,$AB153))</f>
        <v/>
      </c>
      <c r="AG153" s="37">
        <f>IF($AB153="","",COUNTIFS(inv_buyer,$AB153,inv_hold30,1))</f>
        <v/>
      </c>
      <c r="AH153" s="37">
        <f>IF($AB153="","",IF(OR($AC153=1,$AG153&gt;0),"선적 보류",""))</f>
        <v/>
      </c>
      <c r="AI153" s="37">
        <f>IF($AH153&lt;&gt;"선적 보류","","내부 에스컬레이션: 여신 한도 동결 제안(사람 승인)")</f>
        <v/>
      </c>
      <c r="AJ153" s="37">
        <f>IF($AB153="","",COUNTIFS(inv_buyer,$AB153,inv_alert,"통지 기한 임박*"))</f>
        <v/>
      </c>
      <c r="AK153" s="40">
        <f>IF($AB153="","",'10_LimitLP'!$F153)</f>
        <v/>
      </c>
      <c r="AL153" s="84">
        <f>IF(OR($AB153="",$AK153&lt;=0),"",$AE153/$AK153)</f>
        <v/>
      </c>
      <c r="AM153" s="37">
        <f>IF($AL153="","",IF($AL153&gt;=0.8,"사용률 80%↑ — 출고 전 사전승인(제18조)",""))</f>
        <v/>
      </c>
      <c r="AN153" s="37">
        <f>IF($AB153="","",IFERROR(IF(INDEX($AU$21:$AU$40,MATCH('02_Buyers'!$S150,$AS$21:$AS$40,0))="","",INDEX($AU$21:$AU$40,MATCH('02_Buyers'!$S150,$AS$21:$AS$40,0))),""))</f>
        <v/>
      </c>
      <c r="AO153" s="37">
        <f>IF($AB153="","",IFERROR(IF(INDEX($AV$21:$AV$40,MATCH('02_Buyers'!$S150,$AS$21:$AS$40,0))="","",INDEX($AV$21:$AV$40,MATCH('02_Buyers'!$S150,$AS$21:$AS$40,0))),""))</f>
        <v/>
      </c>
      <c r="AP153" s="37">
        <f>IF(OR($AB153="",$AN153="",$AO153=""),"",IF($AN153&gt;$AO153,"국가등급 하향 — 한도 재산정",""))</f>
        <v/>
      </c>
      <c r="AQ153" s="37">
        <f>IF($AH153="선적 보류",COUNTIF($AH$5:$AH153,"선적 보류"),"")</f>
        <v/>
      </c>
    </row>
    <row r="154">
      <c r="A154" t="inlineStr">
        <is>
          <t>INV-2608-0060</t>
        </is>
      </c>
      <c r="B154" t="inlineStr">
        <is>
          <t>B082</t>
        </is>
      </c>
      <c r="C154" t="inlineStr">
        <is>
          <t>JPN</t>
        </is>
      </c>
      <c r="D154" t="inlineStr">
        <is>
          <t>OA</t>
        </is>
      </c>
      <c r="E154" t="inlineStr">
        <is>
          <t>JPY</t>
        </is>
      </c>
      <c r="F154" t="inlineStr">
        <is>
          <t>Y</t>
        </is>
      </c>
      <c r="G154" s="32" t="n">
        <v>46248</v>
      </c>
      <c r="H154" s="32" t="n">
        <v>46308</v>
      </c>
      <c r="I154" s="82" t="n">
        <v>1859000</v>
      </c>
      <c r="J154" s="82" t="n">
        <v>11827.21</v>
      </c>
      <c r="K154" t="inlineStr">
        <is>
          <t>N</t>
        </is>
      </c>
      <c r="L154" t="inlineStr">
        <is>
          <t>개별</t>
        </is>
      </c>
      <c r="N154" t="inlineStr">
        <is>
          <t>N</t>
        </is>
      </c>
      <c r="O154" s="37">
        <f>IF($A154="","",AsOf-$H154)</f>
        <v/>
      </c>
      <c r="P154" s="37">
        <f>IF($A154="","",IF($K154="Y","-",IF($O154&gt;=30,"D+30 최종통지·선적보류",IF($O154&gt;=15,"D+15 단호한 통지",IF($O154&gt;=7,"D+7 친절한 리마인더",IF(AND($O154&gt;=-3,$O154&lt;=-1),"D-3 사전 안내","모니터링"))))))</f>
        <v/>
      </c>
      <c r="Q154" s="83">
        <f>IF($A154="","",EDATE($H154,1))</f>
        <v/>
      </c>
      <c r="R154" s="37">
        <f>IF($A154="","",$Q154-AsOf)</f>
        <v/>
      </c>
      <c r="S154" s="37">
        <f>IF($A154="","",IF(OR($K154="Y",$F154&lt;&gt;"Y",$O154&lt;=0),"",IF($R154&lt;0,"통지 기한 경과 — 즉시 확인",IF($R154&lt;=NoticeWarnDays,"통지 기한 임박 — 사람 결정",""))))</f>
        <v/>
      </c>
      <c r="T154" s="83">
        <f>IF(OR($A154="",$F154&lt;&gt;"Y"),"",IF(IF($L154="",InsuranceType,$L154)="포괄",DATE(YEAR($G154),MONTH($G154)+1,20),WORKDAY($G154,10)))</f>
        <v/>
      </c>
      <c r="U154" s="83">
        <f>IF(OR($A154="",$M154=""),"",WORKDAY($M154,10))</f>
        <v/>
      </c>
      <c r="V154" s="37">
        <f>IF($A154="","",IF($N154="Y","사기 의심: 콜백 검증 전 대금 안내 중단",""))</f>
        <v/>
      </c>
      <c r="W154" s="37">
        <f>IF($A154="","",IF(AND($K154="N",$D154&lt;&gt;"LC_SIGHT",$D154&lt;&gt;"LC_USANCE",$D154&lt;&gt;"TT_ADV"),$O154,""))</f>
        <v/>
      </c>
      <c r="X154" s="37">
        <f>IF($A154="",0,IF(AND($K154="N",$D154&lt;&gt;"LC_SIGHT",$D154&lt;&gt;"LC_USANCE",$D154&lt;&gt;"TT_ADV",$O154&gt;=30),1,0))</f>
        <v/>
      </c>
      <c r="Y154" s="37">
        <f>IF($A154="","",IF($O154&lt;=0,"미연체",IF($O154&lt;=30,"1-30",IF($O154&lt;=90,"31-90",IF($O154&lt;=180,"91-180",IF($O154&lt;=365,"181-365","365+"))))))</f>
        <v/>
      </c>
      <c r="Z154" s="37">
        <f>IF($S154="통지 기한 임박 — 사람 결정",COUNTIF($S$5:$S154,"통지 기한 임박 — 사람 결정"),"")</f>
        <v/>
      </c>
      <c r="AB154" s="37">
        <f>IF('02_Buyers'!$A151="","",'02_Buyers'!$A151)</f>
        <v/>
      </c>
      <c r="AC154" s="37">
        <f>IF($AB154="","",'02_Buyers'!$AH151)</f>
        <v/>
      </c>
      <c r="AD154" s="37">
        <f>IF($AB154="","",COUNTIFS(inv_buyer,$AB154,inv_paid,"N"))</f>
        <v/>
      </c>
      <c r="AE154" s="40">
        <f>IF($AB154="","",SUMIFS(inv_usd,inv_buyer,$AB154,inv_paid,"N"))</f>
        <v/>
      </c>
      <c r="AF154" s="37">
        <f>IF($AB154="","",_xlfn.MAXIFS(inv_nonlc_dpd,inv_buyer,$AB154))</f>
        <v/>
      </c>
      <c r="AG154" s="37">
        <f>IF($AB154="","",COUNTIFS(inv_buyer,$AB154,inv_hold30,1))</f>
        <v/>
      </c>
      <c r="AH154" s="37">
        <f>IF($AB154="","",IF(OR($AC154=1,$AG154&gt;0),"선적 보류",""))</f>
        <v/>
      </c>
      <c r="AI154" s="37">
        <f>IF($AH154&lt;&gt;"선적 보류","","내부 에스컬레이션: 여신 한도 동결 제안(사람 승인)")</f>
        <v/>
      </c>
      <c r="AJ154" s="37">
        <f>IF($AB154="","",COUNTIFS(inv_buyer,$AB154,inv_alert,"통지 기한 임박*"))</f>
        <v/>
      </c>
      <c r="AK154" s="40">
        <f>IF($AB154="","",'10_LimitLP'!$F154)</f>
        <v/>
      </c>
      <c r="AL154" s="84">
        <f>IF(OR($AB154="",$AK154&lt;=0),"",$AE154/$AK154)</f>
        <v/>
      </c>
      <c r="AM154" s="37">
        <f>IF($AL154="","",IF($AL154&gt;=0.8,"사용률 80%↑ — 출고 전 사전승인(제18조)",""))</f>
        <v/>
      </c>
      <c r="AN154" s="37">
        <f>IF($AB154="","",IFERROR(IF(INDEX($AU$21:$AU$40,MATCH('02_Buyers'!$S151,$AS$21:$AS$40,0))="","",INDEX($AU$21:$AU$40,MATCH('02_Buyers'!$S151,$AS$21:$AS$40,0))),""))</f>
        <v/>
      </c>
      <c r="AO154" s="37">
        <f>IF($AB154="","",IFERROR(IF(INDEX($AV$21:$AV$40,MATCH('02_Buyers'!$S151,$AS$21:$AS$40,0))="","",INDEX($AV$21:$AV$40,MATCH('02_Buyers'!$S151,$AS$21:$AS$40,0))),""))</f>
        <v/>
      </c>
      <c r="AP154" s="37">
        <f>IF(OR($AB154="",$AN154="",$AO154=""),"",IF($AN154&gt;$AO154,"국가등급 하향 — 한도 재산정",""))</f>
        <v/>
      </c>
      <c r="AQ154" s="37">
        <f>IF($AH154="선적 보류",COUNTIF($AH$5:$AH154,"선적 보류"),"")</f>
        <v/>
      </c>
    </row>
    <row r="155">
      <c r="A155" t="inlineStr">
        <is>
          <t>INV-2608-0081</t>
        </is>
      </c>
      <c r="B155" t="inlineStr">
        <is>
          <t>B082</t>
        </is>
      </c>
      <c r="C155" t="inlineStr">
        <is>
          <t>JPN</t>
        </is>
      </c>
      <c r="D155" t="inlineStr">
        <is>
          <t>OA</t>
        </is>
      </c>
      <c r="E155" t="inlineStr">
        <is>
          <t>JPY</t>
        </is>
      </c>
      <c r="F155" t="inlineStr">
        <is>
          <t>Y</t>
        </is>
      </c>
      <c r="G155" s="32" t="n">
        <v>46251</v>
      </c>
      <c r="H155" s="32" t="n">
        <v>46311</v>
      </c>
      <c r="I155" s="82" t="n">
        <v>621000</v>
      </c>
      <c r="J155" s="82" t="n">
        <v>3950.89</v>
      </c>
      <c r="K155" t="inlineStr">
        <is>
          <t>N</t>
        </is>
      </c>
      <c r="L155" t="inlineStr">
        <is>
          <t>개별</t>
        </is>
      </c>
      <c r="N155" t="inlineStr">
        <is>
          <t>N</t>
        </is>
      </c>
      <c r="O155" s="37">
        <f>IF($A155="","",AsOf-$H155)</f>
        <v/>
      </c>
      <c r="P155" s="37">
        <f>IF($A155="","",IF($K155="Y","-",IF($O155&gt;=30,"D+30 최종통지·선적보류",IF($O155&gt;=15,"D+15 단호한 통지",IF($O155&gt;=7,"D+7 친절한 리마인더",IF(AND($O155&gt;=-3,$O155&lt;=-1),"D-3 사전 안내","모니터링"))))))</f>
        <v/>
      </c>
      <c r="Q155" s="83">
        <f>IF($A155="","",EDATE($H155,1))</f>
        <v/>
      </c>
      <c r="R155" s="37">
        <f>IF($A155="","",$Q155-AsOf)</f>
        <v/>
      </c>
      <c r="S155" s="37">
        <f>IF($A155="","",IF(OR($K155="Y",$F155&lt;&gt;"Y",$O155&lt;=0),"",IF($R155&lt;0,"통지 기한 경과 — 즉시 확인",IF($R155&lt;=NoticeWarnDays,"통지 기한 임박 — 사람 결정",""))))</f>
        <v/>
      </c>
      <c r="T155" s="83">
        <f>IF(OR($A155="",$F155&lt;&gt;"Y"),"",IF(IF($L155="",InsuranceType,$L155)="포괄",DATE(YEAR($G155),MONTH($G155)+1,20),WORKDAY($G155,10)))</f>
        <v/>
      </c>
      <c r="U155" s="83">
        <f>IF(OR($A155="",$M155=""),"",WORKDAY($M155,10))</f>
        <v/>
      </c>
      <c r="V155" s="37">
        <f>IF($A155="","",IF($N155="Y","사기 의심: 콜백 검증 전 대금 안내 중단",""))</f>
        <v/>
      </c>
      <c r="W155" s="37">
        <f>IF($A155="","",IF(AND($K155="N",$D155&lt;&gt;"LC_SIGHT",$D155&lt;&gt;"LC_USANCE",$D155&lt;&gt;"TT_ADV"),$O155,""))</f>
        <v/>
      </c>
      <c r="X155" s="37">
        <f>IF($A155="",0,IF(AND($K155="N",$D155&lt;&gt;"LC_SIGHT",$D155&lt;&gt;"LC_USANCE",$D155&lt;&gt;"TT_ADV",$O155&gt;=30),1,0))</f>
        <v/>
      </c>
      <c r="Y155" s="37">
        <f>IF($A155="","",IF($O155&lt;=0,"미연체",IF($O155&lt;=30,"1-30",IF($O155&lt;=90,"31-90",IF($O155&lt;=180,"91-180",IF($O155&lt;=365,"181-365","365+"))))))</f>
        <v/>
      </c>
      <c r="Z155" s="37">
        <f>IF($S155="통지 기한 임박 — 사람 결정",COUNTIF($S$5:$S155,"통지 기한 임박 — 사람 결정"),"")</f>
        <v/>
      </c>
    </row>
    <row r="156">
      <c r="A156" t="inlineStr">
        <is>
          <t>INV-2609-0082</t>
        </is>
      </c>
      <c r="B156" t="inlineStr">
        <is>
          <t>B082</t>
        </is>
      </c>
      <c r="C156" t="inlineStr">
        <is>
          <t>JPN</t>
        </is>
      </c>
      <c r="D156" t="inlineStr">
        <is>
          <t>OA</t>
        </is>
      </c>
      <c r="E156" t="inlineStr">
        <is>
          <t>JPY</t>
        </is>
      </c>
      <c r="F156" t="inlineStr">
        <is>
          <t>Y</t>
        </is>
      </c>
      <c r="G156" s="32" t="n">
        <v>46280</v>
      </c>
      <c r="H156" s="32" t="n">
        <v>46340</v>
      </c>
      <c r="I156" s="82" t="n">
        <v>2686000</v>
      </c>
      <c r="J156" s="82" t="n">
        <v>17088.7</v>
      </c>
      <c r="K156" t="inlineStr">
        <is>
          <t>N</t>
        </is>
      </c>
      <c r="L156" t="inlineStr">
        <is>
          <t>개별</t>
        </is>
      </c>
      <c r="N156" t="inlineStr">
        <is>
          <t>N</t>
        </is>
      </c>
      <c r="O156" s="37">
        <f>IF($A156="","",AsOf-$H156)</f>
        <v/>
      </c>
      <c r="P156" s="37">
        <f>IF($A156="","",IF($K156="Y","-",IF($O156&gt;=30,"D+30 최종통지·선적보류",IF($O156&gt;=15,"D+15 단호한 통지",IF($O156&gt;=7,"D+7 친절한 리마인더",IF(AND($O156&gt;=-3,$O156&lt;=-1),"D-3 사전 안내","모니터링"))))))</f>
        <v/>
      </c>
      <c r="Q156" s="83">
        <f>IF($A156="","",EDATE($H156,1))</f>
        <v/>
      </c>
      <c r="R156" s="37">
        <f>IF($A156="","",$Q156-AsOf)</f>
        <v/>
      </c>
      <c r="S156" s="37">
        <f>IF($A156="","",IF(OR($K156="Y",$F156&lt;&gt;"Y",$O156&lt;=0),"",IF($R156&lt;0,"통지 기한 경과 — 즉시 확인",IF($R156&lt;=NoticeWarnDays,"통지 기한 임박 — 사람 결정",""))))</f>
        <v/>
      </c>
      <c r="T156" s="83">
        <f>IF(OR($A156="",$F156&lt;&gt;"Y"),"",IF(IF($L156="",InsuranceType,$L156)="포괄",DATE(YEAR($G156),MONTH($G156)+1,20),WORKDAY($G156,10)))</f>
        <v/>
      </c>
      <c r="U156" s="83">
        <f>IF(OR($A156="",$M156=""),"",WORKDAY($M156,10))</f>
        <v/>
      </c>
      <c r="V156" s="37">
        <f>IF($A156="","",IF($N156="Y","사기 의심: 콜백 검증 전 대금 안내 중단",""))</f>
        <v/>
      </c>
      <c r="W156" s="37">
        <f>IF($A156="","",IF(AND($K156="N",$D156&lt;&gt;"LC_SIGHT",$D156&lt;&gt;"LC_USANCE",$D156&lt;&gt;"TT_ADV"),$O156,""))</f>
        <v/>
      </c>
      <c r="X156" s="37">
        <f>IF($A156="",0,IF(AND($K156="N",$D156&lt;&gt;"LC_SIGHT",$D156&lt;&gt;"LC_USANCE",$D156&lt;&gt;"TT_ADV",$O156&gt;=30),1,0))</f>
        <v/>
      </c>
      <c r="Y156" s="37">
        <f>IF($A156="","",IF($O156&lt;=0,"미연체",IF($O156&lt;=30,"1-30",IF($O156&lt;=90,"31-90",IF($O156&lt;=180,"91-180",IF($O156&lt;=365,"181-365","365+"))))))</f>
        <v/>
      </c>
      <c r="Z156" s="37">
        <f>IF($S156="통지 기한 임박 — 사람 결정",COUNTIF($S$5:$S156,"통지 기한 임박 — 사람 결정"),"")</f>
        <v/>
      </c>
    </row>
    <row r="157">
      <c r="A157" t="inlineStr">
        <is>
          <t>INV-2609-0133</t>
        </is>
      </c>
      <c r="B157" t="inlineStr">
        <is>
          <t>B082</t>
        </is>
      </c>
      <c r="C157" t="inlineStr">
        <is>
          <t>JPN</t>
        </is>
      </c>
      <c r="D157" t="inlineStr">
        <is>
          <t>OA</t>
        </is>
      </c>
      <c r="E157" t="inlineStr">
        <is>
          <t>JPY</t>
        </is>
      </c>
      <c r="F157" t="inlineStr">
        <is>
          <t>Y</t>
        </is>
      </c>
      <c r="G157" s="32" t="n">
        <v>46290</v>
      </c>
      <c r="H157" s="32" t="n">
        <v>46350</v>
      </c>
      <c r="I157" s="82" t="n">
        <v>1379000</v>
      </c>
      <c r="J157" s="82" t="n">
        <v>8773.379999999999</v>
      </c>
      <c r="K157" t="inlineStr">
        <is>
          <t>N</t>
        </is>
      </c>
      <c r="L157" t="inlineStr">
        <is>
          <t>개별</t>
        </is>
      </c>
      <c r="N157" t="inlineStr">
        <is>
          <t>N</t>
        </is>
      </c>
      <c r="O157" s="37">
        <f>IF($A157="","",AsOf-$H157)</f>
        <v/>
      </c>
      <c r="P157" s="37">
        <f>IF($A157="","",IF($K157="Y","-",IF($O157&gt;=30,"D+30 최종통지·선적보류",IF($O157&gt;=15,"D+15 단호한 통지",IF($O157&gt;=7,"D+7 친절한 리마인더",IF(AND($O157&gt;=-3,$O157&lt;=-1),"D-3 사전 안내","모니터링"))))))</f>
        <v/>
      </c>
      <c r="Q157" s="83">
        <f>IF($A157="","",EDATE($H157,1))</f>
        <v/>
      </c>
      <c r="R157" s="37">
        <f>IF($A157="","",$Q157-AsOf)</f>
        <v/>
      </c>
      <c r="S157" s="37">
        <f>IF($A157="","",IF(OR($K157="Y",$F157&lt;&gt;"Y",$O157&lt;=0),"",IF($R157&lt;0,"통지 기한 경과 — 즉시 확인",IF($R157&lt;=NoticeWarnDays,"통지 기한 임박 — 사람 결정",""))))</f>
        <v/>
      </c>
      <c r="T157" s="83">
        <f>IF(OR($A157="",$F157&lt;&gt;"Y"),"",IF(IF($L157="",InsuranceType,$L157)="포괄",DATE(YEAR($G157),MONTH($G157)+1,20),WORKDAY($G157,10)))</f>
        <v/>
      </c>
      <c r="U157" s="83">
        <f>IF(OR($A157="",$M157=""),"",WORKDAY($M157,10))</f>
        <v/>
      </c>
      <c r="V157" s="37">
        <f>IF($A157="","",IF($N157="Y","사기 의심: 콜백 검증 전 대금 안내 중단",""))</f>
        <v/>
      </c>
      <c r="W157" s="37">
        <f>IF($A157="","",IF(AND($K157="N",$D157&lt;&gt;"LC_SIGHT",$D157&lt;&gt;"LC_USANCE",$D157&lt;&gt;"TT_ADV"),$O157,""))</f>
        <v/>
      </c>
      <c r="X157" s="37">
        <f>IF($A157="",0,IF(AND($K157="N",$D157&lt;&gt;"LC_SIGHT",$D157&lt;&gt;"LC_USANCE",$D157&lt;&gt;"TT_ADV",$O157&gt;=30),1,0))</f>
        <v/>
      </c>
      <c r="Y157" s="37">
        <f>IF($A157="","",IF($O157&lt;=0,"미연체",IF($O157&lt;=30,"1-30",IF($O157&lt;=90,"31-90",IF($O157&lt;=180,"91-180",IF($O157&lt;=365,"181-365","365+"))))))</f>
        <v/>
      </c>
      <c r="Z157" s="37">
        <f>IF($S157="통지 기한 임박 — 사람 결정",COUNTIF($S$5:$S157,"통지 기한 임박 — 사람 결정"),"")</f>
        <v/>
      </c>
    </row>
    <row r="158">
      <c r="A158" t="inlineStr">
        <is>
          <t>INV-2509-0164</t>
        </is>
      </c>
      <c r="B158" t="inlineStr">
        <is>
          <t>B083</t>
        </is>
      </c>
      <c r="C158" t="inlineStr">
        <is>
          <t>USA</t>
        </is>
      </c>
      <c r="D158" t="inlineStr">
        <is>
          <t>OA</t>
        </is>
      </c>
      <c r="E158" t="inlineStr">
        <is>
          <t>USD</t>
        </is>
      </c>
      <c r="F158" t="inlineStr">
        <is>
          <t>Y</t>
        </is>
      </c>
      <c r="G158" s="32" t="n">
        <v>45930</v>
      </c>
      <c r="H158" s="32" t="n">
        <v>45990</v>
      </c>
      <c r="I158" s="82" t="n">
        <v>2200</v>
      </c>
      <c r="J158" s="82" t="n">
        <v>2200</v>
      </c>
      <c r="K158" t="inlineStr">
        <is>
          <t>N</t>
        </is>
      </c>
      <c r="L158" t="inlineStr">
        <is>
          <t>개별</t>
        </is>
      </c>
      <c r="N158" t="inlineStr">
        <is>
          <t>N</t>
        </is>
      </c>
      <c r="O158" s="37">
        <f>IF($A158="","",AsOf-$H158)</f>
        <v/>
      </c>
      <c r="P158" s="37">
        <f>IF($A158="","",IF($K158="Y","-",IF($O158&gt;=30,"D+30 최종통지·선적보류",IF($O158&gt;=15,"D+15 단호한 통지",IF($O158&gt;=7,"D+7 친절한 리마인더",IF(AND($O158&gt;=-3,$O158&lt;=-1),"D-3 사전 안내","모니터링"))))))</f>
        <v/>
      </c>
      <c r="Q158" s="83">
        <f>IF($A158="","",EDATE($H158,1))</f>
        <v/>
      </c>
      <c r="R158" s="37">
        <f>IF($A158="","",$Q158-AsOf)</f>
        <v/>
      </c>
      <c r="S158" s="37">
        <f>IF($A158="","",IF(OR($K158="Y",$F158&lt;&gt;"Y",$O158&lt;=0),"",IF($R158&lt;0,"통지 기한 경과 — 즉시 확인",IF($R158&lt;=NoticeWarnDays,"통지 기한 임박 — 사람 결정",""))))</f>
        <v/>
      </c>
      <c r="T158" s="83">
        <f>IF(OR($A158="",$F158&lt;&gt;"Y"),"",IF(IF($L158="",InsuranceType,$L158)="포괄",DATE(YEAR($G158),MONTH($G158)+1,20),WORKDAY($G158,10)))</f>
        <v/>
      </c>
      <c r="U158" s="83">
        <f>IF(OR($A158="",$M158=""),"",WORKDAY($M158,10))</f>
        <v/>
      </c>
      <c r="V158" s="37">
        <f>IF($A158="","",IF($N158="Y","사기 의심: 콜백 검증 전 대금 안내 중단",""))</f>
        <v/>
      </c>
      <c r="W158" s="37">
        <f>IF($A158="","",IF(AND($K158="N",$D158&lt;&gt;"LC_SIGHT",$D158&lt;&gt;"LC_USANCE",$D158&lt;&gt;"TT_ADV"),$O158,""))</f>
        <v/>
      </c>
      <c r="X158" s="37">
        <f>IF($A158="",0,IF(AND($K158="N",$D158&lt;&gt;"LC_SIGHT",$D158&lt;&gt;"LC_USANCE",$D158&lt;&gt;"TT_ADV",$O158&gt;=30),1,0))</f>
        <v/>
      </c>
      <c r="Y158" s="37">
        <f>IF($A158="","",IF($O158&lt;=0,"미연체",IF($O158&lt;=30,"1-30",IF($O158&lt;=90,"31-90",IF($O158&lt;=180,"91-180",IF($O158&lt;=365,"181-365","365+"))))))</f>
        <v/>
      </c>
      <c r="Z158" s="37">
        <f>IF($S158="통지 기한 임박 — 사람 결정",COUNTIF($S$5:$S158,"통지 기한 임박 — 사람 결정"),"")</f>
        <v/>
      </c>
    </row>
    <row r="159">
      <c r="A159" t="inlineStr">
        <is>
          <t>INV-2608-0061</t>
        </is>
      </c>
      <c r="B159" t="inlineStr">
        <is>
          <t>B084</t>
        </is>
      </c>
      <c r="C159" t="inlineStr">
        <is>
          <t>POL</t>
        </is>
      </c>
      <c r="D159" t="inlineStr">
        <is>
          <t>OA</t>
        </is>
      </c>
      <c r="E159" t="inlineStr">
        <is>
          <t>EUR</t>
        </is>
      </c>
      <c r="F159" t="inlineStr">
        <is>
          <t>N</t>
        </is>
      </c>
      <c r="G159" s="32" t="n">
        <v>46248</v>
      </c>
      <c r="H159" s="32" t="n">
        <v>46338</v>
      </c>
      <c r="I159" s="82" t="n">
        <v>3660</v>
      </c>
      <c r="J159" s="82" t="n">
        <v>4172.4</v>
      </c>
      <c r="K159" t="inlineStr">
        <is>
          <t>N</t>
        </is>
      </c>
      <c r="N159" t="inlineStr">
        <is>
          <t>N</t>
        </is>
      </c>
      <c r="O159" s="37">
        <f>IF($A159="","",AsOf-$H159)</f>
        <v/>
      </c>
      <c r="P159" s="37">
        <f>IF($A159="","",IF($K159="Y","-",IF($O159&gt;=30,"D+30 최종통지·선적보류",IF($O159&gt;=15,"D+15 단호한 통지",IF($O159&gt;=7,"D+7 친절한 리마인더",IF(AND($O159&gt;=-3,$O159&lt;=-1),"D-3 사전 안내","모니터링"))))))</f>
        <v/>
      </c>
      <c r="Q159" s="83">
        <f>IF($A159="","",EDATE($H159,1))</f>
        <v/>
      </c>
      <c r="R159" s="37">
        <f>IF($A159="","",$Q159-AsOf)</f>
        <v/>
      </c>
      <c r="S159" s="37">
        <f>IF($A159="","",IF(OR($K159="Y",$F159&lt;&gt;"Y",$O159&lt;=0),"",IF($R159&lt;0,"통지 기한 경과 — 즉시 확인",IF($R159&lt;=NoticeWarnDays,"통지 기한 임박 — 사람 결정",""))))</f>
        <v/>
      </c>
      <c r="T159" s="83">
        <f>IF(OR($A159="",$F159&lt;&gt;"Y"),"",IF(IF($L159="",InsuranceType,$L159)="포괄",DATE(YEAR($G159),MONTH($G159)+1,20),WORKDAY($G159,10)))</f>
        <v/>
      </c>
      <c r="U159" s="83">
        <f>IF(OR($A159="",$M159=""),"",WORKDAY($M159,10))</f>
        <v/>
      </c>
      <c r="V159" s="37">
        <f>IF($A159="","",IF($N159="Y","사기 의심: 콜백 검증 전 대금 안내 중단",""))</f>
        <v/>
      </c>
      <c r="W159" s="37">
        <f>IF($A159="","",IF(AND($K159="N",$D159&lt;&gt;"LC_SIGHT",$D159&lt;&gt;"LC_USANCE",$D159&lt;&gt;"TT_ADV"),$O159,""))</f>
        <v/>
      </c>
      <c r="X159" s="37">
        <f>IF($A159="",0,IF(AND($K159="N",$D159&lt;&gt;"LC_SIGHT",$D159&lt;&gt;"LC_USANCE",$D159&lt;&gt;"TT_ADV",$O159&gt;=30),1,0))</f>
        <v/>
      </c>
      <c r="Y159" s="37">
        <f>IF($A159="","",IF($O159&lt;=0,"미연체",IF($O159&lt;=30,"1-30",IF($O159&lt;=90,"31-90",IF($O159&lt;=180,"91-180",IF($O159&lt;=365,"181-365","365+"))))))</f>
        <v/>
      </c>
      <c r="Z159" s="37">
        <f>IF($S159="통지 기한 임박 — 사람 결정",COUNTIF($S$5:$S159,"통지 기한 임박 — 사람 결정"),"")</f>
        <v/>
      </c>
    </row>
    <row r="160">
      <c r="A160" t="inlineStr">
        <is>
          <t>INV-2608-0095</t>
        </is>
      </c>
      <c r="B160" t="inlineStr">
        <is>
          <t>B084</t>
        </is>
      </c>
      <c r="C160" t="inlineStr">
        <is>
          <t>POL</t>
        </is>
      </c>
      <c r="D160" t="inlineStr">
        <is>
          <t>OA</t>
        </is>
      </c>
      <c r="E160" t="inlineStr">
        <is>
          <t>EUR</t>
        </is>
      </c>
      <c r="F160" t="inlineStr">
        <is>
          <t>N</t>
        </is>
      </c>
      <c r="G160" s="32" t="n">
        <v>46254</v>
      </c>
      <c r="H160" s="32" t="n">
        <v>46344</v>
      </c>
      <c r="I160" s="82" t="n">
        <v>15710</v>
      </c>
      <c r="J160" s="82" t="n">
        <v>17909.38</v>
      </c>
      <c r="K160" t="inlineStr">
        <is>
          <t>N</t>
        </is>
      </c>
      <c r="N160" t="inlineStr">
        <is>
          <t>N</t>
        </is>
      </c>
      <c r="O160" s="37">
        <f>IF($A160="","",AsOf-$H160)</f>
        <v/>
      </c>
      <c r="P160" s="37">
        <f>IF($A160="","",IF($K160="Y","-",IF($O160&gt;=30,"D+30 최종통지·선적보류",IF($O160&gt;=15,"D+15 단호한 통지",IF($O160&gt;=7,"D+7 친절한 리마인더",IF(AND($O160&gt;=-3,$O160&lt;=-1),"D-3 사전 안내","모니터링"))))))</f>
        <v/>
      </c>
      <c r="Q160" s="83">
        <f>IF($A160="","",EDATE($H160,1))</f>
        <v/>
      </c>
      <c r="R160" s="37">
        <f>IF($A160="","",$Q160-AsOf)</f>
        <v/>
      </c>
      <c r="S160" s="37">
        <f>IF($A160="","",IF(OR($K160="Y",$F160&lt;&gt;"Y",$O160&lt;=0),"",IF($R160&lt;0,"통지 기한 경과 — 즉시 확인",IF($R160&lt;=NoticeWarnDays,"통지 기한 임박 — 사람 결정",""))))</f>
        <v/>
      </c>
      <c r="T160" s="83">
        <f>IF(OR($A160="",$F160&lt;&gt;"Y"),"",IF(IF($L160="",InsuranceType,$L160)="포괄",DATE(YEAR($G160),MONTH($G160)+1,20),WORKDAY($G160,10)))</f>
        <v/>
      </c>
      <c r="U160" s="83">
        <f>IF(OR($A160="",$M160=""),"",WORKDAY($M160,10))</f>
        <v/>
      </c>
      <c r="V160" s="37">
        <f>IF($A160="","",IF($N160="Y","사기 의심: 콜백 검증 전 대금 안내 중단",""))</f>
        <v/>
      </c>
      <c r="W160" s="37">
        <f>IF($A160="","",IF(AND($K160="N",$D160&lt;&gt;"LC_SIGHT",$D160&lt;&gt;"LC_USANCE",$D160&lt;&gt;"TT_ADV"),$O160,""))</f>
        <v/>
      </c>
      <c r="X160" s="37">
        <f>IF($A160="",0,IF(AND($K160="N",$D160&lt;&gt;"LC_SIGHT",$D160&lt;&gt;"LC_USANCE",$D160&lt;&gt;"TT_ADV",$O160&gt;=30),1,0))</f>
        <v/>
      </c>
      <c r="Y160" s="37">
        <f>IF($A160="","",IF($O160&lt;=0,"미연체",IF($O160&lt;=30,"1-30",IF($O160&lt;=90,"31-90",IF($O160&lt;=180,"91-180",IF($O160&lt;=365,"181-365","365+"))))))</f>
        <v/>
      </c>
      <c r="Z160" s="37">
        <f>IF($S160="통지 기한 임박 — 사람 결정",COUNTIF($S$5:$S160,"통지 기한 임박 — 사람 결정"),"")</f>
        <v/>
      </c>
    </row>
    <row r="161">
      <c r="A161" t="inlineStr">
        <is>
          <t>INV-2608-0128</t>
        </is>
      </c>
      <c r="B161" t="inlineStr">
        <is>
          <t>B084</t>
        </is>
      </c>
      <c r="C161" t="inlineStr">
        <is>
          <t>POL</t>
        </is>
      </c>
      <c r="D161" t="inlineStr">
        <is>
          <t>OA</t>
        </is>
      </c>
      <c r="E161" t="inlineStr">
        <is>
          <t>EUR</t>
        </is>
      </c>
      <c r="F161" t="inlineStr">
        <is>
          <t>N</t>
        </is>
      </c>
      <c r="G161" s="32" t="n">
        <v>46260</v>
      </c>
      <c r="H161" s="32" t="n">
        <v>46350</v>
      </c>
      <c r="I161" s="82" t="n">
        <v>930</v>
      </c>
      <c r="J161" s="82" t="n">
        <v>1060.2</v>
      </c>
      <c r="K161" t="inlineStr">
        <is>
          <t>N</t>
        </is>
      </c>
      <c r="N161" t="inlineStr">
        <is>
          <t>N</t>
        </is>
      </c>
      <c r="O161" s="37">
        <f>IF($A161="","",AsOf-$H161)</f>
        <v/>
      </c>
      <c r="P161" s="37">
        <f>IF($A161="","",IF($K161="Y","-",IF($O161&gt;=30,"D+30 최종통지·선적보류",IF($O161&gt;=15,"D+15 단호한 통지",IF($O161&gt;=7,"D+7 친절한 리마인더",IF(AND($O161&gt;=-3,$O161&lt;=-1),"D-3 사전 안내","모니터링"))))))</f>
        <v/>
      </c>
      <c r="Q161" s="83">
        <f>IF($A161="","",EDATE($H161,1))</f>
        <v/>
      </c>
      <c r="R161" s="37">
        <f>IF($A161="","",$Q161-AsOf)</f>
        <v/>
      </c>
      <c r="S161" s="37">
        <f>IF($A161="","",IF(OR($K161="Y",$F161&lt;&gt;"Y",$O161&lt;=0),"",IF($R161&lt;0,"통지 기한 경과 — 즉시 확인",IF($R161&lt;=NoticeWarnDays,"통지 기한 임박 — 사람 결정",""))))</f>
        <v/>
      </c>
      <c r="T161" s="83">
        <f>IF(OR($A161="",$F161&lt;&gt;"Y"),"",IF(IF($L161="",InsuranceType,$L161)="포괄",DATE(YEAR($G161),MONTH($G161)+1,20),WORKDAY($G161,10)))</f>
        <v/>
      </c>
      <c r="U161" s="83">
        <f>IF(OR($A161="",$M161=""),"",WORKDAY($M161,10))</f>
        <v/>
      </c>
      <c r="V161" s="37">
        <f>IF($A161="","",IF($N161="Y","사기 의심: 콜백 검증 전 대금 안내 중단",""))</f>
        <v/>
      </c>
      <c r="W161" s="37">
        <f>IF($A161="","",IF(AND($K161="N",$D161&lt;&gt;"LC_SIGHT",$D161&lt;&gt;"LC_USANCE",$D161&lt;&gt;"TT_ADV"),$O161,""))</f>
        <v/>
      </c>
      <c r="X161" s="37">
        <f>IF($A161="",0,IF(AND($K161="N",$D161&lt;&gt;"LC_SIGHT",$D161&lt;&gt;"LC_USANCE",$D161&lt;&gt;"TT_ADV",$O161&gt;=30),1,0))</f>
        <v/>
      </c>
      <c r="Y161" s="37">
        <f>IF($A161="","",IF($O161&lt;=0,"미연체",IF($O161&lt;=30,"1-30",IF($O161&lt;=90,"31-90",IF($O161&lt;=180,"91-180",IF($O161&lt;=365,"181-365","365+"))))))</f>
        <v/>
      </c>
      <c r="Z161" s="37">
        <f>IF($S161="통지 기한 임박 — 사람 결정",COUNTIF($S$5:$S161,"통지 기한 임박 — 사람 결정"),"")</f>
        <v/>
      </c>
    </row>
    <row r="162">
      <c r="A162" t="inlineStr">
        <is>
          <t>INV-2609-0121</t>
        </is>
      </c>
      <c r="B162" t="inlineStr">
        <is>
          <t>B084</t>
        </is>
      </c>
      <c r="C162" t="inlineStr">
        <is>
          <t>POL</t>
        </is>
      </c>
      <c r="D162" t="inlineStr">
        <is>
          <t>OA</t>
        </is>
      </c>
      <c r="E162" t="inlineStr">
        <is>
          <t>EUR</t>
        </is>
      </c>
      <c r="F162" t="inlineStr">
        <is>
          <t>N</t>
        </is>
      </c>
      <c r="G162" s="32" t="n">
        <v>46288</v>
      </c>
      <c r="H162" s="32" t="n">
        <v>46378</v>
      </c>
      <c r="I162" s="82" t="n">
        <v>3790</v>
      </c>
      <c r="J162" s="82" t="n">
        <v>4320.6</v>
      </c>
      <c r="K162" t="inlineStr">
        <is>
          <t>N</t>
        </is>
      </c>
      <c r="N162" t="inlineStr">
        <is>
          <t>N</t>
        </is>
      </c>
      <c r="O162" s="37">
        <f>IF($A162="","",AsOf-$H162)</f>
        <v/>
      </c>
      <c r="P162" s="37">
        <f>IF($A162="","",IF($K162="Y","-",IF($O162&gt;=30,"D+30 최종통지·선적보류",IF($O162&gt;=15,"D+15 단호한 통지",IF($O162&gt;=7,"D+7 친절한 리마인더",IF(AND($O162&gt;=-3,$O162&lt;=-1),"D-3 사전 안내","모니터링"))))))</f>
        <v/>
      </c>
      <c r="Q162" s="83">
        <f>IF($A162="","",EDATE($H162,1))</f>
        <v/>
      </c>
      <c r="R162" s="37">
        <f>IF($A162="","",$Q162-AsOf)</f>
        <v/>
      </c>
      <c r="S162" s="37">
        <f>IF($A162="","",IF(OR($K162="Y",$F162&lt;&gt;"Y",$O162&lt;=0),"",IF($R162&lt;0,"통지 기한 경과 — 즉시 확인",IF($R162&lt;=NoticeWarnDays,"통지 기한 임박 — 사람 결정",""))))</f>
        <v/>
      </c>
      <c r="T162" s="83">
        <f>IF(OR($A162="",$F162&lt;&gt;"Y"),"",IF(IF($L162="",InsuranceType,$L162)="포괄",DATE(YEAR($G162),MONTH($G162)+1,20),WORKDAY($G162,10)))</f>
        <v/>
      </c>
      <c r="U162" s="83">
        <f>IF(OR($A162="",$M162=""),"",WORKDAY($M162,10))</f>
        <v/>
      </c>
      <c r="V162" s="37">
        <f>IF($A162="","",IF($N162="Y","사기 의심: 콜백 검증 전 대금 안내 중단",""))</f>
        <v/>
      </c>
      <c r="W162" s="37">
        <f>IF($A162="","",IF(AND($K162="N",$D162&lt;&gt;"LC_SIGHT",$D162&lt;&gt;"LC_USANCE",$D162&lt;&gt;"TT_ADV"),$O162,""))</f>
        <v/>
      </c>
      <c r="X162" s="37">
        <f>IF($A162="",0,IF(AND($K162="N",$D162&lt;&gt;"LC_SIGHT",$D162&lt;&gt;"LC_USANCE",$D162&lt;&gt;"TT_ADV",$O162&gt;=30),1,0))</f>
        <v/>
      </c>
      <c r="Y162" s="37">
        <f>IF($A162="","",IF($O162&lt;=0,"미연체",IF($O162&lt;=30,"1-30",IF($O162&lt;=90,"31-90",IF($O162&lt;=180,"91-180",IF($O162&lt;=365,"181-365","365+"))))))</f>
        <v/>
      </c>
      <c r="Z162" s="37">
        <f>IF($S162="통지 기한 임박 — 사람 결정",COUNTIF($S$5:$S162,"통지 기한 임박 — 사람 결정"),"")</f>
        <v/>
      </c>
    </row>
    <row r="163">
      <c r="A163" t="inlineStr">
        <is>
          <t>INV-2609-0140</t>
        </is>
      </c>
      <c r="B163" t="inlineStr">
        <is>
          <t>B084</t>
        </is>
      </c>
      <c r="C163" t="inlineStr">
        <is>
          <t>POL</t>
        </is>
      </c>
      <c r="D163" t="inlineStr">
        <is>
          <t>OA</t>
        </is>
      </c>
      <c r="E163" t="inlineStr">
        <is>
          <t>EUR</t>
        </is>
      </c>
      <c r="F163" t="inlineStr">
        <is>
          <t>N</t>
        </is>
      </c>
      <c r="G163" s="32" t="n">
        <v>46291</v>
      </c>
      <c r="H163" s="32" t="n">
        <v>46381</v>
      </c>
      <c r="I163" s="82" t="n">
        <v>10900</v>
      </c>
      <c r="J163" s="82" t="n">
        <v>12425.99</v>
      </c>
      <c r="K163" t="inlineStr">
        <is>
          <t>N</t>
        </is>
      </c>
      <c r="N163" t="inlineStr">
        <is>
          <t>N</t>
        </is>
      </c>
      <c r="O163" s="37">
        <f>IF($A163="","",AsOf-$H163)</f>
        <v/>
      </c>
      <c r="P163" s="37">
        <f>IF($A163="","",IF($K163="Y","-",IF($O163&gt;=30,"D+30 최종통지·선적보류",IF($O163&gt;=15,"D+15 단호한 통지",IF($O163&gt;=7,"D+7 친절한 리마인더",IF(AND($O163&gt;=-3,$O163&lt;=-1),"D-3 사전 안내","모니터링"))))))</f>
        <v/>
      </c>
      <c r="Q163" s="83">
        <f>IF($A163="","",EDATE($H163,1))</f>
        <v/>
      </c>
      <c r="R163" s="37">
        <f>IF($A163="","",$Q163-AsOf)</f>
        <v/>
      </c>
      <c r="S163" s="37">
        <f>IF($A163="","",IF(OR($K163="Y",$F163&lt;&gt;"Y",$O163&lt;=0),"",IF($R163&lt;0,"통지 기한 경과 — 즉시 확인",IF($R163&lt;=NoticeWarnDays,"통지 기한 임박 — 사람 결정",""))))</f>
        <v/>
      </c>
      <c r="T163" s="83">
        <f>IF(OR($A163="",$F163&lt;&gt;"Y"),"",IF(IF($L163="",InsuranceType,$L163)="포괄",DATE(YEAR($G163),MONTH($G163)+1,20),WORKDAY($G163,10)))</f>
        <v/>
      </c>
      <c r="U163" s="83">
        <f>IF(OR($A163="",$M163=""),"",WORKDAY($M163,10))</f>
        <v/>
      </c>
      <c r="V163" s="37">
        <f>IF($A163="","",IF($N163="Y","사기 의심: 콜백 검증 전 대금 안내 중단",""))</f>
        <v/>
      </c>
      <c r="W163" s="37">
        <f>IF($A163="","",IF(AND($K163="N",$D163&lt;&gt;"LC_SIGHT",$D163&lt;&gt;"LC_USANCE",$D163&lt;&gt;"TT_ADV"),$O163,""))</f>
        <v/>
      </c>
      <c r="X163" s="37">
        <f>IF($A163="",0,IF(AND($K163="N",$D163&lt;&gt;"LC_SIGHT",$D163&lt;&gt;"LC_USANCE",$D163&lt;&gt;"TT_ADV",$O163&gt;=30),1,0))</f>
        <v/>
      </c>
      <c r="Y163" s="37">
        <f>IF($A163="","",IF($O163&lt;=0,"미연체",IF($O163&lt;=30,"1-30",IF($O163&lt;=90,"31-90",IF($O163&lt;=180,"91-180",IF($O163&lt;=365,"181-365","365+"))))))</f>
        <v/>
      </c>
      <c r="Z163" s="37">
        <f>IF($S163="통지 기한 임박 — 사람 결정",COUNTIF($S$5:$S163,"통지 기한 임박 — 사람 결정"),"")</f>
        <v/>
      </c>
    </row>
    <row r="164">
      <c r="A164" t="inlineStr">
        <is>
          <t>INV-2606-0043</t>
        </is>
      </c>
      <c r="B164" t="inlineStr">
        <is>
          <t>B085</t>
        </is>
      </c>
      <c r="C164" t="inlineStr">
        <is>
          <t>ARE</t>
        </is>
      </c>
      <c r="D164" t="inlineStr">
        <is>
          <t>OA</t>
        </is>
      </c>
      <c r="E164" t="inlineStr">
        <is>
          <t>USD</t>
        </is>
      </c>
      <c r="F164" t="inlineStr">
        <is>
          <t>Y</t>
        </is>
      </c>
      <c r="G164" s="32" t="n">
        <v>46183</v>
      </c>
      <c r="H164" s="32" t="n">
        <v>46273</v>
      </c>
      <c r="I164" s="82" t="n">
        <v>40500</v>
      </c>
      <c r="J164" s="82" t="n">
        <v>40500</v>
      </c>
      <c r="K164" t="inlineStr">
        <is>
          <t>N</t>
        </is>
      </c>
      <c r="L164" t="inlineStr">
        <is>
          <t>개별</t>
        </is>
      </c>
      <c r="N164" t="inlineStr">
        <is>
          <t>N</t>
        </is>
      </c>
      <c r="O164" s="37">
        <f>IF($A164="","",AsOf-$H164)</f>
        <v/>
      </c>
      <c r="P164" s="37">
        <f>IF($A164="","",IF($K164="Y","-",IF($O164&gt;=30,"D+30 최종통지·선적보류",IF($O164&gt;=15,"D+15 단호한 통지",IF($O164&gt;=7,"D+7 친절한 리마인더",IF(AND($O164&gt;=-3,$O164&lt;=-1),"D-3 사전 안내","모니터링"))))))</f>
        <v/>
      </c>
      <c r="Q164" s="83">
        <f>IF($A164="","",EDATE($H164,1))</f>
        <v/>
      </c>
      <c r="R164" s="37">
        <f>IF($A164="","",$Q164-AsOf)</f>
        <v/>
      </c>
      <c r="S164" s="37">
        <f>IF($A164="","",IF(OR($K164="Y",$F164&lt;&gt;"Y",$O164&lt;=0),"",IF($R164&lt;0,"통지 기한 경과 — 즉시 확인",IF($R164&lt;=NoticeWarnDays,"통지 기한 임박 — 사람 결정",""))))</f>
        <v/>
      </c>
      <c r="T164" s="83">
        <f>IF(OR($A164="",$F164&lt;&gt;"Y"),"",IF(IF($L164="",InsuranceType,$L164)="포괄",DATE(YEAR($G164),MONTH($G164)+1,20),WORKDAY($G164,10)))</f>
        <v/>
      </c>
      <c r="U164" s="83">
        <f>IF(OR($A164="",$M164=""),"",WORKDAY($M164,10))</f>
        <v/>
      </c>
      <c r="V164" s="37">
        <f>IF($A164="","",IF($N164="Y","사기 의심: 콜백 검증 전 대금 안내 중단",""))</f>
        <v/>
      </c>
      <c r="W164" s="37">
        <f>IF($A164="","",IF(AND($K164="N",$D164&lt;&gt;"LC_SIGHT",$D164&lt;&gt;"LC_USANCE",$D164&lt;&gt;"TT_ADV"),$O164,""))</f>
        <v/>
      </c>
      <c r="X164" s="37">
        <f>IF($A164="",0,IF(AND($K164="N",$D164&lt;&gt;"LC_SIGHT",$D164&lt;&gt;"LC_USANCE",$D164&lt;&gt;"TT_ADV",$O164&gt;=30),1,0))</f>
        <v/>
      </c>
      <c r="Y164" s="37">
        <f>IF($A164="","",IF($O164&lt;=0,"미연체",IF($O164&lt;=30,"1-30",IF($O164&lt;=90,"31-90",IF($O164&lt;=180,"91-180",IF($O164&lt;=365,"181-365","365+"))))))</f>
        <v/>
      </c>
      <c r="Z164" s="37">
        <f>IF($S164="통지 기한 임박 — 사람 결정",COUNTIF($S$5:$S164,"통지 기한 임박 — 사람 결정"),"")</f>
        <v/>
      </c>
    </row>
    <row r="165">
      <c r="A165" t="inlineStr">
        <is>
          <t>INV-2607-0115</t>
        </is>
      </c>
      <c r="B165" t="inlineStr">
        <is>
          <t>B085</t>
        </is>
      </c>
      <c r="C165" t="inlineStr">
        <is>
          <t>ARE</t>
        </is>
      </c>
      <c r="D165" t="inlineStr">
        <is>
          <t>OA</t>
        </is>
      </c>
      <c r="E165" t="inlineStr">
        <is>
          <t>USD</t>
        </is>
      </c>
      <c r="F165" t="inlineStr">
        <is>
          <t>Y</t>
        </is>
      </c>
      <c r="G165" s="32" t="n">
        <v>46223</v>
      </c>
      <c r="H165" s="32" t="n">
        <v>46313</v>
      </c>
      <c r="I165" s="82" t="n">
        <v>63000</v>
      </c>
      <c r="J165" s="82" t="n">
        <v>63000</v>
      </c>
      <c r="K165" t="inlineStr">
        <is>
          <t>N</t>
        </is>
      </c>
      <c r="L165" t="inlineStr">
        <is>
          <t>개별</t>
        </is>
      </c>
      <c r="N165" t="inlineStr">
        <is>
          <t>N</t>
        </is>
      </c>
      <c r="O165" s="37">
        <f>IF($A165="","",AsOf-$H165)</f>
        <v/>
      </c>
      <c r="P165" s="37">
        <f>IF($A165="","",IF($K165="Y","-",IF($O165&gt;=30,"D+30 최종통지·선적보류",IF($O165&gt;=15,"D+15 단호한 통지",IF($O165&gt;=7,"D+7 친절한 리마인더",IF(AND($O165&gt;=-3,$O165&lt;=-1),"D-3 사전 안내","모니터링"))))))</f>
        <v/>
      </c>
      <c r="Q165" s="83">
        <f>IF($A165="","",EDATE($H165,1))</f>
        <v/>
      </c>
      <c r="R165" s="37">
        <f>IF($A165="","",$Q165-AsOf)</f>
        <v/>
      </c>
      <c r="S165" s="37">
        <f>IF($A165="","",IF(OR($K165="Y",$F165&lt;&gt;"Y",$O165&lt;=0),"",IF($R165&lt;0,"통지 기한 경과 — 즉시 확인",IF($R165&lt;=NoticeWarnDays,"통지 기한 임박 — 사람 결정",""))))</f>
        <v/>
      </c>
      <c r="T165" s="83">
        <f>IF(OR($A165="",$F165&lt;&gt;"Y"),"",IF(IF($L165="",InsuranceType,$L165)="포괄",DATE(YEAR($G165),MONTH($G165)+1,20),WORKDAY($G165,10)))</f>
        <v/>
      </c>
      <c r="U165" s="83">
        <f>IF(OR($A165="",$M165=""),"",WORKDAY($M165,10))</f>
        <v/>
      </c>
      <c r="V165" s="37">
        <f>IF($A165="","",IF($N165="Y","사기 의심: 콜백 검증 전 대금 안내 중단",""))</f>
        <v/>
      </c>
      <c r="W165" s="37">
        <f>IF($A165="","",IF(AND($K165="N",$D165&lt;&gt;"LC_SIGHT",$D165&lt;&gt;"LC_USANCE",$D165&lt;&gt;"TT_ADV"),$O165,""))</f>
        <v/>
      </c>
      <c r="X165" s="37">
        <f>IF($A165="",0,IF(AND($K165="N",$D165&lt;&gt;"LC_SIGHT",$D165&lt;&gt;"LC_USANCE",$D165&lt;&gt;"TT_ADV",$O165&gt;=30),1,0))</f>
        <v/>
      </c>
      <c r="Y165" s="37">
        <f>IF($A165="","",IF($O165&lt;=0,"미연체",IF($O165&lt;=30,"1-30",IF($O165&lt;=90,"31-90",IF($O165&lt;=180,"91-180",IF($O165&lt;=365,"181-365","365+"))))))</f>
        <v/>
      </c>
      <c r="Z165" s="37">
        <f>IF($S165="통지 기한 임박 — 사람 결정",COUNTIF($S$5:$S165,"통지 기한 임박 — 사람 결정"),"")</f>
        <v/>
      </c>
    </row>
    <row r="166">
      <c r="A166" t="inlineStr">
        <is>
          <t>INV-2609-0031</t>
        </is>
      </c>
      <c r="B166" t="inlineStr">
        <is>
          <t>B085</t>
        </is>
      </c>
      <c r="C166" t="inlineStr">
        <is>
          <t>ARE</t>
        </is>
      </c>
      <c r="D166" t="inlineStr">
        <is>
          <t>OA</t>
        </is>
      </c>
      <c r="E166" t="inlineStr">
        <is>
          <t>USD</t>
        </is>
      </c>
      <c r="F166" t="inlineStr">
        <is>
          <t>Y</t>
        </is>
      </c>
      <c r="G166" s="32" t="n">
        <v>46270</v>
      </c>
      <c r="H166" s="32" t="n">
        <v>46360</v>
      </c>
      <c r="I166" s="82" t="n">
        <v>108000</v>
      </c>
      <c r="J166" s="82" t="n">
        <v>108000</v>
      </c>
      <c r="K166" t="inlineStr">
        <is>
          <t>N</t>
        </is>
      </c>
      <c r="L166" t="inlineStr">
        <is>
          <t>개별</t>
        </is>
      </c>
      <c r="N166" t="inlineStr">
        <is>
          <t>N</t>
        </is>
      </c>
      <c r="O166" s="37">
        <f>IF($A166="","",AsOf-$H166)</f>
        <v/>
      </c>
      <c r="P166" s="37">
        <f>IF($A166="","",IF($K166="Y","-",IF($O166&gt;=30,"D+30 최종통지·선적보류",IF($O166&gt;=15,"D+15 단호한 통지",IF($O166&gt;=7,"D+7 친절한 리마인더",IF(AND($O166&gt;=-3,$O166&lt;=-1),"D-3 사전 안내","모니터링"))))))</f>
        <v/>
      </c>
      <c r="Q166" s="83">
        <f>IF($A166="","",EDATE($H166,1))</f>
        <v/>
      </c>
      <c r="R166" s="37">
        <f>IF($A166="","",$Q166-AsOf)</f>
        <v/>
      </c>
      <c r="S166" s="37">
        <f>IF($A166="","",IF(OR($K166="Y",$F166&lt;&gt;"Y",$O166&lt;=0),"",IF($R166&lt;0,"통지 기한 경과 — 즉시 확인",IF($R166&lt;=NoticeWarnDays,"통지 기한 임박 — 사람 결정",""))))</f>
        <v/>
      </c>
      <c r="T166" s="83">
        <f>IF(OR($A166="",$F166&lt;&gt;"Y"),"",IF(IF($L166="",InsuranceType,$L166)="포괄",DATE(YEAR($G166),MONTH($G166)+1,20),WORKDAY($G166,10)))</f>
        <v/>
      </c>
      <c r="U166" s="83">
        <f>IF(OR($A166="",$M166=""),"",WORKDAY($M166,10))</f>
        <v/>
      </c>
      <c r="V166" s="37">
        <f>IF($A166="","",IF($N166="Y","사기 의심: 콜백 검증 전 대금 안내 중단",""))</f>
        <v/>
      </c>
      <c r="W166" s="37">
        <f>IF($A166="","",IF(AND($K166="N",$D166&lt;&gt;"LC_SIGHT",$D166&lt;&gt;"LC_USANCE",$D166&lt;&gt;"TT_ADV"),$O166,""))</f>
        <v/>
      </c>
      <c r="X166" s="37">
        <f>IF($A166="",0,IF(AND($K166="N",$D166&lt;&gt;"LC_SIGHT",$D166&lt;&gt;"LC_USANCE",$D166&lt;&gt;"TT_ADV",$O166&gt;=30),1,0))</f>
        <v/>
      </c>
      <c r="Y166" s="37">
        <f>IF($A166="","",IF($O166&lt;=0,"미연체",IF($O166&lt;=30,"1-30",IF($O166&lt;=90,"31-90",IF($O166&lt;=180,"91-180",IF($O166&lt;=365,"181-365","365+"))))))</f>
        <v/>
      </c>
      <c r="Z166" s="37">
        <f>IF($S166="통지 기한 임박 — 사람 결정",COUNTIF($S$5:$S166,"통지 기한 임박 — 사람 결정"),"")</f>
        <v/>
      </c>
    </row>
    <row r="167">
      <c r="A167" t="inlineStr">
        <is>
          <t>INV-2607-0137</t>
        </is>
      </c>
      <c r="B167" t="inlineStr">
        <is>
          <t>B086</t>
        </is>
      </c>
      <c r="C167" t="inlineStr">
        <is>
          <t>DEU</t>
        </is>
      </c>
      <c r="D167" t="inlineStr">
        <is>
          <t>OA</t>
        </is>
      </c>
      <c r="E167" t="inlineStr">
        <is>
          <t>EUR</t>
        </is>
      </c>
      <c r="F167" t="inlineStr">
        <is>
          <t>N</t>
        </is>
      </c>
      <c r="G167" s="32" t="n">
        <v>46225</v>
      </c>
      <c r="H167" s="32" t="n">
        <v>46315</v>
      </c>
      <c r="I167" s="82" t="n">
        <v>35750</v>
      </c>
      <c r="J167" s="82" t="n">
        <v>40754.96</v>
      </c>
      <c r="K167" t="inlineStr">
        <is>
          <t>N</t>
        </is>
      </c>
      <c r="N167" t="inlineStr">
        <is>
          <t>N</t>
        </is>
      </c>
      <c r="O167" s="37">
        <f>IF($A167="","",AsOf-$H167)</f>
        <v/>
      </c>
      <c r="P167" s="37">
        <f>IF($A167="","",IF($K167="Y","-",IF($O167&gt;=30,"D+30 최종통지·선적보류",IF($O167&gt;=15,"D+15 단호한 통지",IF($O167&gt;=7,"D+7 친절한 리마인더",IF(AND($O167&gt;=-3,$O167&lt;=-1),"D-3 사전 안내","모니터링"))))))</f>
        <v/>
      </c>
      <c r="Q167" s="83">
        <f>IF($A167="","",EDATE($H167,1))</f>
        <v/>
      </c>
      <c r="R167" s="37">
        <f>IF($A167="","",$Q167-AsOf)</f>
        <v/>
      </c>
      <c r="S167" s="37">
        <f>IF($A167="","",IF(OR($K167="Y",$F167&lt;&gt;"Y",$O167&lt;=0),"",IF($R167&lt;0,"통지 기한 경과 — 즉시 확인",IF($R167&lt;=NoticeWarnDays,"통지 기한 임박 — 사람 결정",""))))</f>
        <v/>
      </c>
      <c r="T167" s="83">
        <f>IF(OR($A167="",$F167&lt;&gt;"Y"),"",IF(IF($L167="",InsuranceType,$L167)="포괄",DATE(YEAR($G167),MONTH($G167)+1,20),WORKDAY($G167,10)))</f>
        <v/>
      </c>
      <c r="U167" s="83">
        <f>IF(OR($A167="",$M167=""),"",WORKDAY($M167,10))</f>
        <v/>
      </c>
      <c r="V167" s="37">
        <f>IF($A167="","",IF($N167="Y","사기 의심: 콜백 검증 전 대금 안내 중단",""))</f>
        <v/>
      </c>
      <c r="W167" s="37">
        <f>IF($A167="","",IF(AND($K167="N",$D167&lt;&gt;"LC_SIGHT",$D167&lt;&gt;"LC_USANCE",$D167&lt;&gt;"TT_ADV"),$O167,""))</f>
        <v/>
      </c>
      <c r="X167" s="37">
        <f>IF($A167="",0,IF(AND($K167="N",$D167&lt;&gt;"LC_SIGHT",$D167&lt;&gt;"LC_USANCE",$D167&lt;&gt;"TT_ADV",$O167&gt;=30),1,0))</f>
        <v/>
      </c>
      <c r="Y167" s="37">
        <f>IF($A167="","",IF($O167&lt;=0,"미연체",IF($O167&lt;=30,"1-30",IF($O167&lt;=90,"31-90",IF($O167&lt;=180,"91-180",IF($O167&lt;=365,"181-365","365+"))))))</f>
        <v/>
      </c>
      <c r="Z167" s="37">
        <f>IF($S167="통지 기한 임박 — 사람 결정",COUNTIF($S$5:$S167,"통지 기한 임박 — 사람 결정"),"")</f>
        <v/>
      </c>
    </row>
    <row r="168">
      <c r="A168" t="inlineStr">
        <is>
          <t>INV-2609-0113</t>
        </is>
      </c>
      <c r="B168" t="inlineStr">
        <is>
          <t>B086</t>
        </is>
      </c>
      <c r="C168" t="inlineStr">
        <is>
          <t>DEU</t>
        </is>
      </c>
      <c r="D168" t="inlineStr">
        <is>
          <t>TT_SPLIT_30_70</t>
        </is>
      </c>
      <c r="E168" t="inlineStr">
        <is>
          <t>EUR</t>
        </is>
      </c>
      <c r="F168" t="inlineStr">
        <is>
          <t>N</t>
        </is>
      </c>
      <c r="G168" s="32" t="n">
        <v>46286</v>
      </c>
      <c r="H168" s="32" t="n">
        <v>46316</v>
      </c>
      <c r="I168" s="82" t="n">
        <v>2065</v>
      </c>
      <c r="J168" s="82" t="n">
        <v>2354.1</v>
      </c>
      <c r="K168" t="inlineStr">
        <is>
          <t>N</t>
        </is>
      </c>
      <c r="N168" t="inlineStr">
        <is>
          <t>N</t>
        </is>
      </c>
      <c r="O168" s="37">
        <f>IF($A168="","",AsOf-$H168)</f>
        <v/>
      </c>
      <c r="P168" s="37">
        <f>IF($A168="","",IF($K168="Y","-",IF($O168&gt;=30,"D+30 최종통지·선적보류",IF($O168&gt;=15,"D+15 단호한 통지",IF($O168&gt;=7,"D+7 친절한 리마인더",IF(AND($O168&gt;=-3,$O168&lt;=-1),"D-3 사전 안내","모니터링"))))))</f>
        <v/>
      </c>
      <c r="Q168" s="83">
        <f>IF($A168="","",EDATE($H168,1))</f>
        <v/>
      </c>
      <c r="R168" s="37">
        <f>IF($A168="","",$Q168-AsOf)</f>
        <v/>
      </c>
      <c r="S168" s="37">
        <f>IF($A168="","",IF(OR($K168="Y",$F168&lt;&gt;"Y",$O168&lt;=0),"",IF($R168&lt;0,"통지 기한 경과 — 즉시 확인",IF($R168&lt;=NoticeWarnDays,"통지 기한 임박 — 사람 결정",""))))</f>
        <v/>
      </c>
      <c r="T168" s="83">
        <f>IF(OR($A168="",$F168&lt;&gt;"Y"),"",IF(IF($L168="",InsuranceType,$L168)="포괄",DATE(YEAR($G168),MONTH($G168)+1,20),WORKDAY($G168,10)))</f>
        <v/>
      </c>
      <c r="U168" s="83">
        <f>IF(OR($A168="",$M168=""),"",WORKDAY($M168,10))</f>
        <v/>
      </c>
      <c r="V168" s="37">
        <f>IF($A168="","",IF($N168="Y","사기 의심: 콜백 검증 전 대금 안내 중단",""))</f>
        <v/>
      </c>
      <c r="W168" s="37">
        <f>IF($A168="","",IF(AND($K168="N",$D168&lt;&gt;"LC_SIGHT",$D168&lt;&gt;"LC_USANCE",$D168&lt;&gt;"TT_ADV"),$O168,""))</f>
        <v/>
      </c>
      <c r="X168" s="37">
        <f>IF($A168="",0,IF(AND($K168="N",$D168&lt;&gt;"LC_SIGHT",$D168&lt;&gt;"LC_USANCE",$D168&lt;&gt;"TT_ADV",$O168&gt;=30),1,0))</f>
        <v/>
      </c>
      <c r="Y168" s="37">
        <f>IF($A168="","",IF($O168&lt;=0,"미연체",IF($O168&lt;=30,"1-30",IF($O168&lt;=90,"31-90",IF($O168&lt;=180,"91-180",IF($O168&lt;=365,"181-365","365+"))))))</f>
        <v/>
      </c>
      <c r="Z168" s="37">
        <f>IF($S168="통지 기한 임박 — 사람 결정",COUNTIF($S$5:$S168,"통지 기한 임박 — 사람 결정"),"")</f>
        <v/>
      </c>
    </row>
    <row r="169">
      <c r="A169" t="inlineStr">
        <is>
          <t>INV-2608-0086</t>
        </is>
      </c>
      <c r="B169" t="inlineStr">
        <is>
          <t>B086</t>
        </is>
      </c>
      <c r="C169" t="inlineStr">
        <is>
          <t>DEU</t>
        </is>
      </c>
      <c r="D169" t="inlineStr">
        <is>
          <t>OA</t>
        </is>
      </c>
      <c r="E169" t="inlineStr">
        <is>
          <t>EUR</t>
        </is>
      </c>
      <c r="F169" t="inlineStr">
        <is>
          <t>N</t>
        </is>
      </c>
      <c r="G169" s="32" t="n">
        <v>46252</v>
      </c>
      <c r="H169" s="32" t="n">
        <v>46342</v>
      </c>
      <c r="I169" s="82" t="n">
        <v>5780</v>
      </c>
      <c r="J169" s="82" t="n">
        <v>6589.19</v>
      </c>
      <c r="K169" t="inlineStr">
        <is>
          <t>N</t>
        </is>
      </c>
      <c r="N169" t="inlineStr">
        <is>
          <t>N</t>
        </is>
      </c>
      <c r="O169" s="37">
        <f>IF($A169="","",AsOf-$H169)</f>
        <v/>
      </c>
      <c r="P169" s="37">
        <f>IF($A169="","",IF($K169="Y","-",IF($O169&gt;=30,"D+30 최종통지·선적보류",IF($O169&gt;=15,"D+15 단호한 통지",IF($O169&gt;=7,"D+7 친절한 리마인더",IF(AND($O169&gt;=-3,$O169&lt;=-1),"D-3 사전 안내","모니터링"))))))</f>
        <v/>
      </c>
      <c r="Q169" s="83">
        <f>IF($A169="","",EDATE($H169,1))</f>
        <v/>
      </c>
      <c r="R169" s="37">
        <f>IF($A169="","",$Q169-AsOf)</f>
        <v/>
      </c>
      <c r="S169" s="37">
        <f>IF($A169="","",IF(OR($K169="Y",$F169&lt;&gt;"Y",$O169&lt;=0),"",IF($R169&lt;0,"통지 기한 경과 — 즉시 확인",IF($R169&lt;=NoticeWarnDays,"통지 기한 임박 — 사람 결정",""))))</f>
        <v/>
      </c>
      <c r="T169" s="83">
        <f>IF(OR($A169="",$F169&lt;&gt;"Y"),"",IF(IF($L169="",InsuranceType,$L169)="포괄",DATE(YEAR($G169),MONTH($G169)+1,20),WORKDAY($G169,10)))</f>
        <v/>
      </c>
      <c r="U169" s="83">
        <f>IF(OR($A169="",$M169=""),"",WORKDAY($M169,10))</f>
        <v/>
      </c>
      <c r="V169" s="37">
        <f>IF($A169="","",IF($N169="Y","사기 의심: 콜백 검증 전 대금 안내 중단",""))</f>
        <v/>
      </c>
      <c r="W169" s="37">
        <f>IF($A169="","",IF(AND($K169="N",$D169&lt;&gt;"LC_SIGHT",$D169&lt;&gt;"LC_USANCE",$D169&lt;&gt;"TT_ADV"),$O169,""))</f>
        <v/>
      </c>
      <c r="X169" s="37">
        <f>IF($A169="",0,IF(AND($K169="N",$D169&lt;&gt;"LC_SIGHT",$D169&lt;&gt;"LC_USANCE",$D169&lt;&gt;"TT_ADV",$O169&gt;=30),1,0))</f>
        <v/>
      </c>
      <c r="Y169" s="37">
        <f>IF($A169="","",IF($O169&lt;=0,"미연체",IF($O169&lt;=30,"1-30",IF($O169&lt;=90,"31-90",IF($O169&lt;=180,"91-180",IF($O169&lt;=365,"181-365","365+"))))))</f>
        <v/>
      </c>
      <c r="Z169" s="37">
        <f>IF($S169="통지 기한 임박 — 사람 결정",COUNTIF($S$5:$S169,"통지 기한 임박 — 사람 결정"),"")</f>
        <v/>
      </c>
    </row>
    <row r="170">
      <c r="A170" t="inlineStr">
        <is>
          <t>INV-2608-0129</t>
        </is>
      </c>
      <c r="B170" t="inlineStr">
        <is>
          <t>B086</t>
        </is>
      </c>
      <c r="C170" t="inlineStr">
        <is>
          <t>DEU</t>
        </is>
      </c>
      <c r="D170" t="inlineStr">
        <is>
          <t>OA</t>
        </is>
      </c>
      <c r="E170" t="inlineStr">
        <is>
          <t>EUR</t>
        </is>
      </c>
      <c r="F170" t="inlineStr">
        <is>
          <t>N</t>
        </is>
      </c>
      <c r="G170" s="32" t="n">
        <v>46260</v>
      </c>
      <c r="H170" s="32" t="n">
        <v>46350</v>
      </c>
      <c r="I170" s="82" t="n">
        <v>16640</v>
      </c>
      <c r="J170" s="82" t="n">
        <v>18969.58</v>
      </c>
      <c r="K170" t="inlineStr">
        <is>
          <t>N</t>
        </is>
      </c>
      <c r="N170" t="inlineStr">
        <is>
          <t>N</t>
        </is>
      </c>
      <c r="O170" s="37">
        <f>IF($A170="","",AsOf-$H170)</f>
        <v/>
      </c>
      <c r="P170" s="37">
        <f>IF($A170="","",IF($K170="Y","-",IF($O170&gt;=30,"D+30 최종통지·선적보류",IF($O170&gt;=15,"D+15 단호한 통지",IF($O170&gt;=7,"D+7 친절한 리마인더",IF(AND($O170&gt;=-3,$O170&lt;=-1),"D-3 사전 안내","모니터링"))))))</f>
        <v/>
      </c>
      <c r="Q170" s="83">
        <f>IF($A170="","",EDATE($H170,1))</f>
        <v/>
      </c>
      <c r="R170" s="37">
        <f>IF($A170="","",$Q170-AsOf)</f>
        <v/>
      </c>
      <c r="S170" s="37">
        <f>IF($A170="","",IF(OR($K170="Y",$F170&lt;&gt;"Y",$O170&lt;=0),"",IF($R170&lt;0,"통지 기한 경과 — 즉시 확인",IF($R170&lt;=NoticeWarnDays,"통지 기한 임박 — 사람 결정",""))))</f>
        <v/>
      </c>
      <c r="T170" s="83">
        <f>IF(OR($A170="",$F170&lt;&gt;"Y"),"",IF(IF($L170="",InsuranceType,$L170)="포괄",DATE(YEAR($G170),MONTH($G170)+1,20),WORKDAY($G170,10)))</f>
        <v/>
      </c>
      <c r="U170" s="83">
        <f>IF(OR($A170="",$M170=""),"",WORKDAY($M170,10))</f>
        <v/>
      </c>
      <c r="V170" s="37">
        <f>IF($A170="","",IF($N170="Y","사기 의심: 콜백 검증 전 대금 안내 중단",""))</f>
        <v/>
      </c>
      <c r="W170" s="37">
        <f>IF($A170="","",IF(AND($K170="N",$D170&lt;&gt;"LC_SIGHT",$D170&lt;&gt;"LC_USANCE",$D170&lt;&gt;"TT_ADV"),$O170,""))</f>
        <v/>
      </c>
      <c r="X170" s="37">
        <f>IF($A170="",0,IF(AND($K170="N",$D170&lt;&gt;"LC_SIGHT",$D170&lt;&gt;"LC_USANCE",$D170&lt;&gt;"TT_ADV",$O170&gt;=30),1,0))</f>
        <v/>
      </c>
      <c r="Y170" s="37">
        <f>IF($A170="","",IF($O170&lt;=0,"미연체",IF($O170&lt;=30,"1-30",IF($O170&lt;=90,"31-90",IF($O170&lt;=180,"91-180",IF($O170&lt;=365,"181-365","365+"))))))</f>
        <v/>
      </c>
      <c r="Z170" s="37">
        <f>IF($S170="통지 기한 임박 — 사람 결정",COUNTIF($S$5:$S170,"통지 기한 임박 — 사람 결정"),"")</f>
        <v/>
      </c>
    </row>
    <row r="171">
      <c r="A171" t="inlineStr">
        <is>
          <t>INV-2608-0147</t>
        </is>
      </c>
      <c r="B171" t="inlineStr">
        <is>
          <t>B086</t>
        </is>
      </c>
      <c r="C171" t="inlineStr">
        <is>
          <t>DEU</t>
        </is>
      </c>
      <c r="D171" t="inlineStr">
        <is>
          <t>OA</t>
        </is>
      </c>
      <c r="E171" t="inlineStr">
        <is>
          <t>EUR</t>
        </is>
      </c>
      <c r="F171" t="inlineStr">
        <is>
          <t>N</t>
        </is>
      </c>
      <c r="G171" s="32" t="n">
        <v>46264</v>
      </c>
      <c r="H171" s="32" t="n">
        <v>46354</v>
      </c>
      <c r="I171" s="82" t="n">
        <v>4440</v>
      </c>
      <c r="J171" s="82" t="n">
        <v>5061.6</v>
      </c>
      <c r="K171" t="inlineStr">
        <is>
          <t>N</t>
        </is>
      </c>
      <c r="N171" t="inlineStr">
        <is>
          <t>N</t>
        </is>
      </c>
      <c r="O171" s="37">
        <f>IF($A171="","",AsOf-$H171)</f>
        <v/>
      </c>
      <c r="P171" s="37">
        <f>IF($A171="","",IF($K171="Y","-",IF($O171&gt;=30,"D+30 최종통지·선적보류",IF($O171&gt;=15,"D+15 단호한 통지",IF($O171&gt;=7,"D+7 친절한 리마인더",IF(AND($O171&gt;=-3,$O171&lt;=-1),"D-3 사전 안내","모니터링"))))))</f>
        <v/>
      </c>
      <c r="Q171" s="83">
        <f>IF($A171="","",EDATE($H171,1))</f>
        <v/>
      </c>
      <c r="R171" s="37">
        <f>IF($A171="","",$Q171-AsOf)</f>
        <v/>
      </c>
      <c r="S171" s="37">
        <f>IF($A171="","",IF(OR($K171="Y",$F171&lt;&gt;"Y",$O171&lt;=0),"",IF($R171&lt;0,"통지 기한 경과 — 즉시 확인",IF($R171&lt;=NoticeWarnDays,"통지 기한 임박 — 사람 결정",""))))</f>
        <v/>
      </c>
      <c r="T171" s="83">
        <f>IF(OR($A171="",$F171&lt;&gt;"Y"),"",IF(IF($L171="",InsuranceType,$L171)="포괄",DATE(YEAR($G171),MONTH($G171)+1,20),WORKDAY($G171,10)))</f>
        <v/>
      </c>
      <c r="U171" s="83">
        <f>IF(OR($A171="",$M171=""),"",WORKDAY($M171,10))</f>
        <v/>
      </c>
      <c r="V171" s="37">
        <f>IF($A171="","",IF($N171="Y","사기 의심: 콜백 검증 전 대금 안내 중단",""))</f>
        <v/>
      </c>
      <c r="W171" s="37">
        <f>IF($A171="","",IF(AND($K171="N",$D171&lt;&gt;"LC_SIGHT",$D171&lt;&gt;"LC_USANCE",$D171&lt;&gt;"TT_ADV"),$O171,""))</f>
        <v/>
      </c>
      <c r="X171" s="37">
        <f>IF($A171="",0,IF(AND($K171="N",$D171&lt;&gt;"LC_SIGHT",$D171&lt;&gt;"LC_USANCE",$D171&lt;&gt;"TT_ADV",$O171&gt;=30),1,0))</f>
        <v/>
      </c>
      <c r="Y171" s="37">
        <f>IF($A171="","",IF($O171&lt;=0,"미연체",IF($O171&lt;=30,"1-30",IF($O171&lt;=90,"31-90",IF($O171&lt;=180,"91-180",IF($O171&lt;=365,"181-365","365+"))))))</f>
        <v/>
      </c>
      <c r="Z171" s="37">
        <f>IF($S171="통지 기한 임박 — 사람 결정",COUNTIF($S$5:$S171,"통지 기한 임박 — 사람 결정"),"")</f>
        <v/>
      </c>
    </row>
    <row r="172">
      <c r="A172" t="inlineStr">
        <is>
          <t>INV-2609-0046</t>
        </is>
      </c>
      <c r="B172" t="inlineStr">
        <is>
          <t>B086</t>
        </is>
      </c>
      <c r="C172" t="inlineStr">
        <is>
          <t>DEU</t>
        </is>
      </c>
      <c r="D172" t="inlineStr">
        <is>
          <t>OA</t>
        </is>
      </c>
      <c r="E172" t="inlineStr">
        <is>
          <t>EUR</t>
        </is>
      </c>
      <c r="F172" t="inlineStr">
        <is>
          <t>N</t>
        </is>
      </c>
      <c r="G172" s="32" t="n">
        <v>46273</v>
      </c>
      <c r="H172" s="32" t="n">
        <v>46363</v>
      </c>
      <c r="I172" s="82" t="n">
        <v>2730</v>
      </c>
      <c r="J172" s="82" t="n">
        <v>3112.2</v>
      </c>
      <c r="K172" t="inlineStr">
        <is>
          <t>N</t>
        </is>
      </c>
      <c r="N172" t="inlineStr">
        <is>
          <t>N</t>
        </is>
      </c>
      <c r="O172" s="37">
        <f>IF($A172="","",AsOf-$H172)</f>
        <v/>
      </c>
      <c r="P172" s="37">
        <f>IF($A172="","",IF($K172="Y","-",IF($O172&gt;=30,"D+30 최종통지·선적보류",IF($O172&gt;=15,"D+15 단호한 통지",IF($O172&gt;=7,"D+7 친절한 리마인더",IF(AND($O172&gt;=-3,$O172&lt;=-1),"D-3 사전 안내","모니터링"))))))</f>
        <v/>
      </c>
      <c r="Q172" s="83">
        <f>IF($A172="","",EDATE($H172,1))</f>
        <v/>
      </c>
      <c r="R172" s="37">
        <f>IF($A172="","",$Q172-AsOf)</f>
        <v/>
      </c>
      <c r="S172" s="37">
        <f>IF($A172="","",IF(OR($K172="Y",$F172&lt;&gt;"Y",$O172&lt;=0),"",IF($R172&lt;0,"통지 기한 경과 — 즉시 확인",IF($R172&lt;=NoticeWarnDays,"통지 기한 임박 — 사람 결정",""))))</f>
        <v/>
      </c>
      <c r="T172" s="83">
        <f>IF(OR($A172="",$F172&lt;&gt;"Y"),"",IF(IF($L172="",InsuranceType,$L172)="포괄",DATE(YEAR($G172),MONTH($G172)+1,20),WORKDAY($G172,10)))</f>
        <v/>
      </c>
      <c r="U172" s="83">
        <f>IF(OR($A172="",$M172=""),"",WORKDAY($M172,10))</f>
        <v/>
      </c>
      <c r="V172" s="37">
        <f>IF($A172="","",IF($N172="Y","사기 의심: 콜백 검증 전 대금 안내 중단",""))</f>
        <v/>
      </c>
      <c r="W172" s="37">
        <f>IF($A172="","",IF(AND($K172="N",$D172&lt;&gt;"LC_SIGHT",$D172&lt;&gt;"LC_USANCE",$D172&lt;&gt;"TT_ADV"),$O172,""))</f>
        <v/>
      </c>
      <c r="X172" s="37">
        <f>IF($A172="",0,IF(AND($K172="N",$D172&lt;&gt;"LC_SIGHT",$D172&lt;&gt;"LC_USANCE",$D172&lt;&gt;"TT_ADV",$O172&gt;=30),1,0))</f>
        <v/>
      </c>
      <c r="Y172" s="37">
        <f>IF($A172="","",IF($O172&lt;=0,"미연체",IF($O172&lt;=30,"1-30",IF($O172&lt;=90,"31-90",IF($O172&lt;=180,"91-180",IF($O172&lt;=365,"181-365","365+"))))))</f>
        <v/>
      </c>
      <c r="Z172" s="37">
        <f>IF($S172="통지 기한 임박 — 사람 결정",COUNTIF($S$5:$S172,"통지 기한 임박 — 사람 결정"),"")</f>
        <v/>
      </c>
    </row>
    <row r="173">
      <c r="A173" t="inlineStr">
        <is>
          <t>INV-2609-0055</t>
        </is>
      </c>
      <c r="B173" t="inlineStr">
        <is>
          <t>B086</t>
        </is>
      </c>
      <c r="C173" t="inlineStr">
        <is>
          <t>DEU</t>
        </is>
      </c>
      <c r="D173" t="inlineStr">
        <is>
          <t>OA</t>
        </is>
      </c>
      <c r="E173" t="inlineStr">
        <is>
          <t>EUR</t>
        </is>
      </c>
      <c r="F173" t="inlineStr">
        <is>
          <t>N</t>
        </is>
      </c>
      <c r="G173" s="32" t="n">
        <v>46275</v>
      </c>
      <c r="H173" s="32" t="n">
        <v>46365</v>
      </c>
      <c r="I173" s="82" t="n">
        <v>5590</v>
      </c>
      <c r="J173" s="82" t="n">
        <v>6372.59</v>
      </c>
      <c r="K173" t="inlineStr">
        <is>
          <t>N</t>
        </is>
      </c>
      <c r="N173" t="inlineStr">
        <is>
          <t>N</t>
        </is>
      </c>
      <c r="O173" s="37">
        <f>IF($A173="","",AsOf-$H173)</f>
        <v/>
      </c>
      <c r="P173" s="37">
        <f>IF($A173="","",IF($K173="Y","-",IF($O173&gt;=30,"D+30 최종통지·선적보류",IF($O173&gt;=15,"D+15 단호한 통지",IF($O173&gt;=7,"D+7 친절한 리마인더",IF(AND($O173&gt;=-3,$O173&lt;=-1),"D-3 사전 안내","모니터링"))))))</f>
        <v/>
      </c>
      <c r="Q173" s="83">
        <f>IF($A173="","",EDATE($H173,1))</f>
        <v/>
      </c>
      <c r="R173" s="37">
        <f>IF($A173="","",$Q173-AsOf)</f>
        <v/>
      </c>
      <c r="S173" s="37">
        <f>IF($A173="","",IF(OR($K173="Y",$F173&lt;&gt;"Y",$O173&lt;=0),"",IF($R173&lt;0,"통지 기한 경과 — 즉시 확인",IF($R173&lt;=NoticeWarnDays,"통지 기한 임박 — 사람 결정",""))))</f>
        <v/>
      </c>
      <c r="T173" s="83">
        <f>IF(OR($A173="",$F173&lt;&gt;"Y"),"",IF(IF($L173="",InsuranceType,$L173)="포괄",DATE(YEAR($G173),MONTH($G173)+1,20),WORKDAY($G173,10)))</f>
        <v/>
      </c>
      <c r="U173" s="83">
        <f>IF(OR($A173="",$M173=""),"",WORKDAY($M173,10))</f>
        <v/>
      </c>
      <c r="V173" s="37">
        <f>IF($A173="","",IF($N173="Y","사기 의심: 콜백 검증 전 대금 안내 중단",""))</f>
        <v/>
      </c>
      <c r="W173" s="37">
        <f>IF($A173="","",IF(AND($K173="N",$D173&lt;&gt;"LC_SIGHT",$D173&lt;&gt;"LC_USANCE",$D173&lt;&gt;"TT_ADV"),$O173,""))</f>
        <v/>
      </c>
      <c r="X173" s="37">
        <f>IF($A173="",0,IF(AND($K173="N",$D173&lt;&gt;"LC_SIGHT",$D173&lt;&gt;"LC_USANCE",$D173&lt;&gt;"TT_ADV",$O173&gt;=30),1,0))</f>
        <v/>
      </c>
      <c r="Y173" s="37">
        <f>IF($A173="","",IF($O173&lt;=0,"미연체",IF($O173&lt;=30,"1-30",IF($O173&lt;=90,"31-90",IF($O173&lt;=180,"91-180",IF($O173&lt;=365,"181-365","365+"))))))</f>
        <v/>
      </c>
      <c r="Z173" s="37">
        <f>IF($S173="통지 기한 임박 — 사람 결정",COUNTIF($S$5:$S173,"통지 기한 임박 — 사람 결정"),"")</f>
        <v/>
      </c>
    </row>
    <row r="174">
      <c r="A174" t="inlineStr">
        <is>
          <t>INV-2609-0063</t>
        </is>
      </c>
      <c r="B174" t="inlineStr">
        <is>
          <t>B086</t>
        </is>
      </c>
      <c r="C174" t="inlineStr">
        <is>
          <t>DEU</t>
        </is>
      </c>
      <c r="D174" t="inlineStr">
        <is>
          <t>OA</t>
        </is>
      </c>
      <c r="E174" t="inlineStr">
        <is>
          <t>EUR</t>
        </is>
      </c>
      <c r="F174" t="inlineStr">
        <is>
          <t>N</t>
        </is>
      </c>
      <c r="G174" s="32" t="n">
        <v>46277</v>
      </c>
      <c r="H174" s="32" t="n">
        <v>46367</v>
      </c>
      <c r="I174" s="82" t="n">
        <v>12260</v>
      </c>
      <c r="J174" s="82" t="n">
        <v>13976.39</v>
      </c>
      <c r="K174" t="inlineStr">
        <is>
          <t>N</t>
        </is>
      </c>
      <c r="N174" t="inlineStr">
        <is>
          <t>N</t>
        </is>
      </c>
      <c r="O174" s="37">
        <f>IF($A174="","",AsOf-$H174)</f>
        <v/>
      </c>
      <c r="P174" s="37">
        <f>IF($A174="","",IF($K174="Y","-",IF($O174&gt;=30,"D+30 최종통지·선적보류",IF($O174&gt;=15,"D+15 단호한 통지",IF($O174&gt;=7,"D+7 친절한 리마인더",IF(AND($O174&gt;=-3,$O174&lt;=-1),"D-3 사전 안내","모니터링"))))))</f>
        <v/>
      </c>
      <c r="Q174" s="83">
        <f>IF($A174="","",EDATE($H174,1))</f>
        <v/>
      </c>
      <c r="R174" s="37">
        <f>IF($A174="","",$Q174-AsOf)</f>
        <v/>
      </c>
      <c r="S174" s="37">
        <f>IF($A174="","",IF(OR($K174="Y",$F174&lt;&gt;"Y",$O174&lt;=0),"",IF($R174&lt;0,"통지 기한 경과 — 즉시 확인",IF($R174&lt;=NoticeWarnDays,"통지 기한 임박 — 사람 결정",""))))</f>
        <v/>
      </c>
      <c r="T174" s="83">
        <f>IF(OR($A174="",$F174&lt;&gt;"Y"),"",IF(IF($L174="",InsuranceType,$L174)="포괄",DATE(YEAR($G174),MONTH($G174)+1,20),WORKDAY($G174,10)))</f>
        <v/>
      </c>
      <c r="U174" s="83">
        <f>IF(OR($A174="",$M174=""),"",WORKDAY($M174,10))</f>
        <v/>
      </c>
      <c r="V174" s="37">
        <f>IF($A174="","",IF($N174="Y","사기 의심: 콜백 검증 전 대금 안내 중단",""))</f>
        <v/>
      </c>
      <c r="W174" s="37">
        <f>IF($A174="","",IF(AND($K174="N",$D174&lt;&gt;"LC_SIGHT",$D174&lt;&gt;"LC_USANCE",$D174&lt;&gt;"TT_ADV"),$O174,""))</f>
        <v/>
      </c>
      <c r="X174" s="37">
        <f>IF($A174="",0,IF(AND($K174="N",$D174&lt;&gt;"LC_SIGHT",$D174&lt;&gt;"LC_USANCE",$D174&lt;&gt;"TT_ADV",$O174&gt;=30),1,0))</f>
        <v/>
      </c>
      <c r="Y174" s="37">
        <f>IF($A174="","",IF($O174&lt;=0,"미연체",IF($O174&lt;=30,"1-30",IF($O174&lt;=90,"31-90",IF($O174&lt;=180,"91-180",IF($O174&lt;=365,"181-365","365+"))))))</f>
        <v/>
      </c>
      <c r="Z174" s="37">
        <f>IF($S174="통지 기한 임박 — 사람 결정",COUNTIF($S$5:$S174,"통지 기한 임박 — 사람 결정"),"")</f>
        <v/>
      </c>
    </row>
    <row r="175">
      <c r="A175" t="inlineStr">
        <is>
          <t>INV-2609-0092</t>
        </is>
      </c>
      <c r="B175" t="inlineStr">
        <is>
          <t>B086</t>
        </is>
      </c>
      <c r="C175" t="inlineStr">
        <is>
          <t>DEU</t>
        </is>
      </c>
      <c r="D175" t="inlineStr">
        <is>
          <t>OA</t>
        </is>
      </c>
      <c r="E175" t="inlineStr">
        <is>
          <t>EUR</t>
        </is>
      </c>
      <c r="F175" t="inlineStr">
        <is>
          <t>N</t>
        </is>
      </c>
      <c r="G175" s="32" t="n">
        <v>46282</v>
      </c>
      <c r="H175" s="32" t="n">
        <v>46372</v>
      </c>
      <c r="I175" s="82" t="n">
        <v>66390</v>
      </c>
      <c r="J175" s="82" t="n">
        <v>75684.53</v>
      </c>
      <c r="K175" t="inlineStr">
        <is>
          <t>N</t>
        </is>
      </c>
      <c r="N175" t="inlineStr">
        <is>
          <t>N</t>
        </is>
      </c>
      <c r="O175" s="37">
        <f>IF($A175="","",AsOf-$H175)</f>
        <v/>
      </c>
      <c r="P175" s="37">
        <f>IF($A175="","",IF($K175="Y","-",IF($O175&gt;=30,"D+30 최종통지·선적보류",IF($O175&gt;=15,"D+15 단호한 통지",IF($O175&gt;=7,"D+7 친절한 리마인더",IF(AND($O175&gt;=-3,$O175&lt;=-1),"D-3 사전 안내","모니터링"))))))</f>
        <v/>
      </c>
      <c r="Q175" s="83">
        <f>IF($A175="","",EDATE($H175,1))</f>
        <v/>
      </c>
      <c r="R175" s="37">
        <f>IF($A175="","",$Q175-AsOf)</f>
        <v/>
      </c>
      <c r="S175" s="37">
        <f>IF($A175="","",IF(OR($K175="Y",$F175&lt;&gt;"Y",$O175&lt;=0),"",IF($R175&lt;0,"통지 기한 경과 — 즉시 확인",IF($R175&lt;=NoticeWarnDays,"통지 기한 임박 — 사람 결정",""))))</f>
        <v/>
      </c>
      <c r="T175" s="83">
        <f>IF(OR($A175="",$F175&lt;&gt;"Y"),"",IF(IF($L175="",InsuranceType,$L175)="포괄",DATE(YEAR($G175),MONTH($G175)+1,20),WORKDAY($G175,10)))</f>
        <v/>
      </c>
      <c r="U175" s="83">
        <f>IF(OR($A175="",$M175=""),"",WORKDAY($M175,10))</f>
        <v/>
      </c>
      <c r="V175" s="37">
        <f>IF($A175="","",IF($N175="Y","사기 의심: 콜백 검증 전 대금 안내 중단",""))</f>
        <v/>
      </c>
      <c r="W175" s="37">
        <f>IF($A175="","",IF(AND($K175="N",$D175&lt;&gt;"LC_SIGHT",$D175&lt;&gt;"LC_USANCE",$D175&lt;&gt;"TT_ADV"),$O175,""))</f>
        <v/>
      </c>
      <c r="X175" s="37">
        <f>IF($A175="",0,IF(AND($K175="N",$D175&lt;&gt;"LC_SIGHT",$D175&lt;&gt;"LC_USANCE",$D175&lt;&gt;"TT_ADV",$O175&gt;=30),1,0))</f>
        <v/>
      </c>
      <c r="Y175" s="37">
        <f>IF($A175="","",IF($O175&lt;=0,"미연체",IF($O175&lt;=30,"1-30",IF($O175&lt;=90,"31-90",IF($O175&lt;=180,"91-180",IF($O175&lt;=365,"181-365","365+"))))))</f>
        <v/>
      </c>
      <c r="Z175" s="37">
        <f>IF($S175="통지 기한 임박 — 사람 결정",COUNTIF($S$5:$S175,"통지 기한 임박 — 사람 결정"),"")</f>
        <v/>
      </c>
    </row>
    <row r="176">
      <c r="A176" t="inlineStr">
        <is>
          <t>INV-2609-0112</t>
        </is>
      </c>
      <c r="B176" t="inlineStr">
        <is>
          <t>B086</t>
        </is>
      </c>
      <c r="C176" t="inlineStr">
        <is>
          <t>DEU</t>
        </is>
      </c>
      <c r="D176" t="inlineStr">
        <is>
          <t>OA</t>
        </is>
      </c>
      <c r="E176" t="inlineStr">
        <is>
          <t>EUR</t>
        </is>
      </c>
      <c r="F176" t="inlineStr">
        <is>
          <t>N</t>
        </is>
      </c>
      <c r="G176" s="32" t="n">
        <v>46286</v>
      </c>
      <c r="H176" s="32" t="n">
        <v>46376</v>
      </c>
      <c r="I176" s="82" t="n">
        <v>4850</v>
      </c>
      <c r="J176" s="82" t="n">
        <v>5528.99</v>
      </c>
      <c r="K176" t="inlineStr">
        <is>
          <t>N</t>
        </is>
      </c>
      <c r="N176" t="inlineStr">
        <is>
          <t>N</t>
        </is>
      </c>
      <c r="O176" s="37">
        <f>IF($A176="","",AsOf-$H176)</f>
        <v/>
      </c>
      <c r="P176" s="37">
        <f>IF($A176="","",IF($K176="Y","-",IF($O176&gt;=30,"D+30 최종통지·선적보류",IF($O176&gt;=15,"D+15 단호한 통지",IF($O176&gt;=7,"D+7 친절한 리마인더",IF(AND($O176&gt;=-3,$O176&lt;=-1),"D-3 사전 안내","모니터링"))))))</f>
        <v/>
      </c>
      <c r="Q176" s="83">
        <f>IF($A176="","",EDATE($H176,1))</f>
        <v/>
      </c>
      <c r="R176" s="37">
        <f>IF($A176="","",$Q176-AsOf)</f>
        <v/>
      </c>
      <c r="S176" s="37">
        <f>IF($A176="","",IF(OR($K176="Y",$F176&lt;&gt;"Y",$O176&lt;=0),"",IF($R176&lt;0,"통지 기한 경과 — 즉시 확인",IF($R176&lt;=NoticeWarnDays,"통지 기한 임박 — 사람 결정",""))))</f>
        <v/>
      </c>
      <c r="T176" s="83">
        <f>IF(OR($A176="",$F176&lt;&gt;"Y"),"",IF(IF($L176="",InsuranceType,$L176)="포괄",DATE(YEAR($G176),MONTH($G176)+1,20),WORKDAY($G176,10)))</f>
        <v/>
      </c>
      <c r="U176" s="83">
        <f>IF(OR($A176="",$M176=""),"",WORKDAY($M176,10))</f>
        <v/>
      </c>
      <c r="V176" s="37">
        <f>IF($A176="","",IF($N176="Y","사기 의심: 콜백 검증 전 대금 안내 중단",""))</f>
        <v/>
      </c>
      <c r="W176" s="37">
        <f>IF($A176="","",IF(AND($K176="N",$D176&lt;&gt;"LC_SIGHT",$D176&lt;&gt;"LC_USANCE",$D176&lt;&gt;"TT_ADV"),$O176,""))</f>
        <v/>
      </c>
      <c r="X176" s="37">
        <f>IF($A176="",0,IF(AND($K176="N",$D176&lt;&gt;"LC_SIGHT",$D176&lt;&gt;"LC_USANCE",$D176&lt;&gt;"TT_ADV",$O176&gt;=30),1,0))</f>
        <v/>
      </c>
      <c r="Y176" s="37">
        <f>IF($A176="","",IF($O176&lt;=0,"미연체",IF($O176&lt;=30,"1-30",IF($O176&lt;=90,"31-90",IF($O176&lt;=180,"91-180",IF($O176&lt;=365,"181-365","365+"))))))</f>
        <v/>
      </c>
      <c r="Z176" s="37">
        <f>IF($S176="통지 기한 임박 — 사람 결정",COUNTIF($S$5:$S176,"통지 기한 임박 — 사람 결정"),"")</f>
        <v/>
      </c>
    </row>
    <row r="177">
      <c r="A177" t="inlineStr">
        <is>
          <t>INV-2609-0129</t>
        </is>
      </c>
      <c r="B177" t="inlineStr">
        <is>
          <t>B086</t>
        </is>
      </c>
      <c r="C177" t="inlineStr">
        <is>
          <t>DEU</t>
        </is>
      </c>
      <c r="D177" t="inlineStr">
        <is>
          <t>OA</t>
        </is>
      </c>
      <c r="E177" t="inlineStr">
        <is>
          <t>EUR</t>
        </is>
      </c>
      <c r="F177" t="inlineStr">
        <is>
          <t>N</t>
        </is>
      </c>
      <c r="G177" s="32" t="n">
        <v>46289</v>
      </c>
      <c r="H177" s="32" t="n">
        <v>46379</v>
      </c>
      <c r="I177" s="82" t="n">
        <v>4990</v>
      </c>
      <c r="J177" s="82" t="n">
        <v>5688.59</v>
      </c>
      <c r="K177" t="inlineStr">
        <is>
          <t>N</t>
        </is>
      </c>
      <c r="N177" t="inlineStr">
        <is>
          <t>N</t>
        </is>
      </c>
      <c r="O177" s="37">
        <f>IF($A177="","",AsOf-$H177)</f>
        <v/>
      </c>
      <c r="P177" s="37">
        <f>IF($A177="","",IF($K177="Y","-",IF($O177&gt;=30,"D+30 최종통지·선적보류",IF($O177&gt;=15,"D+15 단호한 통지",IF($O177&gt;=7,"D+7 친절한 리마인더",IF(AND($O177&gt;=-3,$O177&lt;=-1),"D-3 사전 안내","모니터링"))))))</f>
        <v/>
      </c>
      <c r="Q177" s="83">
        <f>IF($A177="","",EDATE($H177,1))</f>
        <v/>
      </c>
      <c r="R177" s="37">
        <f>IF($A177="","",$Q177-AsOf)</f>
        <v/>
      </c>
      <c r="S177" s="37">
        <f>IF($A177="","",IF(OR($K177="Y",$F177&lt;&gt;"Y",$O177&lt;=0),"",IF($R177&lt;0,"통지 기한 경과 — 즉시 확인",IF($R177&lt;=NoticeWarnDays,"통지 기한 임박 — 사람 결정",""))))</f>
        <v/>
      </c>
      <c r="T177" s="83">
        <f>IF(OR($A177="",$F177&lt;&gt;"Y"),"",IF(IF($L177="",InsuranceType,$L177)="포괄",DATE(YEAR($G177),MONTH($G177)+1,20),WORKDAY($G177,10)))</f>
        <v/>
      </c>
      <c r="U177" s="83">
        <f>IF(OR($A177="",$M177=""),"",WORKDAY($M177,10))</f>
        <v/>
      </c>
      <c r="V177" s="37">
        <f>IF($A177="","",IF($N177="Y","사기 의심: 콜백 검증 전 대금 안내 중단",""))</f>
        <v/>
      </c>
      <c r="W177" s="37">
        <f>IF($A177="","",IF(AND($K177="N",$D177&lt;&gt;"LC_SIGHT",$D177&lt;&gt;"LC_USANCE",$D177&lt;&gt;"TT_ADV"),$O177,""))</f>
        <v/>
      </c>
      <c r="X177" s="37">
        <f>IF($A177="",0,IF(AND($K177="N",$D177&lt;&gt;"LC_SIGHT",$D177&lt;&gt;"LC_USANCE",$D177&lt;&gt;"TT_ADV",$O177&gt;=30),1,0))</f>
        <v/>
      </c>
      <c r="Y177" s="37">
        <f>IF($A177="","",IF($O177&lt;=0,"미연체",IF($O177&lt;=30,"1-30",IF($O177&lt;=90,"31-90",IF($O177&lt;=180,"91-180",IF($O177&lt;=365,"181-365","365+"))))))</f>
        <v/>
      </c>
      <c r="Z177" s="37">
        <f>IF($S177="통지 기한 임박 — 사람 결정",COUNTIF($S$5:$S177,"통지 기한 임박 — 사람 결정"),"")</f>
        <v/>
      </c>
    </row>
    <row r="178">
      <c r="A178" t="inlineStr">
        <is>
          <t>INV-2609-0141</t>
        </is>
      </c>
      <c r="B178" t="inlineStr">
        <is>
          <t>B086</t>
        </is>
      </c>
      <c r="C178" t="inlineStr">
        <is>
          <t>DEU</t>
        </is>
      </c>
      <c r="D178" t="inlineStr">
        <is>
          <t>OA</t>
        </is>
      </c>
      <c r="E178" t="inlineStr">
        <is>
          <t>EUR</t>
        </is>
      </c>
      <c r="F178" t="inlineStr">
        <is>
          <t>N</t>
        </is>
      </c>
      <c r="G178" s="32" t="n">
        <v>46291</v>
      </c>
      <c r="H178" s="32" t="n">
        <v>46381</v>
      </c>
      <c r="I178" s="82" t="n">
        <v>3600</v>
      </c>
      <c r="J178" s="82" t="n">
        <v>4104</v>
      </c>
      <c r="K178" t="inlineStr">
        <is>
          <t>N</t>
        </is>
      </c>
      <c r="N178" t="inlineStr">
        <is>
          <t>N</t>
        </is>
      </c>
      <c r="O178" s="37">
        <f>IF($A178="","",AsOf-$H178)</f>
        <v/>
      </c>
      <c r="P178" s="37">
        <f>IF($A178="","",IF($K178="Y","-",IF($O178&gt;=30,"D+30 최종통지·선적보류",IF($O178&gt;=15,"D+15 단호한 통지",IF($O178&gt;=7,"D+7 친절한 리마인더",IF(AND($O178&gt;=-3,$O178&lt;=-1),"D-3 사전 안내","모니터링"))))))</f>
        <v/>
      </c>
      <c r="Q178" s="83">
        <f>IF($A178="","",EDATE($H178,1))</f>
        <v/>
      </c>
      <c r="R178" s="37">
        <f>IF($A178="","",$Q178-AsOf)</f>
        <v/>
      </c>
      <c r="S178" s="37">
        <f>IF($A178="","",IF(OR($K178="Y",$F178&lt;&gt;"Y",$O178&lt;=0),"",IF($R178&lt;0,"통지 기한 경과 — 즉시 확인",IF($R178&lt;=NoticeWarnDays,"통지 기한 임박 — 사람 결정",""))))</f>
        <v/>
      </c>
      <c r="T178" s="83">
        <f>IF(OR($A178="",$F178&lt;&gt;"Y"),"",IF(IF($L178="",InsuranceType,$L178)="포괄",DATE(YEAR($G178),MONTH($G178)+1,20),WORKDAY($G178,10)))</f>
        <v/>
      </c>
      <c r="U178" s="83">
        <f>IF(OR($A178="",$M178=""),"",WORKDAY($M178,10))</f>
        <v/>
      </c>
      <c r="V178" s="37">
        <f>IF($A178="","",IF($N178="Y","사기 의심: 콜백 검증 전 대금 안내 중단",""))</f>
        <v/>
      </c>
      <c r="W178" s="37">
        <f>IF($A178="","",IF(AND($K178="N",$D178&lt;&gt;"LC_SIGHT",$D178&lt;&gt;"LC_USANCE",$D178&lt;&gt;"TT_ADV"),$O178,""))</f>
        <v/>
      </c>
      <c r="X178" s="37">
        <f>IF($A178="",0,IF(AND($K178="N",$D178&lt;&gt;"LC_SIGHT",$D178&lt;&gt;"LC_USANCE",$D178&lt;&gt;"TT_ADV",$O178&gt;=30),1,0))</f>
        <v/>
      </c>
      <c r="Y178" s="37">
        <f>IF($A178="","",IF($O178&lt;=0,"미연체",IF($O178&lt;=30,"1-30",IF($O178&lt;=90,"31-90",IF($O178&lt;=180,"91-180",IF($O178&lt;=365,"181-365","365+"))))))</f>
        <v/>
      </c>
      <c r="Z178" s="37">
        <f>IF($S178="통지 기한 임박 — 사람 결정",COUNTIF($S$5:$S178,"통지 기한 임박 — 사람 결정"),"")</f>
        <v/>
      </c>
    </row>
    <row r="179">
      <c r="A179" t="inlineStr">
        <is>
          <t>INV-2607-0179</t>
        </is>
      </c>
      <c r="B179" t="inlineStr">
        <is>
          <t>B087</t>
        </is>
      </c>
      <c r="C179" t="inlineStr">
        <is>
          <t>TWN</t>
        </is>
      </c>
      <c r="D179" t="inlineStr">
        <is>
          <t>TT_SPLIT_30_70</t>
        </is>
      </c>
      <c r="E179" t="inlineStr">
        <is>
          <t>USD</t>
        </is>
      </c>
      <c r="F179" t="inlineStr">
        <is>
          <t>Y</t>
        </is>
      </c>
      <c r="G179" s="32" t="n">
        <v>46233</v>
      </c>
      <c r="H179" s="32" t="n">
        <v>46263</v>
      </c>
      <c r="I179" s="82" t="n">
        <v>18806.61</v>
      </c>
      <c r="J179" s="82" t="n">
        <v>18806.61</v>
      </c>
      <c r="K179" t="inlineStr">
        <is>
          <t>N</t>
        </is>
      </c>
      <c r="L179" t="inlineStr">
        <is>
          <t>개별</t>
        </is>
      </c>
      <c r="N179" t="inlineStr">
        <is>
          <t>N</t>
        </is>
      </c>
      <c r="O179" s="37">
        <f>IF($A179="","",AsOf-$H179)</f>
        <v/>
      </c>
      <c r="P179" s="37">
        <f>IF($A179="","",IF($K179="Y","-",IF($O179&gt;=30,"D+30 최종통지·선적보류",IF($O179&gt;=15,"D+15 단호한 통지",IF($O179&gt;=7,"D+7 친절한 리마인더",IF(AND($O179&gt;=-3,$O179&lt;=-1),"D-3 사전 안내","모니터링"))))))</f>
        <v/>
      </c>
      <c r="Q179" s="83">
        <f>IF($A179="","",EDATE($H179,1))</f>
        <v/>
      </c>
      <c r="R179" s="37">
        <f>IF($A179="","",$Q179-AsOf)</f>
        <v/>
      </c>
      <c r="S179" s="37">
        <f>IF($A179="","",IF(OR($K179="Y",$F179&lt;&gt;"Y",$O179&lt;=0),"",IF($R179&lt;0,"통지 기한 경과 — 즉시 확인",IF($R179&lt;=NoticeWarnDays,"통지 기한 임박 — 사람 결정",""))))</f>
        <v/>
      </c>
      <c r="T179" s="83">
        <f>IF(OR($A179="",$F179&lt;&gt;"Y"),"",IF(IF($L179="",InsuranceType,$L179)="포괄",DATE(YEAR($G179),MONTH($G179)+1,20),WORKDAY($G179,10)))</f>
        <v/>
      </c>
      <c r="U179" s="83">
        <f>IF(OR($A179="",$M179=""),"",WORKDAY($M179,10))</f>
        <v/>
      </c>
      <c r="V179" s="37">
        <f>IF($A179="","",IF($N179="Y","사기 의심: 콜백 검증 전 대금 안내 중단",""))</f>
        <v/>
      </c>
      <c r="W179" s="37">
        <f>IF($A179="","",IF(AND($K179="N",$D179&lt;&gt;"LC_SIGHT",$D179&lt;&gt;"LC_USANCE",$D179&lt;&gt;"TT_ADV"),$O179,""))</f>
        <v/>
      </c>
      <c r="X179" s="37">
        <f>IF($A179="",0,IF(AND($K179="N",$D179&lt;&gt;"LC_SIGHT",$D179&lt;&gt;"LC_USANCE",$D179&lt;&gt;"TT_ADV",$O179&gt;=30),1,0))</f>
        <v/>
      </c>
      <c r="Y179" s="37">
        <f>IF($A179="","",IF($O179&lt;=0,"미연체",IF($O179&lt;=30,"1-30",IF($O179&lt;=90,"31-90",IF($O179&lt;=180,"91-180",IF($O179&lt;=365,"181-365","365+"))))))</f>
        <v/>
      </c>
      <c r="Z179" s="37">
        <f>IF($S179="통지 기한 임박 — 사람 결정",COUNTIF($S$5:$S179,"통지 기한 임박 — 사람 결정"),"")</f>
        <v/>
      </c>
    </row>
    <row r="180">
      <c r="A180" t="inlineStr">
        <is>
          <t>INV-2608-0011</t>
        </is>
      </c>
      <c r="B180" t="inlineStr">
        <is>
          <t>B087</t>
        </is>
      </c>
      <c r="C180" t="inlineStr">
        <is>
          <t>TWN</t>
        </is>
      </c>
      <c r="D180" t="inlineStr">
        <is>
          <t>TT_SPLIT_30_70</t>
        </is>
      </c>
      <c r="E180" t="inlineStr">
        <is>
          <t>USD</t>
        </is>
      </c>
      <c r="F180" t="inlineStr">
        <is>
          <t>Y</t>
        </is>
      </c>
      <c r="G180" s="32" t="n">
        <v>46236</v>
      </c>
      <c r="H180" s="32" t="n">
        <v>46266</v>
      </c>
      <c r="I180" s="82" t="n">
        <v>6034</v>
      </c>
      <c r="J180" s="82" t="n">
        <v>6034</v>
      </c>
      <c r="K180" t="inlineStr">
        <is>
          <t>N</t>
        </is>
      </c>
      <c r="L180" t="inlineStr">
        <is>
          <t>개별</t>
        </is>
      </c>
      <c r="N180" t="inlineStr">
        <is>
          <t>N</t>
        </is>
      </c>
      <c r="O180" s="37">
        <f>IF($A180="","",AsOf-$H180)</f>
        <v/>
      </c>
      <c r="P180" s="37">
        <f>IF($A180="","",IF($K180="Y","-",IF($O180&gt;=30,"D+30 최종통지·선적보류",IF($O180&gt;=15,"D+15 단호한 통지",IF($O180&gt;=7,"D+7 친절한 리마인더",IF(AND($O180&gt;=-3,$O180&lt;=-1),"D-3 사전 안내","모니터링"))))))</f>
        <v/>
      </c>
      <c r="Q180" s="83">
        <f>IF($A180="","",EDATE($H180,1))</f>
        <v/>
      </c>
      <c r="R180" s="37">
        <f>IF($A180="","",$Q180-AsOf)</f>
        <v/>
      </c>
      <c r="S180" s="37">
        <f>IF($A180="","",IF(OR($K180="Y",$F180&lt;&gt;"Y",$O180&lt;=0),"",IF($R180&lt;0,"통지 기한 경과 — 즉시 확인",IF($R180&lt;=NoticeWarnDays,"통지 기한 임박 — 사람 결정",""))))</f>
        <v/>
      </c>
      <c r="T180" s="83">
        <f>IF(OR($A180="",$F180&lt;&gt;"Y"),"",IF(IF($L180="",InsuranceType,$L180)="포괄",DATE(YEAR($G180),MONTH($G180)+1,20),WORKDAY($G180,10)))</f>
        <v/>
      </c>
      <c r="U180" s="83">
        <f>IF(OR($A180="",$M180=""),"",WORKDAY($M180,10))</f>
        <v/>
      </c>
      <c r="V180" s="37">
        <f>IF($A180="","",IF($N180="Y","사기 의심: 콜백 검증 전 대금 안내 중단",""))</f>
        <v/>
      </c>
      <c r="W180" s="37">
        <f>IF($A180="","",IF(AND($K180="N",$D180&lt;&gt;"LC_SIGHT",$D180&lt;&gt;"LC_USANCE",$D180&lt;&gt;"TT_ADV"),$O180,""))</f>
        <v/>
      </c>
      <c r="X180" s="37">
        <f>IF($A180="",0,IF(AND($K180="N",$D180&lt;&gt;"LC_SIGHT",$D180&lt;&gt;"LC_USANCE",$D180&lt;&gt;"TT_ADV",$O180&gt;=30),1,0))</f>
        <v/>
      </c>
      <c r="Y180" s="37">
        <f>IF($A180="","",IF($O180&lt;=0,"미연체",IF($O180&lt;=30,"1-30",IF($O180&lt;=90,"31-90",IF($O180&lt;=180,"91-180",IF($O180&lt;=365,"181-365","365+"))))))</f>
        <v/>
      </c>
      <c r="Z180" s="37">
        <f>IF($S180="통지 기한 임박 — 사람 결정",COUNTIF($S$5:$S180,"통지 기한 임박 — 사람 결정"),"")</f>
        <v/>
      </c>
    </row>
    <row r="181">
      <c r="A181" t="inlineStr">
        <is>
          <t>INV-2608-0036</t>
        </is>
      </c>
      <c r="B181" t="inlineStr">
        <is>
          <t>B087</t>
        </is>
      </c>
      <c r="C181" t="inlineStr">
        <is>
          <t>TWN</t>
        </is>
      </c>
      <c r="D181" t="inlineStr">
        <is>
          <t>TT_SPLIT_30_70</t>
        </is>
      </c>
      <c r="E181" t="inlineStr">
        <is>
          <t>USD</t>
        </is>
      </c>
      <c r="F181" t="inlineStr">
        <is>
          <t>Y</t>
        </is>
      </c>
      <c r="G181" s="32" t="n">
        <v>46242</v>
      </c>
      <c r="H181" s="32" t="n">
        <v>46272</v>
      </c>
      <c r="I181" s="82" t="n">
        <v>3101</v>
      </c>
      <c r="J181" s="82" t="n">
        <v>3101</v>
      </c>
      <c r="K181" t="inlineStr">
        <is>
          <t>N</t>
        </is>
      </c>
      <c r="L181" t="inlineStr">
        <is>
          <t>개별</t>
        </is>
      </c>
      <c r="N181" t="inlineStr">
        <is>
          <t>N</t>
        </is>
      </c>
      <c r="O181" s="37">
        <f>IF($A181="","",AsOf-$H181)</f>
        <v/>
      </c>
      <c r="P181" s="37">
        <f>IF($A181="","",IF($K181="Y","-",IF($O181&gt;=30,"D+30 최종통지·선적보류",IF($O181&gt;=15,"D+15 단호한 통지",IF($O181&gt;=7,"D+7 친절한 리마인더",IF(AND($O181&gt;=-3,$O181&lt;=-1),"D-3 사전 안내","모니터링"))))))</f>
        <v/>
      </c>
      <c r="Q181" s="83">
        <f>IF($A181="","",EDATE($H181,1))</f>
        <v/>
      </c>
      <c r="R181" s="37">
        <f>IF($A181="","",$Q181-AsOf)</f>
        <v/>
      </c>
      <c r="S181" s="37">
        <f>IF($A181="","",IF(OR($K181="Y",$F181&lt;&gt;"Y",$O181&lt;=0),"",IF($R181&lt;0,"통지 기한 경과 — 즉시 확인",IF($R181&lt;=NoticeWarnDays,"통지 기한 임박 — 사람 결정",""))))</f>
        <v/>
      </c>
      <c r="T181" s="83">
        <f>IF(OR($A181="",$F181&lt;&gt;"Y"),"",IF(IF($L181="",InsuranceType,$L181)="포괄",DATE(YEAR($G181),MONTH($G181)+1,20),WORKDAY($G181,10)))</f>
        <v/>
      </c>
      <c r="U181" s="83">
        <f>IF(OR($A181="",$M181=""),"",WORKDAY($M181,10))</f>
        <v/>
      </c>
      <c r="V181" s="37">
        <f>IF($A181="","",IF($N181="Y","사기 의심: 콜백 검증 전 대금 안내 중단",""))</f>
        <v/>
      </c>
      <c r="W181" s="37">
        <f>IF($A181="","",IF(AND($K181="N",$D181&lt;&gt;"LC_SIGHT",$D181&lt;&gt;"LC_USANCE",$D181&lt;&gt;"TT_ADV"),$O181,""))</f>
        <v/>
      </c>
      <c r="X181" s="37">
        <f>IF($A181="",0,IF(AND($K181="N",$D181&lt;&gt;"LC_SIGHT",$D181&lt;&gt;"LC_USANCE",$D181&lt;&gt;"TT_ADV",$O181&gt;=30),1,0))</f>
        <v/>
      </c>
      <c r="Y181" s="37">
        <f>IF($A181="","",IF($O181&lt;=0,"미연체",IF($O181&lt;=30,"1-30",IF($O181&lt;=90,"31-90",IF($O181&lt;=180,"91-180",IF($O181&lt;=365,"181-365","365+"))))))</f>
        <v/>
      </c>
      <c r="Z181" s="37">
        <f>IF($S181="통지 기한 임박 — 사람 결정",COUNTIF($S$5:$S181,"통지 기한 임박 — 사람 결정"),"")</f>
        <v/>
      </c>
    </row>
    <row r="182">
      <c r="A182" t="inlineStr">
        <is>
          <t>INV-2608-0039</t>
        </is>
      </c>
      <c r="B182" t="inlineStr">
        <is>
          <t>B087</t>
        </is>
      </c>
      <c r="C182" t="inlineStr">
        <is>
          <t>TWN</t>
        </is>
      </c>
      <c r="D182" t="inlineStr">
        <is>
          <t>TT_SPLIT_30_70</t>
        </is>
      </c>
      <c r="E182" t="inlineStr">
        <is>
          <t>USD</t>
        </is>
      </c>
      <c r="F182" t="inlineStr">
        <is>
          <t>Y</t>
        </is>
      </c>
      <c r="G182" s="32" t="n">
        <v>46243</v>
      </c>
      <c r="H182" s="32" t="n">
        <v>46273</v>
      </c>
      <c r="I182" s="82" t="n">
        <v>4130</v>
      </c>
      <c r="J182" s="82" t="n">
        <v>4130</v>
      </c>
      <c r="K182" t="inlineStr">
        <is>
          <t>N</t>
        </is>
      </c>
      <c r="L182" t="inlineStr">
        <is>
          <t>개별</t>
        </is>
      </c>
      <c r="N182" t="inlineStr">
        <is>
          <t>N</t>
        </is>
      </c>
      <c r="O182" s="37">
        <f>IF($A182="","",AsOf-$H182)</f>
        <v/>
      </c>
      <c r="P182" s="37">
        <f>IF($A182="","",IF($K182="Y","-",IF($O182&gt;=30,"D+30 최종통지·선적보류",IF($O182&gt;=15,"D+15 단호한 통지",IF($O182&gt;=7,"D+7 친절한 리마인더",IF(AND($O182&gt;=-3,$O182&lt;=-1),"D-3 사전 안내","모니터링"))))))</f>
        <v/>
      </c>
      <c r="Q182" s="83">
        <f>IF($A182="","",EDATE($H182,1))</f>
        <v/>
      </c>
      <c r="R182" s="37">
        <f>IF($A182="","",$Q182-AsOf)</f>
        <v/>
      </c>
      <c r="S182" s="37">
        <f>IF($A182="","",IF(OR($K182="Y",$F182&lt;&gt;"Y",$O182&lt;=0),"",IF($R182&lt;0,"통지 기한 경과 — 즉시 확인",IF($R182&lt;=NoticeWarnDays,"통지 기한 임박 — 사람 결정",""))))</f>
        <v/>
      </c>
      <c r="T182" s="83">
        <f>IF(OR($A182="",$F182&lt;&gt;"Y"),"",IF(IF($L182="",InsuranceType,$L182)="포괄",DATE(YEAR($G182),MONTH($G182)+1,20),WORKDAY($G182,10)))</f>
        <v/>
      </c>
      <c r="U182" s="83">
        <f>IF(OR($A182="",$M182=""),"",WORKDAY($M182,10))</f>
        <v/>
      </c>
      <c r="V182" s="37">
        <f>IF($A182="","",IF($N182="Y","사기 의심: 콜백 검증 전 대금 안내 중단",""))</f>
        <v/>
      </c>
      <c r="W182" s="37">
        <f>IF($A182="","",IF(AND($K182="N",$D182&lt;&gt;"LC_SIGHT",$D182&lt;&gt;"LC_USANCE",$D182&lt;&gt;"TT_ADV"),$O182,""))</f>
        <v/>
      </c>
      <c r="X182" s="37">
        <f>IF($A182="",0,IF(AND($K182="N",$D182&lt;&gt;"LC_SIGHT",$D182&lt;&gt;"LC_USANCE",$D182&lt;&gt;"TT_ADV",$O182&gt;=30),1,0))</f>
        <v/>
      </c>
      <c r="Y182" s="37">
        <f>IF($A182="","",IF($O182&lt;=0,"미연체",IF($O182&lt;=30,"1-30",IF($O182&lt;=90,"31-90",IF($O182&lt;=180,"91-180",IF($O182&lt;=365,"181-365","365+"))))))</f>
        <v/>
      </c>
      <c r="Z182" s="37">
        <f>IF($S182="통지 기한 임박 — 사람 결정",COUNTIF($S$5:$S182,"통지 기한 임박 — 사람 결정"),"")</f>
        <v/>
      </c>
    </row>
    <row r="183">
      <c r="A183" t="inlineStr">
        <is>
          <t>INV-2608-0073</t>
        </is>
      </c>
      <c r="B183" t="inlineStr">
        <is>
          <t>B087</t>
        </is>
      </c>
      <c r="C183" t="inlineStr">
        <is>
          <t>TWN</t>
        </is>
      </c>
      <c r="D183" t="inlineStr">
        <is>
          <t>TT_SPLIT_30_70</t>
        </is>
      </c>
      <c r="E183" t="inlineStr">
        <is>
          <t>USD</t>
        </is>
      </c>
      <c r="F183" t="inlineStr">
        <is>
          <t>Y</t>
        </is>
      </c>
      <c r="G183" s="32" t="n">
        <v>46250</v>
      </c>
      <c r="H183" s="32" t="n">
        <v>46280</v>
      </c>
      <c r="I183" s="82" t="n">
        <v>4781</v>
      </c>
      <c r="J183" s="82" t="n">
        <v>4781</v>
      </c>
      <c r="K183" t="inlineStr">
        <is>
          <t>N</t>
        </is>
      </c>
      <c r="L183" t="inlineStr">
        <is>
          <t>개별</t>
        </is>
      </c>
      <c r="N183" t="inlineStr">
        <is>
          <t>N</t>
        </is>
      </c>
      <c r="O183" s="37">
        <f>IF($A183="","",AsOf-$H183)</f>
        <v/>
      </c>
      <c r="P183" s="37">
        <f>IF($A183="","",IF($K183="Y","-",IF($O183&gt;=30,"D+30 최종통지·선적보류",IF($O183&gt;=15,"D+15 단호한 통지",IF($O183&gt;=7,"D+7 친절한 리마인더",IF(AND($O183&gt;=-3,$O183&lt;=-1),"D-3 사전 안내","모니터링"))))))</f>
        <v/>
      </c>
      <c r="Q183" s="83">
        <f>IF($A183="","",EDATE($H183,1))</f>
        <v/>
      </c>
      <c r="R183" s="37">
        <f>IF($A183="","",$Q183-AsOf)</f>
        <v/>
      </c>
      <c r="S183" s="37">
        <f>IF($A183="","",IF(OR($K183="Y",$F183&lt;&gt;"Y",$O183&lt;=0),"",IF($R183&lt;0,"통지 기한 경과 — 즉시 확인",IF($R183&lt;=NoticeWarnDays,"통지 기한 임박 — 사람 결정",""))))</f>
        <v/>
      </c>
      <c r="T183" s="83">
        <f>IF(OR($A183="",$F183&lt;&gt;"Y"),"",IF(IF($L183="",InsuranceType,$L183)="포괄",DATE(YEAR($G183),MONTH($G183)+1,20),WORKDAY($G183,10)))</f>
        <v/>
      </c>
      <c r="U183" s="83">
        <f>IF(OR($A183="",$M183=""),"",WORKDAY($M183,10))</f>
        <v/>
      </c>
      <c r="V183" s="37">
        <f>IF($A183="","",IF($N183="Y","사기 의심: 콜백 검증 전 대금 안내 중단",""))</f>
        <v/>
      </c>
      <c r="W183" s="37">
        <f>IF($A183="","",IF(AND($K183="N",$D183&lt;&gt;"LC_SIGHT",$D183&lt;&gt;"LC_USANCE",$D183&lt;&gt;"TT_ADV"),$O183,""))</f>
        <v/>
      </c>
      <c r="X183" s="37">
        <f>IF($A183="",0,IF(AND($K183="N",$D183&lt;&gt;"LC_SIGHT",$D183&lt;&gt;"LC_USANCE",$D183&lt;&gt;"TT_ADV",$O183&gt;=30),1,0))</f>
        <v/>
      </c>
      <c r="Y183" s="37">
        <f>IF($A183="","",IF($O183&lt;=0,"미연체",IF($O183&lt;=30,"1-30",IF($O183&lt;=90,"31-90",IF($O183&lt;=180,"91-180",IF($O183&lt;=365,"181-365","365+"))))))</f>
        <v/>
      </c>
      <c r="Z183" s="37">
        <f>IF($S183="통지 기한 임박 — 사람 결정",COUNTIF($S$5:$S183,"통지 기한 임박 — 사람 결정"),"")</f>
        <v/>
      </c>
    </row>
    <row r="184">
      <c r="A184" t="inlineStr">
        <is>
          <t>INV-2608-0082</t>
        </is>
      </c>
      <c r="B184" t="inlineStr">
        <is>
          <t>B087</t>
        </is>
      </c>
      <c r="C184" t="inlineStr">
        <is>
          <t>TWN</t>
        </is>
      </c>
      <c r="D184" t="inlineStr">
        <is>
          <t>TT_SPLIT_30_70</t>
        </is>
      </c>
      <c r="E184" t="inlineStr">
        <is>
          <t>USD</t>
        </is>
      </c>
      <c r="F184" t="inlineStr">
        <is>
          <t>Y</t>
        </is>
      </c>
      <c r="G184" s="32" t="n">
        <v>46251</v>
      </c>
      <c r="H184" s="32" t="n">
        <v>46281</v>
      </c>
      <c r="I184" s="82" t="n">
        <v>7042</v>
      </c>
      <c r="J184" s="82" t="n">
        <v>7042</v>
      </c>
      <c r="K184" t="inlineStr">
        <is>
          <t>N</t>
        </is>
      </c>
      <c r="L184" t="inlineStr">
        <is>
          <t>개별</t>
        </is>
      </c>
      <c r="N184" t="inlineStr">
        <is>
          <t>N</t>
        </is>
      </c>
      <c r="O184" s="37">
        <f>IF($A184="","",AsOf-$H184)</f>
        <v/>
      </c>
      <c r="P184" s="37">
        <f>IF($A184="","",IF($K184="Y","-",IF($O184&gt;=30,"D+30 최종통지·선적보류",IF($O184&gt;=15,"D+15 단호한 통지",IF($O184&gt;=7,"D+7 친절한 리마인더",IF(AND($O184&gt;=-3,$O184&lt;=-1),"D-3 사전 안내","모니터링"))))))</f>
        <v/>
      </c>
      <c r="Q184" s="83">
        <f>IF($A184="","",EDATE($H184,1))</f>
        <v/>
      </c>
      <c r="R184" s="37">
        <f>IF($A184="","",$Q184-AsOf)</f>
        <v/>
      </c>
      <c r="S184" s="37">
        <f>IF($A184="","",IF(OR($K184="Y",$F184&lt;&gt;"Y",$O184&lt;=0),"",IF($R184&lt;0,"통지 기한 경과 — 즉시 확인",IF($R184&lt;=NoticeWarnDays,"통지 기한 임박 — 사람 결정",""))))</f>
        <v/>
      </c>
      <c r="T184" s="83">
        <f>IF(OR($A184="",$F184&lt;&gt;"Y"),"",IF(IF($L184="",InsuranceType,$L184)="포괄",DATE(YEAR($G184),MONTH($G184)+1,20),WORKDAY($G184,10)))</f>
        <v/>
      </c>
      <c r="U184" s="83">
        <f>IF(OR($A184="",$M184=""),"",WORKDAY($M184,10))</f>
        <v/>
      </c>
      <c r="V184" s="37">
        <f>IF($A184="","",IF($N184="Y","사기 의심: 콜백 검증 전 대금 안내 중단",""))</f>
        <v/>
      </c>
      <c r="W184" s="37">
        <f>IF($A184="","",IF(AND($K184="N",$D184&lt;&gt;"LC_SIGHT",$D184&lt;&gt;"LC_USANCE",$D184&lt;&gt;"TT_ADV"),$O184,""))</f>
        <v/>
      </c>
      <c r="X184" s="37">
        <f>IF($A184="",0,IF(AND($K184="N",$D184&lt;&gt;"LC_SIGHT",$D184&lt;&gt;"LC_USANCE",$D184&lt;&gt;"TT_ADV",$O184&gt;=30),1,0))</f>
        <v/>
      </c>
      <c r="Y184" s="37">
        <f>IF($A184="","",IF($O184&lt;=0,"미연체",IF($O184&lt;=30,"1-30",IF($O184&lt;=90,"31-90",IF($O184&lt;=180,"91-180",IF($O184&lt;=365,"181-365","365+"))))))</f>
        <v/>
      </c>
      <c r="Z184" s="37">
        <f>IF($S184="통지 기한 임박 — 사람 결정",COUNTIF($S$5:$S184,"통지 기한 임박 — 사람 결정"),"")</f>
        <v/>
      </c>
    </row>
    <row r="185">
      <c r="A185" t="inlineStr">
        <is>
          <t>INV-2608-0083</t>
        </is>
      </c>
      <c r="B185" t="inlineStr">
        <is>
          <t>B087</t>
        </is>
      </c>
      <c r="C185" t="inlineStr">
        <is>
          <t>TWN</t>
        </is>
      </c>
      <c r="D185" t="inlineStr">
        <is>
          <t>TT_SPLIT_30_70</t>
        </is>
      </c>
      <c r="E185" t="inlineStr">
        <is>
          <t>USD</t>
        </is>
      </c>
      <c r="F185" t="inlineStr">
        <is>
          <t>Y</t>
        </is>
      </c>
      <c r="G185" s="32" t="n">
        <v>46251</v>
      </c>
      <c r="H185" s="32" t="n">
        <v>46281</v>
      </c>
      <c r="I185" s="82" t="n">
        <v>3500</v>
      </c>
      <c r="J185" s="82" t="n">
        <v>3500</v>
      </c>
      <c r="K185" t="inlineStr">
        <is>
          <t>N</t>
        </is>
      </c>
      <c r="L185" t="inlineStr">
        <is>
          <t>개별</t>
        </is>
      </c>
      <c r="N185" t="inlineStr">
        <is>
          <t>N</t>
        </is>
      </c>
      <c r="O185" s="37">
        <f>IF($A185="","",AsOf-$H185)</f>
        <v/>
      </c>
      <c r="P185" s="37">
        <f>IF($A185="","",IF($K185="Y","-",IF($O185&gt;=30,"D+30 최종통지·선적보류",IF($O185&gt;=15,"D+15 단호한 통지",IF($O185&gt;=7,"D+7 친절한 리마인더",IF(AND($O185&gt;=-3,$O185&lt;=-1),"D-3 사전 안내","모니터링"))))))</f>
        <v/>
      </c>
      <c r="Q185" s="83">
        <f>IF($A185="","",EDATE($H185,1))</f>
        <v/>
      </c>
      <c r="R185" s="37">
        <f>IF($A185="","",$Q185-AsOf)</f>
        <v/>
      </c>
      <c r="S185" s="37">
        <f>IF($A185="","",IF(OR($K185="Y",$F185&lt;&gt;"Y",$O185&lt;=0),"",IF($R185&lt;0,"통지 기한 경과 — 즉시 확인",IF($R185&lt;=NoticeWarnDays,"통지 기한 임박 — 사람 결정",""))))</f>
        <v/>
      </c>
      <c r="T185" s="83">
        <f>IF(OR($A185="",$F185&lt;&gt;"Y"),"",IF(IF($L185="",InsuranceType,$L185)="포괄",DATE(YEAR($G185),MONTH($G185)+1,20),WORKDAY($G185,10)))</f>
        <v/>
      </c>
      <c r="U185" s="83">
        <f>IF(OR($A185="",$M185=""),"",WORKDAY($M185,10))</f>
        <v/>
      </c>
      <c r="V185" s="37">
        <f>IF($A185="","",IF($N185="Y","사기 의심: 콜백 검증 전 대금 안내 중단",""))</f>
        <v/>
      </c>
      <c r="W185" s="37">
        <f>IF($A185="","",IF(AND($K185="N",$D185&lt;&gt;"LC_SIGHT",$D185&lt;&gt;"LC_USANCE",$D185&lt;&gt;"TT_ADV"),$O185,""))</f>
        <v/>
      </c>
      <c r="X185" s="37">
        <f>IF($A185="",0,IF(AND($K185="N",$D185&lt;&gt;"LC_SIGHT",$D185&lt;&gt;"LC_USANCE",$D185&lt;&gt;"TT_ADV",$O185&gt;=30),1,0))</f>
        <v/>
      </c>
      <c r="Y185" s="37">
        <f>IF($A185="","",IF($O185&lt;=0,"미연체",IF($O185&lt;=30,"1-30",IF($O185&lt;=90,"31-90",IF($O185&lt;=180,"91-180",IF($O185&lt;=365,"181-365","365+"))))))</f>
        <v/>
      </c>
      <c r="Z185" s="37">
        <f>IF($S185="통지 기한 임박 — 사람 결정",COUNTIF($S$5:$S185,"통지 기한 임박 — 사람 결정"),"")</f>
        <v/>
      </c>
    </row>
    <row r="186">
      <c r="A186" t="inlineStr">
        <is>
          <t>INV-2608-0096</t>
        </is>
      </c>
      <c r="B186" t="inlineStr">
        <is>
          <t>B087</t>
        </is>
      </c>
      <c r="C186" t="inlineStr">
        <is>
          <t>TWN</t>
        </is>
      </c>
      <c r="D186" t="inlineStr">
        <is>
          <t>OA</t>
        </is>
      </c>
      <c r="E186" t="inlineStr">
        <is>
          <t>USD</t>
        </is>
      </c>
      <c r="F186" t="inlineStr">
        <is>
          <t>Y</t>
        </is>
      </c>
      <c r="G186" s="32" t="n">
        <v>46254</v>
      </c>
      <c r="H186" s="32" t="n">
        <v>46284</v>
      </c>
      <c r="I186" s="82" t="n">
        <v>2460</v>
      </c>
      <c r="J186" s="82" t="n">
        <v>2460</v>
      </c>
      <c r="K186" t="inlineStr">
        <is>
          <t>N</t>
        </is>
      </c>
      <c r="L186" t="inlineStr">
        <is>
          <t>개별</t>
        </is>
      </c>
      <c r="N186" t="inlineStr">
        <is>
          <t>N</t>
        </is>
      </c>
      <c r="O186" s="37">
        <f>IF($A186="","",AsOf-$H186)</f>
        <v/>
      </c>
      <c r="P186" s="37">
        <f>IF($A186="","",IF($K186="Y","-",IF($O186&gt;=30,"D+30 최종통지·선적보류",IF($O186&gt;=15,"D+15 단호한 통지",IF($O186&gt;=7,"D+7 친절한 리마인더",IF(AND($O186&gt;=-3,$O186&lt;=-1),"D-3 사전 안내","모니터링"))))))</f>
        <v/>
      </c>
      <c r="Q186" s="83">
        <f>IF($A186="","",EDATE($H186,1))</f>
        <v/>
      </c>
      <c r="R186" s="37">
        <f>IF($A186="","",$Q186-AsOf)</f>
        <v/>
      </c>
      <c r="S186" s="37">
        <f>IF($A186="","",IF(OR($K186="Y",$F186&lt;&gt;"Y",$O186&lt;=0),"",IF($R186&lt;0,"통지 기한 경과 — 즉시 확인",IF($R186&lt;=NoticeWarnDays,"통지 기한 임박 — 사람 결정",""))))</f>
        <v/>
      </c>
      <c r="T186" s="83">
        <f>IF(OR($A186="",$F186&lt;&gt;"Y"),"",IF(IF($L186="",InsuranceType,$L186)="포괄",DATE(YEAR($G186),MONTH($G186)+1,20),WORKDAY($G186,10)))</f>
        <v/>
      </c>
      <c r="U186" s="83">
        <f>IF(OR($A186="",$M186=""),"",WORKDAY($M186,10))</f>
        <v/>
      </c>
      <c r="V186" s="37">
        <f>IF($A186="","",IF($N186="Y","사기 의심: 콜백 검증 전 대금 안내 중단",""))</f>
        <v/>
      </c>
      <c r="W186" s="37">
        <f>IF($A186="","",IF(AND($K186="N",$D186&lt;&gt;"LC_SIGHT",$D186&lt;&gt;"LC_USANCE",$D186&lt;&gt;"TT_ADV"),$O186,""))</f>
        <v/>
      </c>
      <c r="X186" s="37">
        <f>IF($A186="",0,IF(AND($K186="N",$D186&lt;&gt;"LC_SIGHT",$D186&lt;&gt;"LC_USANCE",$D186&lt;&gt;"TT_ADV",$O186&gt;=30),1,0))</f>
        <v/>
      </c>
      <c r="Y186" s="37">
        <f>IF($A186="","",IF($O186&lt;=0,"미연체",IF($O186&lt;=30,"1-30",IF($O186&lt;=90,"31-90",IF($O186&lt;=180,"91-180",IF($O186&lt;=365,"181-365","365+"))))))</f>
        <v/>
      </c>
      <c r="Z186" s="37">
        <f>IF($S186="통지 기한 임박 — 사람 결정",COUNTIF($S$5:$S186,"통지 기한 임박 — 사람 결정"),"")</f>
        <v/>
      </c>
    </row>
    <row r="187">
      <c r="A187" t="inlineStr">
        <is>
          <t>INV-2609-0004</t>
        </is>
      </c>
      <c r="B187" t="inlineStr">
        <is>
          <t>B087</t>
        </is>
      </c>
      <c r="C187" t="inlineStr">
        <is>
          <t>TWN</t>
        </is>
      </c>
      <c r="D187" t="inlineStr">
        <is>
          <t>TT_SPLIT_30_70</t>
        </is>
      </c>
      <c r="E187" t="inlineStr">
        <is>
          <t>USD</t>
        </is>
      </c>
      <c r="F187" t="inlineStr">
        <is>
          <t>Y</t>
        </is>
      </c>
      <c r="G187" s="32" t="n">
        <v>46266</v>
      </c>
      <c r="H187" s="32" t="n">
        <v>46296</v>
      </c>
      <c r="I187" s="82" t="n">
        <v>5278</v>
      </c>
      <c r="J187" s="82" t="n">
        <v>5278</v>
      </c>
      <c r="K187" t="inlineStr">
        <is>
          <t>N</t>
        </is>
      </c>
      <c r="L187" t="inlineStr">
        <is>
          <t>개별</t>
        </is>
      </c>
      <c r="N187" t="inlineStr">
        <is>
          <t>N</t>
        </is>
      </c>
      <c r="O187" s="37">
        <f>IF($A187="","",AsOf-$H187)</f>
        <v/>
      </c>
      <c r="P187" s="37">
        <f>IF($A187="","",IF($K187="Y","-",IF($O187&gt;=30,"D+30 최종통지·선적보류",IF($O187&gt;=15,"D+15 단호한 통지",IF($O187&gt;=7,"D+7 친절한 리마인더",IF(AND($O187&gt;=-3,$O187&lt;=-1),"D-3 사전 안내","모니터링"))))))</f>
        <v/>
      </c>
      <c r="Q187" s="83">
        <f>IF($A187="","",EDATE($H187,1))</f>
        <v/>
      </c>
      <c r="R187" s="37">
        <f>IF($A187="","",$Q187-AsOf)</f>
        <v/>
      </c>
      <c r="S187" s="37">
        <f>IF($A187="","",IF(OR($K187="Y",$F187&lt;&gt;"Y",$O187&lt;=0),"",IF($R187&lt;0,"통지 기한 경과 — 즉시 확인",IF($R187&lt;=NoticeWarnDays,"통지 기한 임박 — 사람 결정",""))))</f>
        <v/>
      </c>
      <c r="T187" s="83">
        <f>IF(OR($A187="",$F187&lt;&gt;"Y"),"",IF(IF($L187="",InsuranceType,$L187)="포괄",DATE(YEAR($G187),MONTH($G187)+1,20),WORKDAY($G187,10)))</f>
        <v/>
      </c>
      <c r="U187" s="83">
        <f>IF(OR($A187="",$M187=""),"",WORKDAY($M187,10))</f>
        <v/>
      </c>
      <c r="V187" s="37">
        <f>IF($A187="","",IF($N187="Y","사기 의심: 콜백 검증 전 대금 안내 중단",""))</f>
        <v/>
      </c>
      <c r="W187" s="37">
        <f>IF($A187="","",IF(AND($K187="N",$D187&lt;&gt;"LC_SIGHT",$D187&lt;&gt;"LC_USANCE",$D187&lt;&gt;"TT_ADV"),$O187,""))</f>
        <v/>
      </c>
      <c r="X187" s="37">
        <f>IF($A187="",0,IF(AND($K187="N",$D187&lt;&gt;"LC_SIGHT",$D187&lt;&gt;"LC_USANCE",$D187&lt;&gt;"TT_ADV",$O187&gt;=30),1,0))</f>
        <v/>
      </c>
      <c r="Y187" s="37">
        <f>IF($A187="","",IF($O187&lt;=0,"미연체",IF($O187&lt;=30,"1-30",IF($O187&lt;=90,"31-90",IF($O187&lt;=180,"91-180",IF($O187&lt;=365,"181-365","365+"))))))</f>
        <v/>
      </c>
      <c r="Z187" s="37">
        <f>IF($S187="통지 기한 임박 — 사람 결정",COUNTIF($S$5:$S187,"통지 기한 임박 — 사람 결정"),"")</f>
        <v/>
      </c>
    </row>
    <row r="188">
      <c r="A188" t="inlineStr">
        <is>
          <t>INV-2609-0087</t>
        </is>
      </c>
      <c r="B188" t="inlineStr">
        <is>
          <t>B087</t>
        </is>
      </c>
      <c r="C188" t="inlineStr">
        <is>
          <t>TWN</t>
        </is>
      </c>
      <c r="D188" t="inlineStr">
        <is>
          <t>TT_SPLIT_30_70</t>
        </is>
      </c>
      <c r="E188" t="inlineStr">
        <is>
          <t>USD</t>
        </is>
      </c>
      <c r="F188" t="inlineStr">
        <is>
          <t>Y</t>
        </is>
      </c>
      <c r="G188" s="32" t="n">
        <v>46281</v>
      </c>
      <c r="H188" s="32" t="n">
        <v>46311</v>
      </c>
      <c r="I188" s="82" t="n">
        <v>4284</v>
      </c>
      <c r="J188" s="82" t="n">
        <v>4284</v>
      </c>
      <c r="K188" t="inlineStr">
        <is>
          <t>N</t>
        </is>
      </c>
      <c r="L188" t="inlineStr">
        <is>
          <t>개별</t>
        </is>
      </c>
      <c r="N188" t="inlineStr">
        <is>
          <t>N</t>
        </is>
      </c>
      <c r="O188" s="37">
        <f>IF($A188="","",AsOf-$H188)</f>
        <v/>
      </c>
      <c r="P188" s="37">
        <f>IF($A188="","",IF($K188="Y","-",IF($O188&gt;=30,"D+30 최종통지·선적보류",IF($O188&gt;=15,"D+15 단호한 통지",IF($O188&gt;=7,"D+7 친절한 리마인더",IF(AND($O188&gt;=-3,$O188&lt;=-1),"D-3 사전 안내","모니터링"))))))</f>
        <v/>
      </c>
      <c r="Q188" s="83">
        <f>IF($A188="","",EDATE($H188,1))</f>
        <v/>
      </c>
      <c r="R188" s="37">
        <f>IF($A188="","",$Q188-AsOf)</f>
        <v/>
      </c>
      <c r="S188" s="37">
        <f>IF($A188="","",IF(OR($K188="Y",$F188&lt;&gt;"Y",$O188&lt;=0),"",IF($R188&lt;0,"통지 기한 경과 — 즉시 확인",IF($R188&lt;=NoticeWarnDays,"통지 기한 임박 — 사람 결정",""))))</f>
        <v/>
      </c>
      <c r="T188" s="83">
        <f>IF(OR($A188="",$F188&lt;&gt;"Y"),"",IF(IF($L188="",InsuranceType,$L188)="포괄",DATE(YEAR($G188),MONTH($G188)+1,20),WORKDAY($G188,10)))</f>
        <v/>
      </c>
      <c r="U188" s="83">
        <f>IF(OR($A188="",$M188=""),"",WORKDAY($M188,10))</f>
        <v/>
      </c>
      <c r="V188" s="37">
        <f>IF($A188="","",IF($N188="Y","사기 의심: 콜백 검증 전 대금 안내 중단",""))</f>
        <v/>
      </c>
      <c r="W188" s="37">
        <f>IF($A188="","",IF(AND($K188="N",$D188&lt;&gt;"LC_SIGHT",$D188&lt;&gt;"LC_USANCE",$D188&lt;&gt;"TT_ADV"),$O188,""))</f>
        <v/>
      </c>
      <c r="X188" s="37">
        <f>IF($A188="",0,IF(AND($K188="N",$D188&lt;&gt;"LC_SIGHT",$D188&lt;&gt;"LC_USANCE",$D188&lt;&gt;"TT_ADV",$O188&gt;=30),1,0))</f>
        <v/>
      </c>
      <c r="Y188" s="37">
        <f>IF($A188="","",IF($O188&lt;=0,"미연체",IF($O188&lt;=30,"1-30",IF($O188&lt;=90,"31-90",IF($O188&lt;=180,"91-180",IF($O188&lt;=365,"181-365","365+"))))))</f>
        <v/>
      </c>
      <c r="Z188" s="37">
        <f>IF($S188="통지 기한 임박 — 사람 결정",COUNTIF($S$5:$S188,"통지 기한 임박 — 사람 결정"),"")</f>
        <v/>
      </c>
    </row>
    <row r="189">
      <c r="A189" t="inlineStr">
        <is>
          <t>INV-2609-0088</t>
        </is>
      </c>
      <c r="B189" t="inlineStr">
        <is>
          <t>B087</t>
        </is>
      </c>
      <c r="C189" t="inlineStr">
        <is>
          <t>TWN</t>
        </is>
      </c>
      <c r="D189" t="inlineStr">
        <is>
          <t>TT_SPLIT_30_70</t>
        </is>
      </c>
      <c r="E189" t="inlineStr">
        <is>
          <t>USD</t>
        </is>
      </c>
      <c r="F189" t="inlineStr">
        <is>
          <t>Y</t>
        </is>
      </c>
      <c r="G189" s="32" t="n">
        <v>46281</v>
      </c>
      <c r="H189" s="32" t="n">
        <v>46311</v>
      </c>
      <c r="I189" s="82" t="n">
        <v>31857</v>
      </c>
      <c r="J189" s="82" t="n">
        <v>31857</v>
      </c>
      <c r="K189" t="inlineStr">
        <is>
          <t>N</t>
        </is>
      </c>
      <c r="L189" t="inlineStr">
        <is>
          <t>개별</t>
        </is>
      </c>
      <c r="N189" t="inlineStr">
        <is>
          <t>N</t>
        </is>
      </c>
      <c r="O189" s="37">
        <f>IF($A189="","",AsOf-$H189)</f>
        <v/>
      </c>
      <c r="P189" s="37">
        <f>IF($A189="","",IF($K189="Y","-",IF($O189&gt;=30,"D+30 최종통지·선적보류",IF($O189&gt;=15,"D+15 단호한 통지",IF($O189&gt;=7,"D+7 친절한 리마인더",IF(AND($O189&gt;=-3,$O189&lt;=-1),"D-3 사전 안내","모니터링"))))))</f>
        <v/>
      </c>
      <c r="Q189" s="83">
        <f>IF($A189="","",EDATE($H189,1))</f>
        <v/>
      </c>
      <c r="R189" s="37">
        <f>IF($A189="","",$Q189-AsOf)</f>
        <v/>
      </c>
      <c r="S189" s="37">
        <f>IF($A189="","",IF(OR($K189="Y",$F189&lt;&gt;"Y",$O189&lt;=0),"",IF($R189&lt;0,"통지 기한 경과 — 즉시 확인",IF($R189&lt;=NoticeWarnDays,"통지 기한 임박 — 사람 결정",""))))</f>
        <v/>
      </c>
      <c r="T189" s="83">
        <f>IF(OR($A189="",$F189&lt;&gt;"Y"),"",IF(IF($L189="",InsuranceType,$L189)="포괄",DATE(YEAR($G189),MONTH($G189)+1,20),WORKDAY($G189,10)))</f>
        <v/>
      </c>
      <c r="U189" s="83">
        <f>IF(OR($A189="",$M189=""),"",WORKDAY($M189,10))</f>
        <v/>
      </c>
      <c r="V189" s="37">
        <f>IF($A189="","",IF($N189="Y","사기 의심: 콜백 검증 전 대금 안내 중단",""))</f>
        <v/>
      </c>
      <c r="W189" s="37">
        <f>IF($A189="","",IF(AND($K189="N",$D189&lt;&gt;"LC_SIGHT",$D189&lt;&gt;"LC_USANCE",$D189&lt;&gt;"TT_ADV"),$O189,""))</f>
        <v/>
      </c>
      <c r="X189" s="37">
        <f>IF($A189="",0,IF(AND($K189="N",$D189&lt;&gt;"LC_SIGHT",$D189&lt;&gt;"LC_USANCE",$D189&lt;&gt;"TT_ADV",$O189&gt;=30),1,0))</f>
        <v/>
      </c>
      <c r="Y189" s="37">
        <f>IF($A189="","",IF($O189&lt;=0,"미연체",IF($O189&lt;=30,"1-30",IF($O189&lt;=90,"31-90",IF($O189&lt;=180,"91-180",IF($O189&lt;=365,"181-365","365+"))))))</f>
        <v/>
      </c>
      <c r="Z189" s="37">
        <f>IF($S189="통지 기한 임박 — 사람 결정",COUNTIF($S$5:$S189,"통지 기한 임박 — 사람 결정"),"")</f>
        <v/>
      </c>
    </row>
    <row r="190">
      <c r="A190" t="inlineStr">
        <is>
          <t>INV-2609-0089</t>
        </is>
      </c>
      <c r="B190" t="inlineStr">
        <is>
          <t>B087</t>
        </is>
      </c>
      <c r="C190" t="inlineStr">
        <is>
          <t>TWN</t>
        </is>
      </c>
      <c r="D190" t="inlineStr">
        <is>
          <t>TT_SPLIT_30_70</t>
        </is>
      </c>
      <c r="E190" t="inlineStr">
        <is>
          <t>USD</t>
        </is>
      </c>
      <c r="F190" t="inlineStr">
        <is>
          <t>Y</t>
        </is>
      </c>
      <c r="G190" s="32" t="n">
        <v>46281</v>
      </c>
      <c r="H190" s="32" t="n">
        <v>46311</v>
      </c>
      <c r="I190" s="82" t="n">
        <v>21798</v>
      </c>
      <c r="J190" s="82" t="n">
        <v>21798</v>
      </c>
      <c r="K190" t="inlineStr">
        <is>
          <t>N</t>
        </is>
      </c>
      <c r="L190" t="inlineStr">
        <is>
          <t>개별</t>
        </is>
      </c>
      <c r="N190" t="inlineStr">
        <is>
          <t>N</t>
        </is>
      </c>
      <c r="O190" s="37">
        <f>IF($A190="","",AsOf-$H190)</f>
        <v/>
      </c>
      <c r="P190" s="37">
        <f>IF($A190="","",IF($K190="Y","-",IF($O190&gt;=30,"D+30 최종통지·선적보류",IF($O190&gt;=15,"D+15 단호한 통지",IF($O190&gt;=7,"D+7 친절한 리마인더",IF(AND($O190&gt;=-3,$O190&lt;=-1),"D-3 사전 안내","모니터링"))))))</f>
        <v/>
      </c>
      <c r="Q190" s="83">
        <f>IF($A190="","",EDATE($H190,1))</f>
        <v/>
      </c>
      <c r="R190" s="37">
        <f>IF($A190="","",$Q190-AsOf)</f>
        <v/>
      </c>
      <c r="S190" s="37">
        <f>IF($A190="","",IF(OR($K190="Y",$F190&lt;&gt;"Y",$O190&lt;=0),"",IF($R190&lt;0,"통지 기한 경과 — 즉시 확인",IF($R190&lt;=NoticeWarnDays,"통지 기한 임박 — 사람 결정",""))))</f>
        <v/>
      </c>
      <c r="T190" s="83">
        <f>IF(OR($A190="",$F190&lt;&gt;"Y"),"",IF(IF($L190="",InsuranceType,$L190)="포괄",DATE(YEAR($G190),MONTH($G190)+1,20),WORKDAY($G190,10)))</f>
        <v/>
      </c>
      <c r="U190" s="83">
        <f>IF(OR($A190="",$M190=""),"",WORKDAY($M190,10))</f>
        <v/>
      </c>
      <c r="V190" s="37">
        <f>IF($A190="","",IF($N190="Y","사기 의심: 콜백 검증 전 대금 안내 중단",""))</f>
        <v/>
      </c>
      <c r="W190" s="37">
        <f>IF($A190="","",IF(AND($K190="N",$D190&lt;&gt;"LC_SIGHT",$D190&lt;&gt;"LC_USANCE",$D190&lt;&gt;"TT_ADV"),$O190,""))</f>
        <v/>
      </c>
      <c r="X190" s="37">
        <f>IF($A190="",0,IF(AND($K190="N",$D190&lt;&gt;"LC_SIGHT",$D190&lt;&gt;"LC_USANCE",$D190&lt;&gt;"TT_ADV",$O190&gt;=30),1,0))</f>
        <v/>
      </c>
      <c r="Y190" s="37">
        <f>IF($A190="","",IF($O190&lt;=0,"미연체",IF($O190&lt;=30,"1-30",IF($O190&lt;=90,"31-90",IF($O190&lt;=180,"91-180",IF($O190&lt;=365,"181-365","365+"))))))</f>
        <v/>
      </c>
      <c r="Z190" s="37">
        <f>IF($S190="통지 기한 임박 — 사람 결정",COUNTIF($S$5:$S190,"통지 기한 임박 — 사람 결정"),"")</f>
        <v/>
      </c>
    </row>
    <row r="191">
      <c r="A191" t="inlineStr">
        <is>
          <t>INV-2609-0153</t>
        </is>
      </c>
      <c r="B191" t="inlineStr">
        <is>
          <t>B089</t>
        </is>
      </c>
      <c r="C191" t="inlineStr">
        <is>
          <t>NGA</t>
        </is>
      </c>
      <c r="D191" t="inlineStr">
        <is>
          <t>LC_SIGHT</t>
        </is>
      </c>
      <c r="E191" t="inlineStr">
        <is>
          <t>USD</t>
        </is>
      </c>
      <c r="F191" t="inlineStr">
        <is>
          <t>N</t>
        </is>
      </c>
      <c r="G191" s="32" t="n">
        <v>46293</v>
      </c>
      <c r="H191" s="32" t="n">
        <v>46300</v>
      </c>
      <c r="I191" s="82" t="n">
        <v>760</v>
      </c>
      <c r="J191" s="82" t="n">
        <v>760</v>
      </c>
      <c r="K191" t="inlineStr">
        <is>
          <t>N</t>
        </is>
      </c>
      <c r="N191" t="inlineStr">
        <is>
          <t>N</t>
        </is>
      </c>
      <c r="O191" s="37">
        <f>IF($A191="","",AsOf-$H191)</f>
        <v/>
      </c>
      <c r="P191" s="37">
        <f>IF($A191="","",IF($K191="Y","-",IF($O191&gt;=30,"D+30 최종통지·선적보류",IF($O191&gt;=15,"D+15 단호한 통지",IF($O191&gt;=7,"D+7 친절한 리마인더",IF(AND($O191&gt;=-3,$O191&lt;=-1),"D-3 사전 안내","모니터링"))))))</f>
        <v/>
      </c>
      <c r="Q191" s="83">
        <f>IF($A191="","",EDATE($H191,1))</f>
        <v/>
      </c>
      <c r="R191" s="37">
        <f>IF($A191="","",$Q191-AsOf)</f>
        <v/>
      </c>
      <c r="S191" s="37">
        <f>IF($A191="","",IF(OR($K191="Y",$F191&lt;&gt;"Y",$O191&lt;=0),"",IF($R191&lt;0,"통지 기한 경과 — 즉시 확인",IF($R191&lt;=NoticeWarnDays,"통지 기한 임박 — 사람 결정",""))))</f>
        <v/>
      </c>
      <c r="T191" s="83">
        <f>IF(OR($A191="",$F191&lt;&gt;"Y"),"",IF(IF($L191="",InsuranceType,$L191)="포괄",DATE(YEAR($G191),MONTH($G191)+1,20),WORKDAY($G191,10)))</f>
        <v/>
      </c>
      <c r="U191" s="83">
        <f>IF(OR($A191="",$M191=""),"",WORKDAY($M191,10))</f>
        <v/>
      </c>
      <c r="V191" s="37">
        <f>IF($A191="","",IF($N191="Y","사기 의심: 콜백 검증 전 대금 안내 중단",""))</f>
        <v/>
      </c>
      <c r="W191" s="37">
        <f>IF($A191="","",IF(AND($K191="N",$D191&lt;&gt;"LC_SIGHT",$D191&lt;&gt;"LC_USANCE",$D191&lt;&gt;"TT_ADV"),$O191,""))</f>
        <v/>
      </c>
      <c r="X191" s="37">
        <f>IF($A191="",0,IF(AND($K191="N",$D191&lt;&gt;"LC_SIGHT",$D191&lt;&gt;"LC_USANCE",$D191&lt;&gt;"TT_ADV",$O191&gt;=30),1,0))</f>
        <v/>
      </c>
      <c r="Y191" s="37">
        <f>IF($A191="","",IF($O191&lt;=0,"미연체",IF($O191&lt;=30,"1-30",IF($O191&lt;=90,"31-90",IF($O191&lt;=180,"91-180",IF($O191&lt;=365,"181-365","365+"))))))</f>
        <v/>
      </c>
      <c r="Z191" s="37">
        <f>IF($S191="통지 기한 임박 — 사람 결정",COUNTIF($S$5:$S191,"통지 기한 임박 — 사람 결정"),"")</f>
        <v/>
      </c>
    </row>
    <row r="192">
      <c r="A192" t="inlineStr">
        <is>
          <t>INV-2609-0114</t>
        </is>
      </c>
      <c r="B192" t="inlineStr">
        <is>
          <t>B090</t>
        </is>
      </c>
      <c r="C192" t="inlineStr">
        <is>
          <t>USA</t>
        </is>
      </c>
      <c r="D192" t="inlineStr">
        <is>
          <t>OA</t>
        </is>
      </c>
      <c r="E192" t="inlineStr">
        <is>
          <t>USD</t>
        </is>
      </c>
      <c r="F192" t="inlineStr">
        <is>
          <t>N</t>
        </is>
      </c>
      <c r="G192" s="32" t="n">
        <v>46286</v>
      </c>
      <c r="H192" s="32" t="n">
        <v>46346</v>
      </c>
      <c r="I192" s="82" t="n">
        <v>7550</v>
      </c>
      <c r="J192" s="82" t="n">
        <v>7550</v>
      </c>
      <c r="K192" t="inlineStr">
        <is>
          <t>N</t>
        </is>
      </c>
      <c r="N192" t="inlineStr">
        <is>
          <t>N</t>
        </is>
      </c>
      <c r="O192" s="37">
        <f>IF($A192="","",AsOf-$H192)</f>
        <v/>
      </c>
      <c r="P192" s="37">
        <f>IF($A192="","",IF($K192="Y","-",IF($O192&gt;=30,"D+30 최종통지·선적보류",IF($O192&gt;=15,"D+15 단호한 통지",IF($O192&gt;=7,"D+7 친절한 리마인더",IF(AND($O192&gt;=-3,$O192&lt;=-1),"D-3 사전 안내","모니터링"))))))</f>
        <v/>
      </c>
      <c r="Q192" s="83">
        <f>IF($A192="","",EDATE($H192,1))</f>
        <v/>
      </c>
      <c r="R192" s="37">
        <f>IF($A192="","",$Q192-AsOf)</f>
        <v/>
      </c>
      <c r="S192" s="37">
        <f>IF($A192="","",IF(OR($K192="Y",$F192&lt;&gt;"Y",$O192&lt;=0),"",IF($R192&lt;0,"통지 기한 경과 — 즉시 확인",IF($R192&lt;=NoticeWarnDays,"통지 기한 임박 — 사람 결정",""))))</f>
        <v/>
      </c>
      <c r="T192" s="83">
        <f>IF(OR($A192="",$F192&lt;&gt;"Y"),"",IF(IF($L192="",InsuranceType,$L192)="포괄",DATE(YEAR($G192),MONTH($G192)+1,20),WORKDAY($G192,10)))</f>
        <v/>
      </c>
      <c r="U192" s="83">
        <f>IF(OR($A192="",$M192=""),"",WORKDAY($M192,10))</f>
        <v/>
      </c>
      <c r="V192" s="37">
        <f>IF($A192="","",IF($N192="Y","사기 의심: 콜백 검증 전 대금 안내 중단",""))</f>
        <v/>
      </c>
      <c r="W192" s="37">
        <f>IF($A192="","",IF(AND($K192="N",$D192&lt;&gt;"LC_SIGHT",$D192&lt;&gt;"LC_USANCE",$D192&lt;&gt;"TT_ADV"),$O192,""))</f>
        <v/>
      </c>
      <c r="X192" s="37">
        <f>IF($A192="",0,IF(AND($K192="N",$D192&lt;&gt;"LC_SIGHT",$D192&lt;&gt;"LC_USANCE",$D192&lt;&gt;"TT_ADV",$O192&gt;=30),1,0))</f>
        <v/>
      </c>
      <c r="Y192" s="37">
        <f>IF($A192="","",IF($O192&lt;=0,"미연체",IF($O192&lt;=30,"1-30",IF($O192&lt;=90,"31-90",IF($O192&lt;=180,"91-180",IF($O192&lt;=365,"181-365","365+"))))))</f>
        <v/>
      </c>
      <c r="Z192" s="37">
        <f>IF($S192="통지 기한 임박 — 사람 결정",COUNTIF($S$5:$S192,"통지 기한 임박 — 사람 결정"),"")</f>
        <v/>
      </c>
    </row>
    <row r="193">
      <c r="A193" t="inlineStr">
        <is>
          <t>INV-2609-0012</t>
        </is>
      </c>
      <c r="B193" t="inlineStr">
        <is>
          <t>B091</t>
        </is>
      </c>
      <c r="C193" t="inlineStr">
        <is>
          <t>NLD</t>
        </is>
      </c>
      <c r="D193" t="inlineStr">
        <is>
          <t>DA</t>
        </is>
      </c>
      <c r="E193" t="inlineStr">
        <is>
          <t>EUR</t>
        </is>
      </c>
      <c r="F193" t="inlineStr">
        <is>
          <t>Y</t>
        </is>
      </c>
      <c r="G193" s="32" t="n">
        <v>46267</v>
      </c>
      <c r="H193" s="32" t="n">
        <v>46357</v>
      </c>
      <c r="I193" s="82" t="n">
        <v>4020</v>
      </c>
      <c r="J193" s="82" t="n">
        <v>4582.8</v>
      </c>
      <c r="K193" t="inlineStr">
        <is>
          <t>N</t>
        </is>
      </c>
      <c r="L193" t="inlineStr">
        <is>
          <t>개별</t>
        </is>
      </c>
      <c r="N193" t="inlineStr">
        <is>
          <t>N</t>
        </is>
      </c>
      <c r="O193" s="37">
        <f>IF($A193="","",AsOf-$H193)</f>
        <v/>
      </c>
      <c r="P193" s="37">
        <f>IF($A193="","",IF($K193="Y","-",IF($O193&gt;=30,"D+30 최종통지·선적보류",IF($O193&gt;=15,"D+15 단호한 통지",IF($O193&gt;=7,"D+7 친절한 리마인더",IF(AND($O193&gt;=-3,$O193&lt;=-1),"D-3 사전 안내","모니터링"))))))</f>
        <v/>
      </c>
      <c r="Q193" s="83">
        <f>IF($A193="","",EDATE($H193,1))</f>
        <v/>
      </c>
      <c r="R193" s="37">
        <f>IF($A193="","",$Q193-AsOf)</f>
        <v/>
      </c>
      <c r="S193" s="37">
        <f>IF($A193="","",IF(OR($K193="Y",$F193&lt;&gt;"Y",$O193&lt;=0),"",IF($R193&lt;0,"통지 기한 경과 — 즉시 확인",IF($R193&lt;=NoticeWarnDays,"통지 기한 임박 — 사람 결정",""))))</f>
        <v/>
      </c>
      <c r="T193" s="83">
        <f>IF(OR($A193="",$F193&lt;&gt;"Y"),"",IF(IF($L193="",InsuranceType,$L193)="포괄",DATE(YEAR($G193),MONTH($G193)+1,20),WORKDAY($G193,10)))</f>
        <v/>
      </c>
      <c r="U193" s="83">
        <f>IF(OR($A193="",$M193=""),"",WORKDAY($M193,10))</f>
        <v/>
      </c>
      <c r="V193" s="37">
        <f>IF($A193="","",IF($N193="Y","사기 의심: 콜백 검증 전 대금 안내 중단",""))</f>
        <v/>
      </c>
      <c r="W193" s="37">
        <f>IF($A193="","",IF(AND($K193="N",$D193&lt;&gt;"LC_SIGHT",$D193&lt;&gt;"LC_USANCE",$D193&lt;&gt;"TT_ADV"),$O193,""))</f>
        <v/>
      </c>
      <c r="X193" s="37">
        <f>IF($A193="",0,IF(AND($K193="N",$D193&lt;&gt;"LC_SIGHT",$D193&lt;&gt;"LC_USANCE",$D193&lt;&gt;"TT_ADV",$O193&gt;=30),1,0))</f>
        <v/>
      </c>
      <c r="Y193" s="37">
        <f>IF($A193="","",IF($O193&lt;=0,"미연체",IF($O193&lt;=30,"1-30",IF($O193&lt;=90,"31-90",IF($O193&lt;=180,"91-180",IF($O193&lt;=365,"181-365","365+"))))))</f>
        <v/>
      </c>
      <c r="Z193" s="37">
        <f>IF($S193="통지 기한 임박 — 사람 결정",COUNTIF($S$5:$S193,"통지 기한 임박 — 사람 결정"),"")</f>
        <v/>
      </c>
    </row>
    <row r="194">
      <c r="A194" t="inlineStr">
        <is>
          <t>INV-2609-0058</t>
        </is>
      </c>
      <c r="B194" t="inlineStr">
        <is>
          <t>B093</t>
        </is>
      </c>
      <c r="C194" t="inlineStr">
        <is>
          <t>NGA</t>
        </is>
      </c>
      <c r="D194" t="inlineStr">
        <is>
          <t>OA</t>
        </is>
      </c>
      <c r="E194" t="inlineStr">
        <is>
          <t>USD</t>
        </is>
      </c>
      <c r="F194" t="inlineStr">
        <is>
          <t>Y</t>
        </is>
      </c>
      <c r="G194" s="32" t="n">
        <v>46276</v>
      </c>
      <c r="H194" s="32" t="n">
        <v>46306</v>
      </c>
      <c r="I194" s="82" t="n">
        <v>88060</v>
      </c>
      <c r="J194" s="82" t="n">
        <v>88060</v>
      </c>
      <c r="K194" t="inlineStr">
        <is>
          <t>N</t>
        </is>
      </c>
      <c r="L194" t="inlineStr">
        <is>
          <t>개별</t>
        </is>
      </c>
      <c r="N194" t="inlineStr">
        <is>
          <t>N</t>
        </is>
      </c>
      <c r="O194" s="37">
        <f>IF($A194="","",AsOf-$H194)</f>
        <v/>
      </c>
      <c r="P194" s="37">
        <f>IF($A194="","",IF($K194="Y","-",IF($O194&gt;=30,"D+30 최종통지·선적보류",IF($O194&gt;=15,"D+15 단호한 통지",IF($O194&gt;=7,"D+7 친절한 리마인더",IF(AND($O194&gt;=-3,$O194&lt;=-1),"D-3 사전 안내","모니터링"))))))</f>
        <v/>
      </c>
      <c r="Q194" s="83">
        <f>IF($A194="","",EDATE($H194,1))</f>
        <v/>
      </c>
      <c r="R194" s="37">
        <f>IF($A194="","",$Q194-AsOf)</f>
        <v/>
      </c>
      <c r="S194" s="37">
        <f>IF($A194="","",IF(OR($K194="Y",$F194&lt;&gt;"Y",$O194&lt;=0),"",IF($R194&lt;0,"통지 기한 경과 — 즉시 확인",IF($R194&lt;=NoticeWarnDays,"통지 기한 임박 — 사람 결정",""))))</f>
        <v/>
      </c>
      <c r="T194" s="83">
        <f>IF(OR($A194="",$F194&lt;&gt;"Y"),"",IF(IF($L194="",InsuranceType,$L194)="포괄",DATE(YEAR($G194),MONTH($G194)+1,20),WORKDAY($G194,10)))</f>
        <v/>
      </c>
      <c r="U194" s="83">
        <f>IF(OR($A194="",$M194=""),"",WORKDAY($M194,10))</f>
        <v/>
      </c>
      <c r="V194" s="37">
        <f>IF($A194="","",IF($N194="Y","사기 의심: 콜백 검증 전 대금 안내 중단",""))</f>
        <v/>
      </c>
      <c r="W194" s="37">
        <f>IF($A194="","",IF(AND($K194="N",$D194&lt;&gt;"LC_SIGHT",$D194&lt;&gt;"LC_USANCE",$D194&lt;&gt;"TT_ADV"),$O194,""))</f>
        <v/>
      </c>
      <c r="X194" s="37">
        <f>IF($A194="",0,IF(AND($K194="N",$D194&lt;&gt;"LC_SIGHT",$D194&lt;&gt;"LC_USANCE",$D194&lt;&gt;"TT_ADV",$O194&gt;=30),1,0))</f>
        <v/>
      </c>
      <c r="Y194" s="37">
        <f>IF($A194="","",IF($O194&lt;=0,"미연체",IF($O194&lt;=30,"1-30",IF($O194&lt;=90,"31-90",IF($O194&lt;=180,"91-180",IF($O194&lt;=365,"181-365","365+"))))))</f>
        <v/>
      </c>
      <c r="Z194" s="37">
        <f>IF($S194="통지 기한 임박 — 사람 결정",COUNTIF($S$5:$S194,"통지 기한 임박 — 사람 결정"),"")</f>
        <v/>
      </c>
    </row>
    <row r="195">
      <c r="A195" t="inlineStr">
        <is>
          <t>INV-2608-0046</t>
        </is>
      </c>
      <c r="B195" t="inlineStr">
        <is>
          <t>B094</t>
        </is>
      </c>
      <c r="C195" t="inlineStr">
        <is>
          <t>VNM</t>
        </is>
      </c>
      <c r="D195" t="inlineStr">
        <is>
          <t>OA</t>
        </is>
      </c>
      <c r="E195" t="inlineStr">
        <is>
          <t>USD</t>
        </is>
      </c>
      <c r="F195" t="inlineStr">
        <is>
          <t>Y</t>
        </is>
      </c>
      <c r="G195" s="32" t="n">
        <v>46244</v>
      </c>
      <c r="H195" s="32" t="n">
        <v>46334</v>
      </c>
      <c r="I195" s="82" t="n">
        <v>9290</v>
      </c>
      <c r="J195" s="82" t="n">
        <v>9290</v>
      </c>
      <c r="K195" t="inlineStr">
        <is>
          <t>N</t>
        </is>
      </c>
      <c r="L195" t="inlineStr">
        <is>
          <t>개별</t>
        </is>
      </c>
      <c r="N195" t="inlineStr">
        <is>
          <t>N</t>
        </is>
      </c>
      <c r="O195" s="37">
        <f>IF($A195="","",AsOf-$H195)</f>
        <v/>
      </c>
      <c r="P195" s="37">
        <f>IF($A195="","",IF($K195="Y","-",IF($O195&gt;=30,"D+30 최종통지·선적보류",IF($O195&gt;=15,"D+15 단호한 통지",IF($O195&gt;=7,"D+7 친절한 리마인더",IF(AND($O195&gt;=-3,$O195&lt;=-1),"D-3 사전 안내","모니터링"))))))</f>
        <v/>
      </c>
      <c r="Q195" s="83">
        <f>IF($A195="","",EDATE($H195,1))</f>
        <v/>
      </c>
      <c r="R195" s="37">
        <f>IF($A195="","",$Q195-AsOf)</f>
        <v/>
      </c>
      <c r="S195" s="37">
        <f>IF($A195="","",IF(OR($K195="Y",$F195&lt;&gt;"Y",$O195&lt;=0),"",IF($R195&lt;0,"통지 기한 경과 — 즉시 확인",IF($R195&lt;=NoticeWarnDays,"통지 기한 임박 — 사람 결정",""))))</f>
        <v/>
      </c>
      <c r="T195" s="83">
        <f>IF(OR($A195="",$F195&lt;&gt;"Y"),"",IF(IF($L195="",InsuranceType,$L195)="포괄",DATE(YEAR($G195),MONTH($G195)+1,20),WORKDAY($G195,10)))</f>
        <v/>
      </c>
      <c r="U195" s="83">
        <f>IF(OR($A195="",$M195=""),"",WORKDAY($M195,10))</f>
        <v/>
      </c>
      <c r="V195" s="37">
        <f>IF($A195="","",IF($N195="Y","사기 의심: 콜백 검증 전 대금 안내 중단",""))</f>
        <v/>
      </c>
      <c r="W195" s="37">
        <f>IF($A195="","",IF(AND($K195="N",$D195&lt;&gt;"LC_SIGHT",$D195&lt;&gt;"LC_USANCE",$D195&lt;&gt;"TT_ADV"),$O195,""))</f>
        <v/>
      </c>
      <c r="X195" s="37">
        <f>IF($A195="",0,IF(AND($K195="N",$D195&lt;&gt;"LC_SIGHT",$D195&lt;&gt;"LC_USANCE",$D195&lt;&gt;"TT_ADV",$O195&gt;=30),1,0))</f>
        <v/>
      </c>
      <c r="Y195" s="37">
        <f>IF($A195="","",IF($O195&lt;=0,"미연체",IF($O195&lt;=30,"1-30",IF($O195&lt;=90,"31-90",IF($O195&lt;=180,"91-180",IF($O195&lt;=365,"181-365","365+"))))))</f>
        <v/>
      </c>
      <c r="Z195" s="37">
        <f>IF($S195="통지 기한 임박 — 사람 결정",COUNTIF($S$5:$S195,"통지 기한 임박 — 사람 결정"),"")</f>
        <v/>
      </c>
    </row>
    <row r="196">
      <c r="A196" t="inlineStr">
        <is>
          <t>INV-2608-0124</t>
        </is>
      </c>
      <c r="B196" t="inlineStr">
        <is>
          <t>B094</t>
        </is>
      </c>
      <c r="C196" t="inlineStr">
        <is>
          <t>VNM</t>
        </is>
      </c>
      <c r="D196" t="inlineStr">
        <is>
          <t>OA</t>
        </is>
      </c>
      <c r="E196" t="inlineStr">
        <is>
          <t>USD</t>
        </is>
      </c>
      <c r="F196" t="inlineStr">
        <is>
          <t>Y</t>
        </is>
      </c>
      <c r="G196" s="32" t="n">
        <v>46259</v>
      </c>
      <c r="H196" s="32" t="n">
        <v>46349</v>
      </c>
      <c r="I196" s="82" t="n">
        <v>3740</v>
      </c>
      <c r="J196" s="82" t="n">
        <v>3740</v>
      </c>
      <c r="K196" t="inlineStr">
        <is>
          <t>N</t>
        </is>
      </c>
      <c r="L196" t="inlineStr">
        <is>
          <t>개별</t>
        </is>
      </c>
      <c r="N196" t="inlineStr">
        <is>
          <t>N</t>
        </is>
      </c>
      <c r="O196" s="37">
        <f>IF($A196="","",AsOf-$H196)</f>
        <v/>
      </c>
      <c r="P196" s="37">
        <f>IF($A196="","",IF($K196="Y","-",IF($O196&gt;=30,"D+30 최종통지·선적보류",IF($O196&gt;=15,"D+15 단호한 통지",IF($O196&gt;=7,"D+7 친절한 리마인더",IF(AND($O196&gt;=-3,$O196&lt;=-1),"D-3 사전 안내","모니터링"))))))</f>
        <v/>
      </c>
      <c r="Q196" s="83">
        <f>IF($A196="","",EDATE($H196,1))</f>
        <v/>
      </c>
      <c r="R196" s="37">
        <f>IF($A196="","",$Q196-AsOf)</f>
        <v/>
      </c>
      <c r="S196" s="37">
        <f>IF($A196="","",IF(OR($K196="Y",$F196&lt;&gt;"Y",$O196&lt;=0),"",IF($R196&lt;0,"통지 기한 경과 — 즉시 확인",IF($R196&lt;=NoticeWarnDays,"통지 기한 임박 — 사람 결정",""))))</f>
        <v/>
      </c>
      <c r="T196" s="83">
        <f>IF(OR($A196="",$F196&lt;&gt;"Y"),"",IF(IF($L196="",InsuranceType,$L196)="포괄",DATE(YEAR($G196),MONTH($G196)+1,20),WORKDAY($G196,10)))</f>
        <v/>
      </c>
      <c r="U196" s="83">
        <f>IF(OR($A196="",$M196=""),"",WORKDAY($M196,10))</f>
        <v/>
      </c>
      <c r="V196" s="37">
        <f>IF($A196="","",IF($N196="Y","사기 의심: 콜백 검증 전 대금 안내 중단",""))</f>
        <v/>
      </c>
      <c r="W196" s="37">
        <f>IF($A196="","",IF(AND($K196="N",$D196&lt;&gt;"LC_SIGHT",$D196&lt;&gt;"LC_USANCE",$D196&lt;&gt;"TT_ADV"),$O196,""))</f>
        <v/>
      </c>
      <c r="X196" s="37">
        <f>IF($A196="",0,IF(AND($K196="N",$D196&lt;&gt;"LC_SIGHT",$D196&lt;&gt;"LC_USANCE",$D196&lt;&gt;"TT_ADV",$O196&gt;=30),1,0))</f>
        <v/>
      </c>
      <c r="Y196" s="37">
        <f>IF($A196="","",IF($O196&lt;=0,"미연체",IF($O196&lt;=30,"1-30",IF($O196&lt;=90,"31-90",IF($O196&lt;=180,"91-180",IF($O196&lt;=365,"181-365","365+"))))))</f>
        <v/>
      </c>
      <c r="Z196" s="37">
        <f>IF($S196="통지 기한 임박 — 사람 결정",COUNTIF($S$5:$S196,"통지 기한 임박 — 사람 결정"),"")</f>
        <v/>
      </c>
    </row>
    <row r="197">
      <c r="A197" t="inlineStr">
        <is>
          <t>INV-2608-0153</t>
        </is>
      </c>
      <c r="B197" t="inlineStr">
        <is>
          <t>B095</t>
        </is>
      </c>
      <c r="C197" t="inlineStr">
        <is>
          <t>EGY</t>
        </is>
      </c>
      <c r="D197" t="inlineStr">
        <is>
          <t>OA</t>
        </is>
      </c>
      <c r="E197" t="inlineStr">
        <is>
          <t>USD</t>
        </is>
      </c>
      <c r="F197" t="inlineStr">
        <is>
          <t>Y</t>
        </is>
      </c>
      <c r="G197" s="32" t="n">
        <v>46265</v>
      </c>
      <c r="H197" s="32" t="n">
        <v>46295</v>
      </c>
      <c r="I197" s="82" t="n">
        <v>1540</v>
      </c>
      <c r="J197" s="82" t="n">
        <v>1540</v>
      </c>
      <c r="K197" t="inlineStr">
        <is>
          <t>N</t>
        </is>
      </c>
      <c r="L197" t="inlineStr">
        <is>
          <t>개별</t>
        </is>
      </c>
      <c r="N197" t="inlineStr">
        <is>
          <t>N</t>
        </is>
      </c>
      <c r="O197" s="37">
        <f>IF($A197="","",AsOf-$H197)</f>
        <v/>
      </c>
      <c r="P197" s="37">
        <f>IF($A197="","",IF($K197="Y","-",IF($O197&gt;=30,"D+30 최종통지·선적보류",IF($O197&gt;=15,"D+15 단호한 통지",IF($O197&gt;=7,"D+7 친절한 리마인더",IF(AND($O197&gt;=-3,$O197&lt;=-1),"D-3 사전 안내","모니터링"))))))</f>
        <v/>
      </c>
      <c r="Q197" s="83">
        <f>IF($A197="","",EDATE($H197,1))</f>
        <v/>
      </c>
      <c r="R197" s="37">
        <f>IF($A197="","",$Q197-AsOf)</f>
        <v/>
      </c>
      <c r="S197" s="37">
        <f>IF($A197="","",IF(OR($K197="Y",$F197&lt;&gt;"Y",$O197&lt;=0),"",IF($R197&lt;0,"통지 기한 경과 — 즉시 확인",IF($R197&lt;=NoticeWarnDays,"통지 기한 임박 — 사람 결정",""))))</f>
        <v/>
      </c>
      <c r="T197" s="83">
        <f>IF(OR($A197="",$F197&lt;&gt;"Y"),"",IF(IF($L197="",InsuranceType,$L197)="포괄",DATE(YEAR($G197),MONTH($G197)+1,20),WORKDAY($G197,10)))</f>
        <v/>
      </c>
      <c r="U197" s="83">
        <f>IF(OR($A197="",$M197=""),"",WORKDAY($M197,10))</f>
        <v/>
      </c>
      <c r="V197" s="37">
        <f>IF($A197="","",IF($N197="Y","사기 의심: 콜백 검증 전 대금 안내 중단",""))</f>
        <v/>
      </c>
      <c r="W197" s="37">
        <f>IF($A197="","",IF(AND($K197="N",$D197&lt;&gt;"LC_SIGHT",$D197&lt;&gt;"LC_USANCE",$D197&lt;&gt;"TT_ADV"),$O197,""))</f>
        <v/>
      </c>
      <c r="X197" s="37">
        <f>IF($A197="",0,IF(AND($K197="N",$D197&lt;&gt;"LC_SIGHT",$D197&lt;&gt;"LC_USANCE",$D197&lt;&gt;"TT_ADV",$O197&gt;=30),1,0))</f>
        <v/>
      </c>
      <c r="Y197" s="37">
        <f>IF($A197="","",IF($O197&lt;=0,"미연체",IF($O197&lt;=30,"1-30",IF($O197&lt;=90,"31-90",IF($O197&lt;=180,"91-180",IF($O197&lt;=365,"181-365","365+"))))))</f>
        <v/>
      </c>
      <c r="Z197" s="37">
        <f>IF($S197="통지 기한 임박 — 사람 결정",COUNTIF($S$5:$S197,"통지 기한 임박 — 사람 결정"),"")</f>
        <v/>
      </c>
    </row>
    <row r="198">
      <c r="A198" t="inlineStr">
        <is>
          <t>INV-2609-0154</t>
        </is>
      </c>
      <c r="B198" t="inlineStr">
        <is>
          <t>B095</t>
        </is>
      </c>
      <c r="C198" t="inlineStr">
        <is>
          <t>EGY</t>
        </is>
      </c>
      <c r="D198" t="inlineStr">
        <is>
          <t>OA</t>
        </is>
      </c>
      <c r="E198" t="inlineStr">
        <is>
          <t>USD</t>
        </is>
      </c>
      <c r="F198" t="inlineStr">
        <is>
          <t>Y</t>
        </is>
      </c>
      <c r="G198" s="32" t="n">
        <v>46293</v>
      </c>
      <c r="H198" s="32" t="n">
        <v>46323</v>
      </c>
      <c r="I198" s="82" t="n">
        <v>7610</v>
      </c>
      <c r="J198" s="82" t="n">
        <v>7610</v>
      </c>
      <c r="K198" t="inlineStr">
        <is>
          <t>N</t>
        </is>
      </c>
      <c r="L198" t="inlineStr">
        <is>
          <t>개별</t>
        </is>
      </c>
      <c r="N198" t="inlineStr">
        <is>
          <t>N</t>
        </is>
      </c>
      <c r="O198" s="37">
        <f>IF($A198="","",AsOf-$H198)</f>
        <v/>
      </c>
      <c r="P198" s="37">
        <f>IF($A198="","",IF($K198="Y","-",IF($O198&gt;=30,"D+30 최종통지·선적보류",IF($O198&gt;=15,"D+15 단호한 통지",IF($O198&gt;=7,"D+7 친절한 리마인더",IF(AND($O198&gt;=-3,$O198&lt;=-1),"D-3 사전 안내","모니터링"))))))</f>
        <v/>
      </c>
      <c r="Q198" s="83">
        <f>IF($A198="","",EDATE($H198,1))</f>
        <v/>
      </c>
      <c r="R198" s="37">
        <f>IF($A198="","",$Q198-AsOf)</f>
        <v/>
      </c>
      <c r="S198" s="37">
        <f>IF($A198="","",IF(OR($K198="Y",$F198&lt;&gt;"Y",$O198&lt;=0),"",IF($R198&lt;0,"통지 기한 경과 — 즉시 확인",IF($R198&lt;=NoticeWarnDays,"통지 기한 임박 — 사람 결정",""))))</f>
        <v/>
      </c>
      <c r="T198" s="83">
        <f>IF(OR($A198="",$F198&lt;&gt;"Y"),"",IF(IF($L198="",InsuranceType,$L198)="포괄",DATE(YEAR($G198),MONTH($G198)+1,20),WORKDAY($G198,10)))</f>
        <v/>
      </c>
      <c r="U198" s="83">
        <f>IF(OR($A198="",$M198=""),"",WORKDAY($M198,10))</f>
        <v/>
      </c>
      <c r="V198" s="37">
        <f>IF($A198="","",IF($N198="Y","사기 의심: 콜백 검증 전 대금 안내 중단",""))</f>
        <v/>
      </c>
      <c r="W198" s="37">
        <f>IF($A198="","",IF(AND($K198="N",$D198&lt;&gt;"LC_SIGHT",$D198&lt;&gt;"LC_USANCE",$D198&lt;&gt;"TT_ADV"),$O198,""))</f>
        <v/>
      </c>
      <c r="X198" s="37">
        <f>IF($A198="",0,IF(AND($K198="N",$D198&lt;&gt;"LC_SIGHT",$D198&lt;&gt;"LC_USANCE",$D198&lt;&gt;"TT_ADV",$O198&gt;=30),1,0))</f>
        <v/>
      </c>
      <c r="Y198" s="37">
        <f>IF($A198="","",IF($O198&lt;=0,"미연체",IF($O198&lt;=30,"1-30",IF($O198&lt;=90,"31-90",IF($O198&lt;=180,"91-180",IF($O198&lt;=365,"181-365","365+"))))))</f>
        <v/>
      </c>
      <c r="Z198" s="37">
        <f>IF($S198="통지 기한 임박 — 사람 결정",COUNTIF($S$5:$S198,"통지 기한 임박 — 사람 결정"),"")</f>
        <v/>
      </c>
    </row>
    <row r="199">
      <c r="A199" t="inlineStr">
        <is>
          <t>INV-2608-0024</t>
        </is>
      </c>
      <c r="B199" t="inlineStr">
        <is>
          <t>B096</t>
        </is>
      </c>
      <c r="C199" t="inlineStr">
        <is>
          <t>USA</t>
        </is>
      </c>
      <c r="D199" t="inlineStr">
        <is>
          <t>OA</t>
        </is>
      </c>
      <c r="E199" t="inlineStr">
        <is>
          <t>USD</t>
        </is>
      </c>
      <c r="F199" t="inlineStr">
        <is>
          <t>Y</t>
        </is>
      </c>
      <c r="G199" s="32" t="n">
        <v>46240</v>
      </c>
      <c r="H199" s="32" t="n">
        <v>46330</v>
      </c>
      <c r="I199" s="82" t="n">
        <v>7930</v>
      </c>
      <c r="J199" s="82" t="n">
        <v>7930</v>
      </c>
      <c r="K199" t="inlineStr">
        <is>
          <t>N</t>
        </is>
      </c>
      <c r="L199" t="inlineStr">
        <is>
          <t>개별</t>
        </is>
      </c>
      <c r="N199" t="inlineStr">
        <is>
          <t>N</t>
        </is>
      </c>
      <c r="O199" s="37">
        <f>IF($A199="","",AsOf-$H199)</f>
        <v/>
      </c>
      <c r="P199" s="37">
        <f>IF($A199="","",IF($K199="Y","-",IF($O199&gt;=30,"D+30 최종통지·선적보류",IF($O199&gt;=15,"D+15 단호한 통지",IF($O199&gt;=7,"D+7 친절한 리마인더",IF(AND($O199&gt;=-3,$O199&lt;=-1),"D-3 사전 안내","모니터링"))))))</f>
        <v/>
      </c>
      <c r="Q199" s="83">
        <f>IF($A199="","",EDATE($H199,1))</f>
        <v/>
      </c>
      <c r="R199" s="37">
        <f>IF($A199="","",$Q199-AsOf)</f>
        <v/>
      </c>
      <c r="S199" s="37">
        <f>IF($A199="","",IF(OR($K199="Y",$F199&lt;&gt;"Y",$O199&lt;=0),"",IF($R199&lt;0,"통지 기한 경과 — 즉시 확인",IF($R199&lt;=NoticeWarnDays,"통지 기한 임박 — 사람 결정",""))))</f>
        <v/>
      </c>
      <c r="T199" s="83">
        <f>IF(OR($A199="",$F199&lt;&gt;"Y"),"",IF(IF($L199="",InsuranceType,$L199)="포괄",DATE(YEAR($G199),MONTH($G199)+1,20),WORKDAY($G199,10)))</f>
        <v/>
      </c>
      <c r="U199" s="83">
        <f>IF(OR($A199="",$M199=""),"",WORKDAY($M199,10))</f>
        <v/>
      </c>
      <c r="V199" s="37">
        <f>IF($A199="","",IF($N199="Y","사기 의심: 콜백 검증 전 대금 안내 중단",""))</f>
        <v/>
      </c>
      <c r="W199" s="37">
        <f>IF($A199="","",IF(AND($K199="N",$D199&lt;&gt;"LC_SIGHT",$D199&lt;&gt;"LC_USANCE",$D199&lt;&gt;"TT_ADV"),$O199,""))</f>
        <v/>
      </c>
      <c r="X199" s="37">
        <f>IF($A199="",0,IF(AND($K199="N",$D199&lt;&gt;"LC_SIGHT",$D199&lt;&gt;"LC_USANCE",$D199&lt;&gt;"TT_ADV",$O199&gt;=30),1,0))</f>
        <v/>
      </c>
      <c r="Y199" s="37">
        <f>IF($A199="","",IF($O199&lt;=0,"미연체",IF($O199&lt;=30,"1-30",IF($O199&lt;=90,"31-90",IF($O199&lt;=180,"91-180",IF($O199&lt;=365,"181-365","365+"))))))</f>
        <v/>
      </c>
      <c r="Z199" s="37">
        <f>IF($S199="통지 기한 임박 — 사람 결정",COUNTIF($S$5:$S199,"통지 기한 임박 — 사람 결정"),"")</f>
        <v/>
      </c>
    </row>
    <row r="200">
      <c r="A200" t="inlineStr">
        <is>
          <t>INV-2609-0047</t>
        </is>
      </c>
      <c r="B200" t="inlineStr">
        <is>
          <t>B096</t>
        </is>
      </c>
      <c r="C200" t="inlineStr">
        <is>
          <t>USA</t>
        </is>
      </c>
      <c r="D200" t="inlineStr">
        <is>
          <t>OA</t>
        </is>
      </c>
      <c r="E200" t="inlineStr">
        <is>
          <t>USD</t>
        </is>
      </c>
      <c r="F200" t="inlineStr">
        <is>
          <t>Y</t>
        </is>
      </c>
      <c r="G200" s="32" t="n">
        <v>46273</v>
      </c>
      <c r="H200" s="32" t="n">
        <v>46363</v>
      </c>
      <c r="I200" s="82" t="n">
        <v>16570</v>
      </c>
      <c r="J200" s="82" t="n">
        <v>16570</v>
      </c>
      <c r="K200" t="inlineStr">
        <is>
          <t>N</t>
        </is>
      </c>
      <c r="L200" t="inlineStr">
        <is>
          <t>개별</t>
        </is>
      </c>
      <c r="N200" t="inlineStr">
        <is>
          <t>N</t>
        </is>
      </c>
      <c r="O200" s="37">
        <f>IF($A200="","",AsOf-$H200)</f>
        <v/>
      </c>
      <c r="P200" s="37">
        <f>IF($A200="","",IF($K200="Y","-",IF($O200&gt;=30,"D+30 최종통지·선적보류",IF($O200&gt;=15,"D+15 단호한 통지",IF($O200&gt;=7,"D+7 친절한 리마인더",IF(AND($O200&gt;=-3,$O200&lt;=-1),"D-3 사전 안내","모니터링"))))))</f>
        <v/>
      </c>
      <c r="Q200" s="83">
        <f>IF($A200="","",EDATE($H200,1))</f>
        <v/>
      </c>
      <c r="R200" s="37">
        <f>IF($A200="","",$Q200-AsOf)</f>
        <v/>
      </c>
      <c r="S200" s="37">
        <f>IF($A200="","",IF(OR($K200="Y",$F200&lt;&gt;"Y",$O200&lt;=0),"",IF($R200&lt;0,"통지 기한 경과 — 즉시 확인",IF($R200&lt;=NoticeWarnDays,"통지 기한 임박 — 사람 결정",""))))</f>
        <v/>
      </c>
      <c r="T200" s="83">
        <f>IF(OR($A200="",$F200&lt;&gt;"Y"),"",IF(IF($L200="",InsuranceType,$L200)="포괄",DATE(YEAR($G200),MONTH($G200)+1,20),WORKDAY($G200,10)))</f>
        <v/>
      </c>
      <c r="U200" s="83">
        <f>IF(OR($A200="",$M200=""),"",WORKDAY($M200,10))</f>
        <v/>
      </c>
      <c r="V200" s="37">
        <f>IF($A200="","",IF($N200="Y","사기 의심: 콜백 검증 전 대금 안내 중단",""))</f>
        <v/>
      </c>
      <c r="W200" s="37">
        <f>IF($A200="","",IF(AND($K200="N",$D200&lt;&gt;"LC_SIGHT",$D200&lt;&gt;"LC_USANCE",$D200&lt;&gt;"TT_ADV"),$O200,""))</f>
        <v/>
      </c>
      <c r="X200" s="37">
        <f>IF($A200="",0,IF(AND($K200="N",$D200&lt;&gt;"LC_SIGHT",$D200&lt;&gt;"LC_USANCE",$D200&lt;&gt;"TT_ADV",$O200&gt;=30),1,0))</f>
        <v/>
      </c>
      <c r="Y200" s="37">
        <f>IF($A200="","",IF($O200&lt;=0,"미연체",IF($O200&lt;=30,"1-30",IF($O200&lt;=90,"31-90",IF($O200&lt;=180,"91-180",IF($O200&lt;=365,"181-365","365+"))))))</f>
        <v/>
      </c>
      <c r="Z200" s="37">
        <f>IF($S200="통지 기한 임박 — 사람 결정",COUNTIF($S$5:$S200,"통지 기한 임박 — 사람 결정"),"")</f>
        <v/>
      </c>
    </row>
    <row r="201">
      <c r="A201" t="inlineStr">
        <is>
          <t>INV-2609-0073</t>
        </is>
      </c>
      <c r="B201" t="inlineStr">
        <is>
          <t>B096</t>
        </is>
      </c>
      <c r="C201" t="inlineStr">
        <is>
          <t>USA</t>
        </is>
      </c>
      <c r="D201" t="inlineStr">
        <is>
          <t>OA</t>
        </is>
      </c>
      <c r="E201" t="inlineStr">
        <is>
          <t>USD</t>
        </is>
      </c>
      <c r="F201" t="inlineStr">
        <is>
          <t>Y</t>
        </is>
      </c>
      <c r="G201" s="32" t="n">
        <v>46278</v>
      </c>
      <c r="H201" s="32" t="n">
        <v>46368</v>
      </c>
      <c r="I201" s="82" t="n">
        <v>950</v>
      </c>
      <c r="J201" s="82" t="n">
        <v>950</v>
      </c>
      <c r="K201" t="inlineStr">
        <is>
          <t>N</t>
        </is>
      </c>
      <c r="L201" t="inlineStr">
        <is>
          <t>개별</t>
        </is>
      </c>
      <c r="N201" t="inlineStr">
        <is>
          <t>N</t>
        </is>
      </c>
      <c r="O201" s="37">
        <f>IF($A201="","",AsOf-$H201)</f>
        <v/>
      </c>
      <c r="P201" s="37">
        <f>IF($A201="","",IF($K201="Y","-",IF($O201&gt;=30,"D+30 최종통지·선적보류",IF($O201&gt;=15,"D+15 단호한 통지",IF($O201&gt;=7,"D+7 친절한 리마인더",IF(AND($O201&gt;=-3,$O201&lt;=-1),"D-3 사전 안내","모니터링"))))))</f>
        <v/>
      </c>
      <c r="Q201" s="83">
        <f>IF($A201="","",EDATE($H201,1))</f>
        <v/>
      </c>
      <c r="R201" s="37">
        <f>IF($A201="","",$Q201-AsOf)</f>
        <v/>
      </c>
      <c r="S201" s="37">
        <f>IF($A201="","",IF(OR($K201="Y",$F201&lt;&gt;"Y",$O201&lt;=0),"",IF($R201&lt;0,"통지 기한 경과 — 즉시 확인",IF($R201&lt;=NoticeWarnDays,"통지 기한 임박 — 사람 결정",""))))</f>
        <v/>
      </c>
      <c r="T201" s="83">
        <f>IF(OR($A201="",$F201&lt;&gt;"Y"),"",IF(IF($L201="",InsuranceType,$L201)="포괄",DATE(YEAR($G201),MONTH($G201)+1,20),WORKDAY($G201,10)))</f>
        <v/>
      </c>
      <c r="U201" s="83">
        <f>IF(OR($A201="",$M201=""),"",WORKDAY($M201,10))</f>
        <v/>
      </c>
      <c r="V201" s="37">
        <f>IF($A201="","",IF($N201="Y","사기 의심: 콜백 검증 전 대금 안내 중단",""))</f>
        <v/>
      </c>
      <c r="W201" s="37">
        <f>IF($A201="","",IF(AND($K201="N",$D201&lt;&gt;"LC_SIGHT",$D201&lt;&gt;"LC_USANCE",$D201&lt;&gt;"TT_ADV"),$O201,""))</f>
        <v/>
      </c>
      <c r="X201" s="37">
        <f>IF($A201="",0,IF(AND($K201="N",$D201&lt;&gt;"LC_SIGHT",$D201&lt;&gt;"LC_USANCE",$D201&lt;&gt;"TT_ADV",$O201&gt;=30),1,0))</f>
        <v/>
      </c>
      <c r="Y201" s="37">
        <f>IF($A201="","",IF($O201&lt;=0,"미연체",IF($O201&lt;=30,"1-30",IF($O201&lt;=90,"31-90",IF($O201&lt;=180,"91-180",IF($O201&lt;=365,"181-365","365+"))))))</f>
        <v/>
      </c>
      <c r="Z201" s="37">
        <f>IF($S201="통지 기한 임박 — 사람 결정",COUNTIF($S$5:$S201,"통지 기한 임박 — 사람 결정"),"")</f>
        <v/>
      </c>
    </row>
    <row r="202">
      <c r="A202" t="inlineStr">
        <is>
          <t>INV-2609-0018</t>
        </is>
      </c>
      <c r="B202" t="inlineStr">
        <is>
          <t>B098</t>
        </is>
      </c>
      <c r="C202" t="inlineStr">
        <is>
          <t>IND</t>
        </is>
      </c>
      <c r="D202" t="inlineStr">
        <is>
          <t>OA</t>
        </is>
      </c>
      <c r="E202" t="inlineStr">
        <is>
          <t>USD</t>
        </is>
      </c>
      <c r="F202" t="inlineStr">
        <is>
          <t>Y</t>
        </is>
      </c>
      <c r="G202" s="32" t="n">
        <v>46268</v>
      </c>
      <c r="H202" s="32" t="n">
        <v>46298</v>
      </c>
      <c r="I202" s="82" t="n">
        <v>9720</v>
      </c>
      <c r="J202" s="82" t="n">
        <v>9720</v>
      </c>
      <c r="K202" t="inlineStr">
        <is>
          <t>N</t>
        </is>
      </c>
      <c r="L202" t="inlineStr">
        <is>
          <t>개별</t>
        </is>
      </c>
      <c r="N202" t="inlineStr">
        <is>
          <t>N</t>
        </is>
      </c>
      <c r="O202" s="37">
        <f>IF($A202="","",AsOf-$H202)</f>
        <v/>
      </c>
      <c r="P202" s="37">
        <f>IF($A202="","",IF($K202="Y","-",IF($O202&gt;=30,"D+30 최종통지·선적보류",IF($O202&gt;=15,"D+15 단호한 통지",IF($O202&gt;=7,"D+7 친절한 리마인더",IF(AND($O202&gt;=-3,$O202&lt;=-1),"D-3 사전 안내","모니터링"))))))</f>
        <v/>
      </c>
      <c r="Q202" s="83">
        <f>IF($A202="","",EDATE($H202,1))</f>
        <v/>
      </c>
      <c r="R202" s="37">
        <f>IF($A202="","",$Q202-AsOf)</f>
        <v/>
      </c>
      <c r="S202" s="37">
        <f>IF($A202="","",IF(OR($K202="Y",$F202&lt;&gt;"Y",$O202&lt;=0),"",IF($R202&lt;0,"통지 기한 경과 — 즉시 확인",IF($R202&lt;=NoticeWarnDays,"통지 기한 임박 — 사람 결정",""))))</f>
        <v/>
      </c>
      <c r="T202" s="83">
        <f>IF(OR($A202="",$F202&lt;&gt;"Y"),"",IF(IF($L202="",InsuranceType,$L202)="포괄",DATE(YEAR($G202),MONTH($G202)+1,20),WORKDAY($G202,10)))</f>
        <v/>
      </c>
      <c r="U202" s="83">
        <f>IF(OR($A202="",$M202=""),"",WORKDAY($M202,10))</f>
        <v/>
      </c>
      <c r="V202" s="37">
        <f>IF($A202="","",IF($N202="Y","사기 의심: 콜백 검증 전 대금 안내 중단",""))</f>
        <v/>
      </c>
      <c r="W202" s="37">
        <f>IF($A202="","",IF(AND($K202="N",$D202&lt;&gt;"LC_SIGHT",$D202&lt;&gt;"LC_USANCE",$D202&lt;&gt;"TT_ADV"),$O202,""))</f>
        <v/>
      </c>
      <c r="X202" s="37">
        <f>IF($A202="",0,IF(AND($K202="N",$D202&lt;&gt;"LC_SIGHT",$D202&lt;&gt;"LC_USANCE",$D202&lt;&gt;"TT_ADV",$O202&gt;=30),1,0))</f>
        <v/>
      </c>
      <c r="Y202" s="37">
        <f>IF($A202="","",IF($O202&lt;=0,"미연체",IF($O202&lt;=30,"1-30",IF($O202&lt;=90,"31-90",IF($O202&lt;=180,"91-180",IF($O202&lt;=365,"181-365","365+"))))))</f>
        <v/>
      </c>
      <c r="Z202" s="37">
        <f>IF($S202="통지 기한 임박 — 사람 결정",COUNTIF($S$5:$S202,"통지 기한 임박 — 사람 결정"),"")</f>
        <v/>
      </c>
    </row>
    <row r="203">
      <c r="A203" t="inlineStr">
        <is>
          <t>INV-2609-0056</t>
        </is>
      </c>
      <c r="B203" t="inlineStr">
        <is>
          <t>B098</t>
        </is>
      </c>
      <c r="C203" t="inlineStr">
        <is>
          <t>IND</t>
        </is>
      </c>
      <c r="D203" t="inlineStr">
        <is>
          <t>OA</t>
        </is>
      </c>
      <c r="E203" t="inlineStr">
        <is>
          <t>USD</t>
        </is>
      </c>
      <c r="F203" t="inlineStr">
        <is>
          <t>Y</t>
        </is>
      </c>
      <c r="G203" s="32" t="n">
        <v>46275</v>
      </c>
      <c r="H203" s="32" t="n">
        <v>46305</v>
      </c>
      <c r="I203" s="82" t="n">
        <v>29320</v>
      </c>
      <c r="J203" s="82" t="n">
        <v>29320</v>
      </c>
      <c r="K203" t="inlineStr">
        <is>
          <t>N</t>
        </is>
      </c>
      <c r="L203" t="inlineStr">
        <is>
          <t>개별</t>
        </is>
      </c>
      <c r="N203" t="inlineStr">
        <is>
          <t>N</t>
        </is>
      </c>
      <c r="O203" s="37">
        <f>IF($A203="","",AsOf-$H203)</f>
        <v/>
      </c>
      <c r="P203" s="37">
        <f>IF($A203="","",IF($K203="Y","-",IF($O203&gt;=30,"D+30 최종통지·선적보류",IF($O203&gt;=15,"D+15 단호한 통지",IF($O203&gt;=7,"D+7 친절한 리마인더",IF(AND($O203&gt;=-3,$O203&lt;=-1),"D-3 사전 안내","모니터링"))))))</f>
        <v/>
      </c>
      <c r="Q203" s="83">
        <f>IF($A203="","",EDATE($H203,1))</f>
        <v/>
      </c>
      <c r="R203" s="37">
        <f>IF($A203="","",$Q203-AsOf)</f>
        <v/>
      </c>
      <c r="S203" s="37">
        <f>IF($A203="","",IF(OR($K203="Y",$F203&lt;&gt;"Y",$O203&lt;=0),"",IF($R203&lt;0,"통지 기한 경과 — 즉시 확인",IF($R203&lt;=NoticeWarnDays,"통지 기한 임박 — 사람 결정",""))))</f>
        <v/>
      </c>
      <c r="T203" s="83">
        <f>IF(OR($A203="",$F203&lt;&gt;"Y"),"",IF(IF($L203="",InsuranceType,$L203)="포괄",DATE(YEAR($G203),MONTH($G203)+1,20),WORKDAY($G203,10)))</f>
        <v/>
      </c>
      <c r="U203" s="83">
        <f>IF(OR($A203="",$M203=""),"",WORKDAY($M203,10))</f>
        <v/>
      </c>
      <c r="V203" s="37">
        <f>IF($A203="","",IF($N203="Y","사기 의심: 콜백 검증 전 대금 안내 중단",""))</f>
        <v/>
      </c>
      <c r="W203" s="37">
        <f>IF($A203="","",IF(AND($K203="N",$D203&lt;&gt;"LC_SIGHT",$D203&lt;&gt;"LC_USANCE",$D203&lt;&gt;"TT_ADV"),$O203,""))</f>
        <v/>
      </c>
      <c r="X203" s="37">
        <f>IF($A203="",0,IF(AND($K203="N",$D203&lt;&gt;"LC_SIGHT",$D203&lt;&gt;"LC_USANCE",$D203&lt;&gt;"TT_ADV",$O203&gt;=30),1,0))</f>
        <v/>
      </c>
      <c r="Y203" s="37">
        <f>IF($A203="","",IF($O203&lt;=0,"미연체",IF($O203&lt;=30,"1-30",IF($O203&lt;=90,"31-90",IF($O203&lt;=180,"91-180",IF($O203&lt;=365,"181-365","365+"))))))</f>
        <v/>
      </c>
      <c r="Z203" s="37">
        <f>IF($S203="통지 기한 임박 — 사람 결정",COUNTIF($S$5:$S203,"통지 기한 임박 — 사람 결정"),"")</f>
        <v/>
      </c>
    </row>
    <row r="204">
      <c r="A204" t="inlineStr">
        <is>
          <t>INV-2609-0064</t>
        </is>
      </c>
      <c r="B204" t="inlineStr">
        <is>
          <t>B098</t>
        </is>
      </c>
      <c r="C204" t="inlineStr">
        <is>
          <t>IND</t>
        </is>
      </c>
      <c r="D204" t="inlineStr">
        <is>
          <t>OA</t>
        </is>
      </c>
      <c r="E204" t="inlineStr">
        <is>
          <t>USD</t>
        </is>
      </c>
      <c r="F204" t="inlineStr">
        <is>
          <t>Y</t>
        </is>
      </c>
      <c r="G204" s="32" t="n">
        <v>46277</v>
      </c>
      <c r="H204" s="32" t="n">
        <v>46307</v>
      </c>
      <c r="I204" s="82" t="n">
        <v>24340</v>
      </c>
      <c r="J204" s="82" t="n">
        <v>24340</v>
      </c>
      <c r="K204" t="inlineStr">
        <is>
          <t>N</t>
        </is>
      </c>
      <c r="L204" t="inlineStr">
        <is>
          <t>개별</t>
        </is>
      </c>
      <c r="N204" t="inlineStr">
        <is>
          <t>N</t>
        </is>
      </c>
      <c r="O204" s="37">
        <f>IF($A204="","",AsOf-$H204)</f>
        <v/>
      </c>
      <c r="P204" s="37">
        <f>IF($A204="","",IF($K204="Y","-",IF($O204&gt;=30,"D+30 최종통지·선적보류",IF($O204&gt;=15,"D+15 단호한 통지",IF($O204&gt;=7,"D+7 친절한 리마인더",IF(AND($O204&gt;=-3,$O204&lt;=-1),"D-3 사전 안내","모니터링"))))))</f>
        <v/>
      </c>
      <c r="Q204" s="83">
        <f>IF($A204="","",EDATE($H204,1))</f>
        <v/>
      </c>
      <c r="R204" s="37">
        <f>IF($A204="","",$Q204-AsOf)</f>
        <v/>
      </c>
      <c r="S204" s="37">
        <f>IF($A204="","",IF(OR($K204="Y",$F204&lt;&gt;"Y",$O204&lt;=0),"",IF($R204&lt;0,"통지 기한 경과 — 즉시 확인",IF($R204&lt;=NoticeWarnDays,"통지 기한 임박 — 사람 결정",""))))</f>
        <v/>
      </c>
      <c r="T204" s="83">
        <f>IF(OR($A204="",$F204&lt;&gt;"Y"),"",IF(IF($L204="",InsuranceType,$L204)="포괄",DATE(YEAR($G204),MONTH($G204)+1,20),WORKDAY($G204,10)))</f>
        <v/>
      </c>
      <c r="U204" s="83">
        <f>IF(OR($A204="",$M204=""),"",WORKDAY($M204,10))</f>
        <v/>
      </c>
      <c r="V204" s="37">
        <f>IF($A204="","",IF($N204="Y","사기 의심: 콜백 검증 전 대금 안내 중단",""))</f>
        <v/>
      </c>
      <c r="W204" s="37">
        <f>IF($A204="","",IF(AND($K204="N",$D204&lt;&gt;"LC_SIGHT",$D204&lt;&gt;"LC_USANCE",$D204&lt;&gt;"TT_ADV"),$O204,""))</f>
        <v/>
      </c>
      <c r="X204" s="37">
        <f>IF($A204="",0,IF(AND($K204="N",$D204&lt;&gt;"LC_SIGHT",$D204&lt;&gt;"LC_USANCE",$D204&lt;&gt;"TT_ADV",$O204&gt;=30),1,0))</f>
        <v/>
      </c>
      <c r="Y204" s="37">
        <f>IF($A204="","",IF($O204&lt;=0,"미연체",IF($O204&lt;=30,"1-30",IF($O204&lt;=90,"31-90",IF($O204&lt;=180,"91-180",IF($O204&lt;=365,"181-365","365+"))))))</f>
        <v/>
      </c>
      <c r="Z204" s="37">
        <f>IF($S204="통지 기한 임박 — 사람 결정",COUNTIF($S$5:$S204,"통지 기한 임박 — 사람 결정"),"")</f>
        <v/>
      </c>
    </row>
    <row r="205">
      <c r="A205" t="inlineStr">
        <is>
          <t>INV-2609-0107</t>
        </is>
      </c>
      <c r="B205" t="inlineStr">
        <is>
          <t>B098</t>
        </is>
      </c>
      <c r="C205" t="inlineStr">
        <is>
          <t>IND</t>
        </is>
      </c>
      <c r="D205" t="inlineStr">
        <is>
          <t>OA</t>
        </is>
      </c>
      <c r="E205" t="inlineStr">
        <is>
          <t>USD</t>
        </is>
      </c>
      <c r="F205" t="inlineStr">
        <is>
          <t>Y</t>
        </is>
      </c>
      <c r="G205" s="32" t="n">
        <v>46285</v>
      </c>
      <c r="H205" s="32" t="n">
        <v>46315</v>
      </c>
      <c r="I205" s="82" t="n">
        <v>6770</v>
      </c>
      <c r="J205" s="82" t="n">
        <v>6770</v>
      </c>
      <c r="K205" t="inlineStr">
        <is>
          <t>N</t>
        </is>
      </c>
      <c r="L205" t="inlineStr">
        <is>
          <t>개별</t>
        </is>
      </c>
      <c r="N205" t="inlineStr">
        <is>
          <t>N</t>
        </is>
      </c>
      <c r="O205" s="37">
        <f>IF($A205="","",AsOf-$H205)</f>
        <v/>
      </c>
      <c r="P205" s="37">
        <f>IF($A205="","",IF($K205="Y","-",IF($O205&gt;=30,"D+30 최종통지·선적보류",IF($O205&gt;=15,"D+15 단호한 통지",IF($O205&gt;=7,"D+7 친절한 리마인더",IF(AND($O205&gt;=-3,$O205&lt;=-1),"D-3 사전 안내","모니터링"))))))</f>
        <v/>
      </c>
      <c r="Q205" s="83">
        <f>IF($A205="","",EDATE($H205,1))</f>
        <v/>
      </c>
      <c r="R205" s="37">
        <f>IF($A205="","",$Q205-AsOf)</f>
        <v/>
      </c>
      <c r="S205" s="37">
        <f>IF($A205="","",IF(OR($K205="Y",$F205&lt;&gt;"Y",$O205&lt;=0),"",IF($R205&lt;0,"통지 기한 경과 — 즉시 확인",IF($R205&lt;=NoticeWarnDays,"통지 기한 임박 — 사람 결정",""))))</f>
        <v/>
      </c>
      <c r="T205" s="83">
        <f>IF(OR($A205="",$F205&lt;&gt;"Y"),"",IF(IF($L205="",InsuranceType,$L205)="포괄",DATE(YEAR($G205),MONTH($G205)+1,20),WORKDAY($G205,10)))</f>
        <v/>
      </c>
      <c r="U205" s="83">
        <f>IF(OR($A205="",$M205=""),"",WORKDAY($M205,10))</f>
        <v/>
      </c>
      <c r="V205" s="37">
        <f>IF($A205="","",IF($N205="Y","사기 의심: 콜백 검증 전 대금 안내 중단",""))</f>
        <v/>
      </c>
      <c r="W205" s="37">
        <f>IF($A205="","",IF(AND($K205="N",$D205&lt;&gt;"LC_SIGHT",$D205&lt;&gt;"LC_USANCE",$D205&lt;&gt;"TT_ADV"),$O205,""))</f>
        <v/>
      </c>
      <c r="X205" s="37">
        <f>IF($A205="",0,IF(AND($K205="N",$D205&lt;&gt;"LC_SIGHT",$D205&lt;&gt;"LC_USANCE",$D205&lt;&gt;"TT_ADV",$O205&gt;=30),1,0))</f>
        <v/>
      </c>
      <c r="Y205" s="37">
        <f>IF($A205="","",IF($O205&lt;=0,"미연체",IF($O205&lt;=30,"1-30",IF($O205&lt;=90,"31-90",IF($O205&lt;=180,"91-180",IF($O205&lt;=365,"181-365","365+"))))))</f>
        <v/>
      </c>
      <c r="Z205" s="37">
        <f>IF($S205="통지 기한 임박 — 사람 결정",COUNTIF($S$5:$S205,"통지 기한 임박 — 사람 결정"),"")</f>
        <v/>
      </c>
    </row>
    <row r="206">
      <c r="A206" t="inlineStr">
        <is>
          <t>INV-2608-0125</t>
        </is>
      </c>
      <c r="B206" t="inlineStr">
        <is>
          <t>B101</t>
        </is>
      </c>
      <c r="C206" t="inlineStr">
        <is>
          <t>IND</t>
        </is>
      </c>
      <c r="D206" t="inlineStr">
        <is>
          <t>DA</t>
        </is>
      </c>
      <c r="E206" t="inlineStr">
        <is>
          <t>USD</t>
        </is>
      </c>
      <c r="F206" t="inlineStr">
        <is>
          <t>Y</t>
        </is>
      </c>
      <c r="G206" s="32" t="n">
        <v>46259</v>
      </c>
      <c r="H206" s="32" t="n">
        <v>46319</v>
      </c>
      <c r="I206" s="82" t="n">
        <v>17670</v>
      </c>
      <c r="J206" s="82" t="n">
        <v>17670</v>
      </c>
      <c r="K206" t="inlineStr">
        <is>
          <t>N</t>
        </is>
      </c>
      <c r="L206" t="inlineStr">
        <is>
          <t>개별</t>
        </is>
      </c>
      <c r="N206" t="inlineStr">
        <is>
          <t>N</t>
        </is>
      </c>
      <c r="O206" s="37">
        <f>IF($A206="","",AsOf-$H206)</f>
        <v/>
      </c>
      <c r="P206" s="37">
        <f>IF($A206="","",IF($K206="Y","-",IF($O206&gt;=30,"D+30 최종통지·선적보류",IF($O206&gt;=15,"D+15 단호한 통지",IF($O206&gt;=7,"D+7 친절한 리마인더",IF(AND($O206&gt;=-3,$O206&lt;=-1),"D-3 사전 안내","모니터링"))))))</f>
        <v/>
      </c>
      <c r="Q206" s="83">
        <f>IF($A206="","",EDATE($H206,1))</f>
        <v/>
      </c>
      <c r="R206" s="37">
        <f>IF($A206="","",$Q206-AsOf)</f>
        <v/>
      </c>
      <c r="S206" s="37">
        <f>IF($A206="","",IF(OR($K206="Y",$F206&lt;&gt;"Y",$O206&lt;=0),"",IF($R206&lt;0,"통지 기한 경과 — 즉시 확인",IF($R206&lt;=NoticeWarnDays,"통지 기한 임박 — 사람 결정",""))))</f>
        <v/>
      </c>
      <c r="T206" s="83">
        <f>IF(OR($A206="",$F206&lt;&gt;"Y"),"",IF(IF($L206="",InsuranceType,$L206)="포괄",DATE(YEAR($G206),MONTH($G206)+1,20),WORKDAY($G206,10)))</f>
        <v/>
      </c>
      <c r="U206" s="83">
        <f>IF(OR($A206="",$M206=""),"",WORKDAY($M206,10))</f>
        <v/>
      </c>
      <c r="V206" s="37">
        <f>IF($A206="","",IF($N206="Y","사기 의심: 콜백 검증 전 대금 안내 중단",""))</f>
        <v/>
      </c>
      <c r="W206" s="37">
        <f>IF($A206="","",IF(AND($K206="N",$D206&lt;&gt;"LC_SIGHT",$D206&lt;&gt;"LC_USANCE",$D206&lt;&gt;"TT_ADV"),$O206,""))</f>
        <v/>
      </c>
      <c r="X206" s="37">
        <f>IF($A206="",0,IF(AND($K206="N",$D206&lt;&gt;"LC_SIGHT",$D206&lt;&gt;"LC_USANCE",$D206&lt;&gt;"TT_ADV",$O206&gt;=30),1,0))</f>
        <v/>
      </c>
      <c r="Y206" s="37">
        <f>IF($A206="","",IF($O206&lt;=0,"미연체",IF($O206&lt;=30,"1-30",IF($O206&lt;=90,"31-90",IF($O206&lt;=180,"91-180",IF($O206&lt;=365,"181-365","365+"))))))</f>
        <v/>
      </c>
      <c r="Z206" s="37">
        <f>IF($S206="통지 기한 임박 — 사람 결정",COUNTIF($S$5:$S206,"통지 기한 임박 — 사람 결정"),"")</f>
        <v/>
      </c>
    </row>
    <row r="207">
      <c r="A207" t="inlineStr">
        <is>
          <t>INV-2609-0019</t>
        </is>
      </c>
      <c r="B207" t="inlineStr">
        <is>
          <t>B101</t>
        </is>
      </c>
      <c r="C207" t="inlineStr">
        <is>
          <t>IND</t>
        </is>
      </c>
      <c r="D207" t="inlineStr">
        <is>
          <t>DA</t>
        </is>
      </c>
      <c r="E207" t="inlineStr">
        <is>
          <t>USD</t>
        </is>
      </c>
      <c r="F207" t="inlineStr">
        <is>
          <t>Y</t>
        </is>
      </c>
      <c r="G207" s="32" t="n">
        <v>46268</v>
      </c>
      <c r="H207" s="32" t="n">
        <v>46328</v>
      </c>
      <c r="I207" s="82" t="n">
        <v>1880</v>
      </c>
      <c r="J207" s="82" t="n">
        <v>1880</v>
      </c>
      <c r="K207" t="inlineStr">
        <is>
          <t>N</t>
        </is>
      </c>
      <c r="L207" t="inlineStr">
        <is>
          <t>개별</t>
        </is>
      </c>
      <c r="N207" t="inlineStr">
        <is>
          <t>N</t>
        </is>
      </c>
      <c r="O207" s="37">
        <f>IF($A207="","",AsOf-$H207)</f>
        <v/>
      </c>
      <c r="P207" s="37">
        <f>IF($A207="","",IF($K207="Y","-",IF($O207&gt;=30,"D+30 최종통지·선적보류",IF($O207&gt;=15,"D+15 단호한 통지",IF($O207&gt;=7,"D+7 친절한 리마인더",IF(AND($O207&gt;=-3,$O207&lt;=-1),"D-3 사전 안내","모니터링"))))))</f>
        <v/>
      </c>
      <c r="Q207" s="83">
        <f>IF($A207="","",EDATE($H207,1))</f>
        <v/>
      </c>
      <c r="R207" s="37">
        <f>IF($A207="","",$Q207-AsOf)</f>
        <v/>
      </c>
      <c r="S207" s="37">
        <f>IF($A207="","",IF(OR($K207="Y",$F207&lt;&gt;"Y",$O207&lt;=0),"",IF($R207&lt;0,"통지 기한 경과 — 즉시 확인",IF($R207&lt;=NoticeWarnDays,"통지 기한 임박 — 사람 결정",""))))</f>
        <v/>
      </c>
      <c r="T207" s="83">
        <f>IF(OR($A207="",$F207&lt;&gt;"Y"),"",IF(IF($L207="",InsuranceType,$L207)="포괄",DATE(YEAR($G207),MONTH($G207)+1,20),WORKDAY($G207,10)))</f>
        <v/>
      </c>
      <c r="U207" s="83">
        <f>IF(OR($A207="",$M207=""),"",WORKDAY($M207,10))</f>
        <v/>
      </c>
      <c r="V207" s="37">
        <f>IF($A207="","",IF($N207="Y","사기 의심: 콜백 검증 전 대금 안내 중단",""))</f>
        <v/>
      </c>
      <c r="W207" s="37">
        <f>IF($A207="","",IF(AND($K207="N",$D207&lt;&gt;"LC_SIGHT",$D207&lt;&gt;"LC_USANCE",$D207&lt;&gt;"TT_ADV"),$O207,""))</f>
        <v/>
      </c>
      <c r="X207" s="37">
        <f>IF($A207="",0,IF(AND($K207="N",$D207&lt;&gt;"LC_SIGHT",$D207&lt;&gt;"LC_USANCE",$D207&lt;&gt;"TT_ADV",$O207&gt;=30),1,0))</f>
        <v/>
      </c>
      <c r="Y207" s="37">
        <f>IF($A207="","",IF($O207&lt;=0,"미연체",IF($O207&lt;=30,"1-30",IF($O207&lt;=90,"31-90",IF($O207&lt;=180,"91-180",IF($O207&lt;=365,"181-365","365+"))))))</f>
        <v/>
      </c>
      <c r="Z207" s="37">
        <f>IF($S207="통지 기한 임박 — 사람 결정",COUNTIF($S$5:$S207,"통지 기한 임박 — 사람 결정"),"")</f>
        <v/>
      </c>
    </row>
    <row r="208">
      <c r="A208" t="inlineStr">
        <is>
          <t>INV-2609-0026</t>
        </is>
      </c>
      <c r="B208" t="inlineStr">
        <is>
          <t>B101</t>
        </is>
      </c>
      <c r="C208" t="inlineStr">
        <is>
          <t>IND</t>
        </is>
      </c>
      <c r="D208" t="inlineStr">
        <is>
          <t>DA</t>
        </is>
      </c>
      <c r="E208" t="inlineStr">
        <is>
          <t>USD</t>
        </is>
      </c>
      <c r="F208" t="inlineStr">
        <is>
          <t>Y</t>
        </is>
      </c>
      <c r="G208" s="32" t="n">
        <v>46269</v>
      </c>
      <c r="H208" s="32" t="n">
        <v>46329</v>
      </c>
      <c r="I208" s="82" t="n">
        <v>2830</v>
      </c>
      <c r="J208" s="82" t="n">
        <v>2830</v>
      </c>
      <c r="K208" t="inlineStr">
        <is>
          <t>N</t>
        </is>
      </c>
      <c r="L208" t="inlineStr">
        <is>
          <t>개별</t>
        </is>
      </c>
      <c r="N208" t="inlineStr">
        <is>
          <t>N</t>
        </is>
      </c>
      <c r="O208" s="37">
        <f>IF($A208="","",AsOf-$H208)</f>
        <v/>
      </c>
      <c r="P208" s="37">
        <f>IF($A208="","",IF($K208="Y","-",IF($O208&gt;=30,"D+30 최종통지·선적보류",IF($O208&gt;=15,"D+15 단호한 통지",IF($O208&gt;=7,"D+7 친절한 리마인더",IF(AND($O208&gt;=-3,$O208&lt;=-1),"D-3 사전 안내","모니터링"))))))</f>
        <v/>
      </c>
      <c r="Q208" s="83">
        <f>IF($A208="","",EDATE($H208,1))</f>
        <v/>
      </c>
      <c r="R208" s="37">
        <f>IF($A208="","",$Q208-AsOf)</f>
        <v/>
      </c>
      <c r="S208" s="37">
        <f>IF($A208="","",IF(OR($K208="Y",$F208&lt;&gt;"Y",$O208&lt;=0),"",IF($R208&lt;0,"통지 기한 경과 — 즉시 확인",IF($R208&lt;=NoticeWarnDays,"통지 기한 임박 — 사람 결정",""))))</f>
        <v/>
      </c>
      <c r="T208" s="83">
        <f>IF(OR($A208="",$F208&lt;&gt;"Y"),"",IF(IF($L208="",InsuranceType,$L208)="포괄",DATE(YEAR($G208),MONTH($G208)+1,20),WORKDAY($G208,10)))</f>
        <v/>
      </c>
      <c r="U208" s="83">
        <f>IF(OR($A208="",$M208=""),"",WORKDAY($M208,10))</f>
        <v/>
      </c>
      <c r="V208" s="37">
        <f>IF($A208="","",IF($N208="Y","사기 의심: 콜백 검증 전 대금 안내 중단",""))</f>
        <v/>
      </c>
      <c r="W208" s="37">
        <f>IF($A208="","",IF(AND($K208="N",$D208&lt;&gt;"LC_SIGHT",$D208&lt;&gt;"LC_USANCE",$D208&lt;&gt;"TT_ADV"),$O208,""))</f>
        <v/>
      </c>
      <c r="X208" s="37">
        <f>IF($A208="",0,IF(AND($K208="N",$D208&lt;&gt;"LC_SIGHT",$D208&lt;&gt;"LC_USANCE",$D208&lt;&gt;"TT_ADV",$O208&gt;=30),1,0))</f>
        <v/>
      </c>
      <c r="Y208" s="37">
        <f>IF($A208="","",IF($O208&lt;=0,"미연체",IF($O208&lt;=30,"1-30",IF($O208&lt;=90,"31-90",IF($O208&lt;=180,"91-180",IF($O208&lt;=365,"181-365","365+"))))))</f>
        <v/>
      </c>
      <c r="Z208" s="37">
        <f>IF($S208="통지 기한 임박 — 사람 결정",COUNTIF($S$5:$S208,"통지 기한 임박 — 사람 결정"),"")</f>
        <v/>
      </c>
    </row>
    <row r="209">
      <c r="A209" t="inlineStr">
        <is>
          <t>INV-2609-0051</t>
        </is>
      </c>
      <c r="B209" t="inlineStr">
        <is>
          <t>B101</t>
        </is>
      </c>
      <c r="C209" t="inlineStr">
        <is>
          <t>IND</t>
        </is>
      </c>
      <c r="D209" t="inlineStr">
        <is>
          <t>DA</t>
        </is>
      </c>
      <c r="E209" t="inlineStr">
        <is>
          <t>USD</t>
        </is>
      </c>
      <c r="F209" t="inlineStr">
        <is>
          <t>Y</t>
        </is>
      </c>
      <c r="G209" s="32" t="n">
        <v>46274</v>
      </c>
      <c r="H209" s="32" t="n">
        <v>46334</v>
      </c>
      <c r="I209" s="82" t="n">
        <v>9510</v>
      </c>
      <c r="J209" s="82" t="n">
        <v>9510</v>
      </c>
      <c r="K209" t="inlineStr">
        <is>
          <t>N</t>
        </is>
      </c>
      <c r="L209" t="inlineStr">
        <is>
          <t>개별</t>
        </is>
      </c>
      <c r="N209" t="inlineStr">
        <is>
          <t>N</t>
        </is>
      </c>
      <c r="O209" s="37">
        <f>IF($A209="","",AsOf-$H209)</f>
        <v/>
      </c>
      <c r="P209" s="37">
        <f>IF($A209="","",IF($K209="Y","-",IF($O209&gt;=30,"D+30 최종통지·선적보류",IF($O209&gt;=15,"D+15 단호한 통지",IF($O209&gt;=7,"D+7 친절한 리마인더",IF(AND($O209&gt;=-3,$O209&lt;=-1),"D-3 사전 안내","모니터링"))))))</f>
        <v/>
      </c>
      <c r="Q209" s="83">
        <f>IF($A209="","",EDATE($H209,1))</f>
        <v/>
      </c>
      <c r="R209" s="37">
        <f>IF($A209="","",$Q209-AsOf)</f>
        <v/>
      </c>
      <c r="S209" s="37">
        <f>IF($A209="","",IF(OR($K209="Y",$F209&lt;&gt;"Y",$O209&lt;=0),"",IF($R209&lt;0,"통지 기한 경과 — 즉시 확인",IF($R209&lt;=NoticeWarnDays,"통지 기한 임박 — 사람 결정",""))))</f>
        <v/>
      </c>
      <c r="T209" s="83">
        <f>IF(OR($A209="",$F209&lt;&gt;"Y"),"",IF(IF($L209="",InsuranceType,$L209)="포괄",DATE(YEAR($G209),MONTH($G209)+1,20),WORKDAY($G209,10)))</f>
        <v/>
      </c>
      <c r="U209" s="83">
        <f>IF(OR($A209="",$M209=""),"",WORKDAY($M209,10))</f>
        <v/>
      </c>
      <c r="V209" s="37">
        <f>IF($A209="","",IF($N209="Y","사기 의심: 콜백 검증 전 대금 안내 중단",""))</f>
        <v/>
      </c>
      <c r="W209" s="37">
        <f>IF($A209="","",IF(AND($K209="N",$D209&lt;&gt;"LC_SIGHT",$D209&lt;&gt;"LC_USANCE",$D209&lt;&gt;"TT_ADV"),$O209,""))</f>
        <v/>
      </c>
      <c r="X209" s="37">
        <f>IF($A209="",0,IF(AND($K209="N",$D209&lt;&gt;"LC_SIGHT",$D209&lt;&gt;"LC_USANCE",$D209&lt;&gt;"TT_ADV",$O209&gt;=30),1,0))</f>
        <v/>
      </c>
      <c r="Y209" s="37">
        <f>IF($A209="","",IF($O209&lt;=0,"미연체",IF($O209&lt;=30,"1-30",IF($O209&lt;=90,"31-90",IF($O209&lt;=180,"91-180",IF($O209&lt;=365,"181-365","365+"))))))</f>
        <v/>
      </c>
      <c r="Z209" s="37">
        <f>IF($S209="통지 기한 임박 — 사람 결정",COUNTIF($S$5:$S209,"통지 기한 임박 — 사람 결정"),"")</f>
        <v/>
      </c>
    </row>
    <row r="210">
      <c r="A210" t="inlineStr">
        <is>
          <t>INV-2609-0074</t>
        </is>
      </c>
      <c r="B210" t="inlineStr">
        <is>
          <t>B101</t>
        </is>
      </c>
      <c r="C210" t="inlineStr">
        <is>
          <t>IND</t>
        </is>
      </c>
      <c r="D210" t="inlineStr">
        <is>
          <t>DA</t>
        </is>
      </c>
      <c r="E210" t="inlineStr">
        <is>
          <t>USD</t>
        </is>
      </c>
      <c r="F210" t="inlineStr">
        <is>
          <t>Y</t>
        </is>
      </c>
      <c r="G210" s="32" t="n">
        <v>46278</v>
      </c>
      <c r="H210" s="32" t="n">
        <v>46338</v>
      </c>
      <c r="I210" s="82" t="n">
        <v>18910</v>
      </c>
      <c r="J210" s="82" t="n">
        <v>18910</v>
      </c>
      <c r="K210" t="inlineStr">
        <is>
          <t>N</t>
        </is>
      </c>
      <c r="L210" t="inlineStr">
        <is>
          <t>개별</t>
        </is>
      </c>
      <c r="N210" t="inlineStr">
        <is>
          <t>N</t>
        </is>
      </c>
      <c r="O210" s="37">
        <f>IF($A210="","",AsOf-$H210)</f>
        <v/>
      </c>
      <c r="P210" s="37">
        <f>IF($A210="","",IF($K210="Y","-",IF($O210&gt;=30,"D+30 최종통지·선적보류",IF($O210&gt;=15,"D+15 단호한 통지",IF($O210&gt;=7,"D+7 친절한 리마인더",IF(AND($O210&gt;=-3,$O210&lt;=-1),"D-3 사전 안내","모니터링"))))))</f>
        <v/>
      </c>
      <c r="Q210" s="83">
        <f>IF($A210="","",EDATE($H210,1))</f>
        <v/>
      </c>
      <c r="R210" s="37">
        <f>IF($A210="","",$Q210-AsOf)</f>
        <v/>
      </c>
      <c r="S210" s="37">
        <f>IF($A210="","",IF(OR($K210="Y",$F210&lt;&gt;"Y",$O210&lt;=0),"",IF($R210&lt;0,"통지 기한 경과 — 즉시 확인",IF($R210&lt;=NoticeWarnDays,"통지 기한 임박 — 사람 결정",""))))</f>
        <v/>
      </c>
      <c r="T210" s="83">
        <f>IF(OR($A210="",$F210&lt;&gt;"Y"),"",IF(IF($L210="",InsuranceType,$L210)="포괄",DATE(YEAR($G210),MONTH($G210)+1,20),WORKDAY($G210,10)))</f>
        <v/>
      </c>
      <c r="U210" s="83">
        <f>IF(OR($A210="",$M210=""),"",WORKDAY($M210,10))</f>
        <v/>
      </c>
      <c r="V210" s="37">
        <f>IF($A210="","",IF($N210="Y","사기 의심: 콜백 검증 전 대금 안내 중단",""))</f>
        <v/>
      </c>
      <c r="W210" s="37">
        <f>IF($A210="","",IF(AND($K210="N",$D210&lt;&gt;"LC_SIGHT",$D210&lt;&gt;"LC_USANCE",$D210&lt;&gt;"TT_ADV"),$O210,""))</f>
        <v/>
      </c>
      <c r="X210" s="37">
        <f>IF($A210="",0,IF(AND($K210="N",$D210&lt;&gt;"LC_SIGHT",$D210&lt;&gt;"LC_USANCE",$D210&lt;&gt;"TT_ADV",$O210&gt;=30),1,0))</f>
        <v/>
      </c>
      <c r="Y210" s="37">
        <f>IF($A210="","",IF($O210&lt;=0,"미연체",IF($O210&lt;=30,"1-30",IF($O210&lt;=90,"31-90",IF($O210&lt;=180,"91-180",IF($O210&lt;=365,"181-365","365+"))))))</f>
        <v/>
      </c>
      <c r="Z210" s="37">
        <f>IF($S210="통지 기한 임박 — 사람 결정",COUNTIF($S$5:$S210,"통지 기한 임박 — 사람 결정"),"")</f>
        <v/>
      </c>
    </row>
    <row r="211">
      <c r="A211" t="inlineStr">
        <is>
          <t>INV-2607-0165</t>
        </is>
      </c>
      <c r="B211" t="inlineStr">
        <is>
          <t>B104</t>
        </is>
      </c>
      <c r="C211" t="inlineStr">
        <is>
          <t>MEX</t>
        </is>
      </c>
      <c r="D211" t="inlineStr">
        <is>
          <t>OA</t>
        </is>
      </c>
      <c r="E211" t="inlineStr">
        <is>
          <t>USD</t>
        </is>
      </c>
      <c r="F211" t="inlineStr">
        <is>
          <t>Y</t>
        </is>
      </c>
      <c r="G211" s="32" t="n">
        <v>46230</v>
      </c>
      <c r="H211" s="32" t="n">
        <v>46290</v>
      </c>
      <c r="I211" s="82" t="n">
        <v>10190</v>
      </c>
      <c r="J211" s="82" t="n">
        <v>10190</v>
      </c>
      <c r="K211" t="inlineStr">
        <is>
          <t>N</t>
        </is>
      </c>
      <c r="L211" t="inlineStr">
        <is>
          <t>개별</t>
        </is>
      </c>
      <c r="N211" t="inlineStr">
        <is>
          <t>N</t>
        </is>
      </c>
      <c r="O211" s="37">
        <f>IF($A211="","",AsOf-$H211)</f>
        <v/>
      </c>
      <c r="P211" s="37">
        <f>IF($A211="","",IF($K211="Y","-",IF($O211&gt;=30,"D+30 최종통지·선적보류",IF($O211&gt;=15,"D+15 단호한 통지",IF($O211&gt;=7,"D+7 친절한 리마인더",IF(AND($O211&gt;=-3,$O211&lt;=-1),"D-3 사전 안내","모니터링"))))))</f>
        <v/>
      </c>
      <c r="Q211" s="83">
        <f>IF($A211="","",EDATE($H211,1))</f>
        <v/>
      </c>
      <c r="R211" s="37">
        <f>IF($A211="","",$Q211-AsOf)</f>
        <v/>
      </c>
      <c r="S211" s="37">
        <f>IF($A211="","",IF(OR($K211="Y",$F211&lt;&gt;"Y",$O211&lt;=0),"",IF($R211&lt;0,"통지 기한 경과 — 즉시 확인",IF($R211&lt;=NoticeWarnDays,"통지 기한 임박 — 사람 결정",""))))</f>
        <v/>
      </c>
      <c r="T211" s="83">
        <f>IF(OR($A211="",$F211&lt;&gt;"Y"),"",IF(IF($L211="",InsuranceType,$L211)="포괄",DATE(YEAR($G211),MONTH($G211)+1,20),WORKDAY($G211,10)))</f>
        <v/>
      </c>
      <c r="U211" s="83">
        <f>IF(OR($A211="",$M211=""),"",WORKDAY($M211,10))</f>
        <v/>
      </c>
      <c r="V211" s="37">
        <f>IF($A211="","",IF($N211="Y","사기 의심: 콜백 검증 전 대금 안내 중단",""))</f>
        <v/>
      </c>
      <c r="W211" s="37">
        <f>IF($A211="","",IF(AND($K211="N",$D211&lt;&gt;"LC_SIGHT",$D211&lt;&gt;"LC_USANCE",$D211&lt;&gt;"TT_ADV"),$O211,""))</f>
        <v/>
      </c>
      <c r="X211" s="37">
        <f>IF($A211="",0,IF(AND($K211="N",$D211&lt;&gt;"LC_SIGHT",$D211&lt;&gt;"LC_USANCE",$D211&lt;&gt;"TT_ADV",$O211&gt;=30),1,0))</f>
        <v/>
      </c>
      <c r="Y211" s="37">
        <f>IF($A211="","",IF($O211&lt;=0,"미연체",IF($O211&lt;=30,"1-30",IF($O211&lt;=90,"31-90",IF($O211&lt;=180,"91-180",IF($O211&lt;=365,"181-365","365+"))))))</f>
        <v/>
      </c>
      <c r="Z211" s="37">
        <f>IF($S211="통지 기한 임박 — 사람 결정",COUNTIF($S$5:$S211,"통지 기한 임박 — 사람 결정"),"")</f>
        <v/>
      </c>
    </row>
    <row r="212">
      <c r="A212" t="inlineStr">
        <is>
          <t>INV-2608-0058</t>
        </is>
      </c>
      <c r="B212" t="inlineStr">
        <is>
          <t>B105</t>
        </is>
      </c>
      <c r="C212" t="inlineStr">
        <is>
          <t>JPN</t>
        </is>
      </c>
      <c r="D212" t="inlineStr">
        <is>
          <t>OA</t>
        </is>
      </c>
      <c r="E212" t="inlineStr">
        <is>
          <t>JPY</t>
        </is>
      </c>
      <c r="F212" t="inlineStr">
        <is>
          <t>Y</t>
        </is>
      </c>
      <c r="G212" s="32" t="n">
        <v>46247</v>
      </c>
      <c r="H212" s="32" t="n">
        <v>46307</v>
      </c>
      <c r="I212" s="82" t="n">
        <v>1258000</v>
      </c>
      <c r="J212" s="82" t="n">
        <v>8003.57</v>
      </c>
      <c r="K212" t="inlineStr">
        <is>
          <t>N</t>
        </is>
      </c>
      <c r="L212" t="inlineStr">
        <is>
          <t>개별</t>
        </is>
      </c>
      <c r="N212" t="inlineStr">
        <is>
          <t>N</t>
        </is>
      </c>
      <c r="O212" s="37">
        <f>IF($A212="","",AsOf-$H212)</f>
        <v/>
      </c>
      <c r="P212" s="37">
        <f>IF($A212="","",IF($K212="Y","-",IF($O212&gt;=30,"D+30 최종통지·선적보류",IF($O212&gt;=15,"D+15 단호한 통지",IF($O212&gt;=7,"D+7 친절한 리마인더",IF(AND($O212&gt;=-3,$O212&lt;=-1),"D-3 사전 안내","모니터링"))))))</f>
        <v/>
      </c>
      <c r="Q212" s="83">
        <f>IF($A212="","",EDATE($H212,1))</f>
        <v/>
      </c>
      <c r="R212" s="37">
        <f>IF($A212="","",$Q212-AsOf)</f>
        <v/>
      </c>
      <c r="S212" s="37">
        <f>IF($A212="","",IF(OR($K212="Y",$F212&lt;&gt;"Y",$O212&lt;=0),"",IF($R212&lt;0,"통지 기한 경과 — 즉시 확인",IF($R212&lt;=NoticeWarnDays,"통지 기한 임박 — 사람 결정",""))))</f>
        <v/>
      </c>
      <c r="T212" s="83">
        <f>IF(OR($A212="",$F212&lt;&gt;"Y"),"",IF(IF($L212="",InsuranceType,$L212)="포괄",DATE(YEAR($G212),MONTH($G212)+1,20),WORKDAY($G212,10)))</f>
        <v/>
      </c>
      <c r="U212" s="83">
        <f>IF(OR($A212="",$M212=""),"",WORKDAY($M212,10))</f>
        <v/>
      </c>
      <c r="V212" s="37">
        <f>IF($A212="","",IF($N212="Y","사기 의심: 콜백 검증 전 대금 안내 중단",""))</f>
        <v/>
      </c>
      <c r="W212" s="37">
        <f>IF($A212="","",IF(AND($K212="N",$D212&lt;&gt;"LC_SIGHT",$D212&lt;&gt;"LC_USANCE",$D212&lt;&gt;"TT_ADV"),$O212,""))</f>
        <v/>
      </c>
      <c r="X212" s="37">
        <f>IF($A212="",0,IF(AND($K212="N",$D212&lt;&gt;"LC_SIGHT",$D212&lt;&gt;"LC_USANCE",$D212&lt;&gt;"TT_ADV",$O212&gt;=30),1,0))</f>
        <v/>
      </c>
      <c r="Y212" s="37">
        <f>IF($A212="","",IF($O212&lt;=0,"미연체",IF($O212&lt;=30,"1-30",IF($O212&lt;=90,"31-90",IF($O212&lt;=180,"91-180",IF($O212&lt;=365,"181-365","365+"))))))</f>
        <v/>
      </c>
      <c r="Z212" s="37">
        <f>IF($S212="통지 기한 임박 — 사람 결정",COUNTIF($S$5:$S212,"통지 기한 임박 — 사람 결정"),"")</f>
        <v/>
      </c>
    </row>
    <row r="213">
      <c r="A213" t="inlineStr">
        <is>
          <t>INV-2608-0069</t>
        </is>
      </c>
      <c r="B213" t="inlineStr">
        <is>
          <t>B105</t>
        </is>
      </c>
      <c r="C213" t="inlineStr">
        <is>
          <t>JPN</t>
        </is>
      </c>
      <c r="D213" t="inlineStr">
        <is>
          <t>OA</t>
        </is>
      </c>
      <c r="E213" t="inlineStr">
        <is>
          <t>JPY</t>
        </is>
      </c>
      <c r="F213" t="inlineStr">
        <is>
          <t>Y</t>
        </is>
      </c>
      <c r="G213" s="32" t="n">
        <v>46249</v>
      </c>
      <c r="H213" s="32" t="n">
        <v>46309</v>
      </c>
      <c r="I213" s="82" t="n">
        <v>1819000</v>
      </c>
      <c r="J213" s="82" t="n">
        <v>11572.72</v>
      </c>
      <c r="K213" t="inlineStr">
        <is>
          <t>N</t>
        </is>
      </c>
      <c r="L213" t="inlineStr">
        <is>
          <t>개별</t>
        </is>
      </c>
      <c r="N213" t="inlineStr">
        <is>
          <t>N</t>
        </is>
      </c>
      <c r="O213" s="37">
        <f>IF($A213="","",AsOf-$H213)</f>
        <v/>
      </c>
      <c r="P213" s="37">
        <f>IF($A213="","",IF($K213="Y","-",IF($O213&gt;=30,"D+30 최종통지·선적보류",IF($O213&gt;=15,"D+15 단호한 통지",IF($O213&gt;=7,"D+7 친절한 리마인더",IF(AND($O213&gt;=-3,$O213&lt;=-1),"D-3 사전 안내","모니터링"))))))</f>
        <v/>
      </c>
      <c r="Q213" s="83">
        <f>IF($A213="","",EDATE($H213,1))</f>
        <v/>
      </c>
      <c r="R213" s="37">
        <f>IF($A213="","",$Q213-AsOf)</f>
        <v/>
      </c>
      <c r="S213" s="37">
        <f>IF($A213="","",IF(OR($K213="Y",$F213&lt;&gt;"Y",$O213&lt;=0),"",IF($R213&lt;0,"통지 기한 경과 — 즉시 확인",IF($R213&lt;=NoticeWarnDays,"통지 기한 임박 — 사람 결정",""))))</f>
        <v/>
      </c>
      <c r="T213" s="83">
        <f>IF(OR($A213="",$F213&lt;&gt;"Y"),"",IF(IF($L213="",InsuranceType,$L213)="포괄",DATE(YEAR($G213),MONTH($G213)+1,20),WORKDAY($G213,10)))</f>
        <v/>
      </c>
      <c r="U213" s="83">
        <f>IF(OR($A213="",$M213=""),"",WORKDAY($M213,10))</f>
        <v/>
      </c>
      <c r="V213" s="37">
        <f>IF($A213="","",IF($N213="Y","사기 의심: 콜백 검증 전 대금 안내 중단",""))</f>
        <v/>
      </c>
      <c r="W213" s="37">
        <f>IF($A213="","",IF(AND($K213="N",$D213&lt;&gt;"LC_SIGHT",$D213&lt;&gt;"LC_USANCE",$D213&lt;&gt;"TT_ADV"),$O213,""))</f>
        <v/>
      </c>
      <c r="X213" s="37">
        <f>IF($A213="",0,IF(AND($K213="N",$D213&lt;&gt;"LC_SIGHT",$D213&lt;&gt;"LC_USANCE",$D213&lt;&gt;"TT_ADV",$O213&gt;=30),1,0))</f>
        <v/>
      </c>
      <c r="Y213" s="37">
        <f>IF($A213="","",IF($O213&lt;=0,"미연체",IF($O213&lt;=30,"1-30",IF($O213&lt;=90,"31-90",IF($O213&lt;=180,"91-180",IF($O213&lt;=365,"181-365","365+"))))))</f>
        <v/>
      </c>
      <c r="Z213" s="37">
        <f>IF($S213="통지 기한 임박 — 사람 결정",COUNTIF($S$5:$S213,"통지 기한 임박 — 사람 결정"),"")</f>
        <v/>
      </c>
    </row>
    <row r="214">
      <c r="A214" t="inlineStr">
        <is>
          <t>INV-2608-0091</t>
        </is>
      </c>
      <c r="B214" t="inlineStr">
        <is>
          <t>B105</t>
        </is>
      </c>
      <c r="C214" t="inlineStr">
        <is>
          <t>JPN</t>
        </is>
      </c>
      <c r="D214" t="inlineStr">
        <is>
          <t>OA</t>
        </is>
      </c>
      <c r="E214" t="inlineStr">
        <is>
          <t>JPY</t>
        </is>
      </c>
      <c r="F214" t="inlineStr">
        <is>
          <t>Y</t>
        </is>
      </c>
      <c r="G214" s="32" t="n">
        <v>46253</v>
      </c>
      <c r="H214" s="32" t="n">
        <v>46313</v>
      </c>
      <c r="I214" s="82" t="n">
        <v>601000</v>
      </c>
      <c r="J214" s="82" t="n">
        <v>3823.64</v>
      </c>
      <c r="K214" t="inlineStr">
        <is>
          <t>N</t>
        </is>
      </c>
      <c r="L214" t="inlineStr">
        <is>
          <t>개별</t>
        </is>
      </c>
      <c r="N214" t="inlineStr">
        <is>
          <t>N</t>
        </is>
      </c>
      <c r="O214" s="37">
        <f>IF($A214="","",AsOf-$H214)</f>
        <v/>
      </c>
      <c r="P214" s="37">
        <f>IF($A214="","",IF($K214="Y","-",IF($O214&gt;=30,"D+30 최종통지·선적보류",IF($O214&gt;=15,"D+15 단호한 통지",IF($O214&gt;=7,"D+7 친절한 리마인더",IF(AND($O214&gt;=-3,$O214&lt;=-1),"D-3 사전 안내","모니터링"))))))</f>
        <v/>
      </c>
      <c r="Q214" s="83">
        <f>IF($A214="","",EDATE($H214,1))</f>
        <v/>
      </c>
      <c r="R214" s="37">
        <f>IF($A214="","",$Q214-AsOf)</f>
        <v/>
      </c>
      <c r="S214" s="37">
        <f>IF($A214="","",IF(OR($K214="Y",$F214&lt;&gt;"Y",$O214&lt;=0),"",IF($R214&lt;0,"통지 기한 경과 — 즉시 확인",IF($R214&lt;=NoticeWarnDays,"통지 기한 임박 — 사람 결정",""))))</f>
        <v/>
      </c>
      <c r="T214" s="83">
        <f>IF(OR($A214="",$F214&lt;&gt;"Y"),"",IF(IF($L214="",InsuranceType,$L214)="포괄",DATE(YEAR($G214),MONTH($G214)+1,20),WORKDAY($G214,10)))</f>
        <v/>
      </c>
      <c r="U214" s="83">
        <f>IF(OR($A214="",$M214=""),"",WORKDAY($M214,10))</f>
        <v/>
      </c>
      <c r="V214" s="37">
        <f>IF($A214="","",IF($N214="Y","사기 의심: 콜백 검증 전 대금 안내 중단",""))</f>
        <v/>
      </c>
      <c r="W214" s="37">
        <f>IF($A214="","",IF(AND($K214="N",$D214&lt;&gt;"LC_SIGHT",$D214&lt;&gt;"LC_USANCE",$D214&lt;&gt;"TT_ADV"),$O214,""))</f>
        <v/>
      </c>
      <c r="X214" s="37">
        <f>IF($A214="",0,IF(AND($K214="N",$D214&lt;&gt;"LC_SIGHT",$D214&lt;&gt;"LC_USANCE",$D214&lt;&gt;"TT_ADV",$O214&gt;=30),1,0))</f>
        <v/>
      </c>
      <c r="Y214" s="37">
        <f>IF($A214="","",IF($O214&lt;=0,"미연체",IF($O214&lt;=30,"1-30",IF($O214&lt;=90,"31-90",IF($O214&lt;=180,"91-180",IF($O214&lt;=365,"181-365","365+"))))))</f>
        <v/>
      </c>
      <c r="Z214" s="37">
        <f>IF($S214="통지 기한 임박 — 사람 결정",COUNTIF($S$5:$S214,"통지 기한 임박 — 사람 결정"),"")</f>
        <v/>
      </c>
    </row>
    <row r="215">
      <c r="A215" t="inlineStr">
        <is>
          <t>INV-2608-0139</t>
        </is>
      </c>
      <c r="B215" t="inlineStr">
        <is>
          <t>B107</t>
        </is>
      </c>
      <c r="C215" t="inlineStr">
        <is>
          <t>DEU</t>
        </is>
      </c>
      <c r="D215" t="inlineStr">
        <is>
          <t>OA</t>
        </is>
      </c>
      <c r="E215" t="inlineStr">
        <is>
          <t>EUR</t>
        </is>
      </c>
      <c r="F215" t="inlineStr">
        <is>
          <t>Y</t>
        </is>
      </c>
      <c r="G215" s="32" t="n">
        <v>46262</v>
      </c>
      <c r="H215" s="32" t="n">
        <v>46322</v>
      </c>
      <c r="I215" s="82" t="n">
        <v>18240</v>
      </c>
      <c r="J215" s="82" t="n">
        <v>20793.58</v>
      </c>
      <c r="K215" t="inlineStr">
        <is>
          <t>N</t>
        </is>
      </c>
      <c r="L215" t="inlineStr">
        <is>
          <t>개별</t>
        </is>
      </c>
      <c r="N215" t="inlineStr">
        <is>
          <t>N</t>
        </is>
      </c>
      <c r="O215" s="37">
        <f>IF($A215="","",AsOf-$H215)</f>
        <v/>
      </c>
      <c r="P215" s="37">
        <f>IF($A215="","",IF($K215="Y","-",IF($O215&gt;=30,"D+30 최종통지·선적보류",IF($O215&gt;=15,"D+15 단호한 통지",IF($O215&gt;=7,"D+7 친절한 리마인더",IF(AND($O215&gt;=-3,$O215&lt;=-1),"D-3 사전 안내","모니터링"))))))</f>
        <v/>
      </c>
      <c r="Q215" s="83">
        <f>IF($A215="","",EDATE($H215,1))</f>
        <v/>
      </c>
      <c r="R215" s="37">
        <f>IF($A215="","",$Q215-AsOf)</f>
        <v/>
      </c>
      <c r="S215" s="37">
        <f>IF($A215="","",IF(OR($K215="Y",$F215&lt;&gt;"Y",$O215&lt;=0),"",IF($R215&lt;0,"통지 기한 경과 — 즉시 확인",IF($R215&lt;=NoticeWarnDays,"통지 기한 임박 — 사람 결정",""))))</f>
        <v/>
      </c>
      <c r="T215" s="83">
        <f>IF(OR($A215="",$F215&lt;&gt;"Y"),"",IF(IF($L215="",InsuranceType,$L215)="포괄",DATE(YEAR($G215),MONTH($G215)+1,20),WORKDAY($G215,10)))</f>
        <v/>
      </c>
      <c r="U215" s="83">
        <f>IF(OR($A215="",$M215=""),"",WORKDAY($M215,10))</f>
        <v/>
      </c>
      <c r="V215" s="37">
        <f>IF($A215="","",IF($N215="Y","사기 의심: 콜백 검증 전 대금 안내 중단",""))</f>
        <v/>
      </c>
      <c r="W215" s="37">
        <f>IF($A215="","",IF(AND($K215="N",$D215&lt;&gt;"LC_SIGHT",$D215&lt;&gt;"LC_USANCE",$D215&lt;&gt;"TT_ADV"),$O215,""))</f>
        <v/>
      </c>
      <c r="X215" s="37">
        <f>IF($A215="",0,IF(AND($K215="N",$D215&lt;&gt;"LC_SIGHT",$D215&lt;&gt;"LC_USANCE",$D215&lt;&gt;"TT_ADV",$O215&gt;=30),1,0))</f>
        <v/>
      </c>
      <c r="Y215" s="37">
        <f>IF($A215="","",IF($O215&lt;=0,"미연체",IF($O215&lt;=30,"1-30",IF($O215&lt;=90,"31-90",IF($O215&lt;=180,"91-180",IF($O215&lt;=365,"181-365","365+"))))))</f>
        <v/>
      </c>
      <c r="Z215" s="37">
        <f>IF($S215="통지 기한 임박 — 사람 결정",COUNTIF($S$5:$S215,"통지 기한 임박 — 사람 결정"),"")</f>
        <v/>
      </c>
    </row>
    <row r="216">
      <c r="A216" t="inlineStr">
        <is>
          <t>INV-2609-0160</t>
        </is>
      </c>
      <c r="B216" t="inlineStr">
        <is>
          <t>B107</t>
        </is>
      </c>
      <c r="C216" t="inlineStr">
        <is>
          <t>DEU</t>
        </is>
      </c>
      <c r="D216" t="inlineStr">
        <is>
          <t>OA</t>
        </is>
      </c>
      <c r="E216" t="inlineStr">
        <is>
          <t>EUR</t>
        </is>
      </c>
      <c r="F216" t="inlineStr">
        <is>
          <t>Y</t>
        </is>
      </c>
      <c r="G216" s="32" t="n">
        <v>46295</v>
      </c>
      <c r="H216" s="32" t="n">
        <v>46355</v>
      </c>
      <c r="I216" s="82" t="n">
        <v>12620</v>
      </c>
      <c r="J216" s="82" t="n">
        <v>14386.79</v>
      </c>
      <c r="K216" t="inlineStr">
        <is>
          <t>N</t>
        </is>
      </c>
      <c r="L216" t="inlineStr">
        <is>
          <t>개별</t>
        </is>
      </c>
      <c r="N216" t="inlineStr">
        <is>
          <t>N</t>
        </is>
      </c>
      <c r="O216" s="37">
        <f>IF($A216="","",AsOf-$H216)</f>
        <v/>
      </c>
      <c r="P216" s="37">
        <f>IF($A216="","",IF($K216="Y","-",IF($O216&gt;=30,"D+30 최종통지·선적보류",IF($O216&gt;=15,"D+15 단호한 통지",IF($O216&gt;=7,"D+7 친절한 리마인더",IF(AND($O216&gt;=-3,$O216&lt;=-1),"D-3 사전 안내","모니터링"))))))</f>
        <v/>
      </c>
      <c r="Q216" s="83">
        <f>IF($A216="","",EDATE($H216,1))</f>
        <v/>
      </c>
      <c r="R216" s="37">
        <f>IF($A216="","",$Q216-AsOf)</f>
        <v/>
      </c>
      <c r="S216" s="37">
        <f>IF($A216="","",IF(OR($K216="Y",$F216&lt;&gt;"Y",$O216&lt;=0),"",IF($R216&lt;0,"통지 기한 경과 — 즉시 확인",IF($R216&lt;=NoticeWarnDays,"통지 기한 임박 — 사람 결정",""))))</f>
        <v/>
      </c>
      <c r="T216" s="83">
        <f>IF(OR($A216="",$F216&lt;&gt;"Y"),"",IF(IF($L216="",InsuranceType,$L216)="포괄",DATE(YEAR($G216),MONTH($G216)+1,20),WORKDAY($G216,10)))</f>
        <v/>
      </c>
      <c r="U216" s="83">
        <f>IF(OR($A216="",$M216=""),"",WORKDAY($M216,10))</f>
        <v/>
      </c>
      <c r="V216" s="37">
        <f>IF($A216="","",IF($N216="Y","사기 의심: 콜백 검증 전 대금 안내 중단",""))</f>
        <v/>
      </c>
      <c r="W216" s="37">
        <f>IF($A216="","",IF(AND($K216="N",$D216&lt;&gt;"LC_SIGHT",$D216&lt;&gt;"LC_USANCE",$D216&lt;&gt;"TT_ADV"),$O216,""))</f>
        <v/>
      </c>
      <c r="X216" s="37">
        <f>IF($A216="",0,IF(AND($K216="N",$D216&lt;&gt;"LC_SIGHT",$D216&lt;&gt;"LC_USANCE",$D216&lt;&gt;"TT_ADV",$O216&gt;=30),1,0))</f>
        <v/>
      </c>
      <c r="Y216" s="37">
        <f>IF($A216="","",IF($O216&lt;=0,"미연체",IF($O216&lt;=30,"1-30",IF($O216&lt;=90,"31-90",IF($O216&lt;=180,"91-180",IF($O216&lt;=365,"181-365","365+"))))))</f>
        <v/>
      </c>
      <c r="Z216" s="37">
        <f>IF($S216="통지 기한 임박 — 사람 결정",COUNTIF($S$5:$S216,"통지 기한 임박 — 사람 결정"),"")</f>
        <v/>
      </c>
    </row>
    <row r="217">
      <c r="A217" t="inlineStr">
        <is>
          <t>INV-2607-0116</t>
        </is>
      </c>
      <c r="B217" t="inlineStr">
        <is>
          <t>B108</t>
        </is>
      </c>
      <c r="C217" t="inlineStr">
        <is>
          <t>VNM</t>
        </is>
      </c>
      <c r="D217" t="inlineStr">
        <is>
          <t>OA</t>
        </is>
      </c>
      <c r="E217" t="inlineStr">
        <is>
          <t>USD</t>
        </is>
      </c>
      <c r="F217" t="inlineStr">
        <is>
          <t>Y</t>
        </is>
      </c>
      <c r="G217" s="32" t="n">
        <v>46223</v>
      </c>
      <c r="H217" s="32" t="n">
        <v>46313</v>
      </c>
      <c r="I217" s="82" t="n">
        <v>29360</v>
      </c>
      <c r="J217" s="82" t="n">
        <v>29360</v>
      </c>
      <c r="K217" t="inlineStr">
        <is>
          <t>N</t>
        </is>
      </c>
      <c r="L217" t="inlineStr">
        <is>
          <t>개별</t>
        </is>
      </c>
      <c r="N217" t="inlineStr">
        <is>
          <t>N</t>
        </is>
      </c>
      <c r="O217" s="37">
        <f>IF($A217="","",AsOf-$H217)</f>
        <v/>
      </c>
      <c r="P217" s="37">
        <f>IF($A217="","",IF($K217="Y","-",IF($O217&gt;=30,"D+30 최종통지·선적보류",IF($O217&gt;=15,"D+15 단호한 통지",IF($O217&gt;=7,"D+7 친절한 리마인더",IF(AND($O217&gt;=-3,$O217&lt;=-1),"D-3 사전 안내","모니터링"))))))</f>
        <v/>
      </c>
      <c r="Q217" s="83">
        <f>IF($A217="","",EDATE($H217,1))</f>
        <v/>
      </c>
      <c r="R217" s="37">
        <f>IF($A217="","",$Q217-AsOf)</f>
        <v/>
      </c>
      <c r="S217" s="37">
        <f>IF($A217="","",IF(OR($K217="Y",$F217&lt;&gt;"Y",$O217&lt;=0),"",IF($R217&lt;0,"통지 기한 경과 — 즉시 확인",IF($R217&lt;=NoticeWarnDays,"통지 기한 임박 — 사람 결정",""))))</f>
        <v/>
      </c>
      <c r="T217" s="83">
        <f>IF(OR($A217="",$F217&lt;&gt;"Y"),"",IF(IF($L217="",InsuranceType,$L217)="포괄",DATE(YEAR($G217),MONTH($G217)+1,20),WORKDAY($G217,10)))</f>
        <v/>
      </c>
      <c r="U217" s="83">
        <f>IF(OR($A217="",$M217=""),"",WORKDAY($M217,10))</f>
        <v/>
      </c>
      <c r="V217" s="37">
        <f>IF($A217="","",IF($N217="Y","사기 의심: 콜백 검증 전 대금 안내 중단",""))</f>
        <v/>
      </c>
      <c r="W217" s="37">
        <f>IF($A217="","",IF(AND($K217="N",$D217&lt;&gt;"LC_SIGHT",$D217&lt;&gt;"LC_USANCE",$D217&lt;&gt;"TT_ADV"),$O217,""))</f>
        <v/>
      </c>
      <c r="X217" s="37">
        <f>IF($A217="",0,IF(AND($K217="N",$D217&lt;&gt;"LC_SIGHT",$D217&lt;&gt;"LC_USANCE",$D217&lt;&gt;"TT_ADV",$O217&gt;=30),1,0))</f>
        <v/>
      </c>
      <c r="Y217" s="37">
        <f>IF($A217="","",IF($O217&lt;=0,"미연체",IF($O217&lt;=30,"1-30",IF($O217&lt;=90,"31-90",IF($O217&lt;=180,"91-180",IF($O217&lt;=365,"181-365","365+"))))))</f>
        <v/>
      </c>
      <c r="Z217" s="37">
        <f>IF($S217="통지 기한 임박 — 사람 결정",COUNTIF($S$5:$S217,"통지 기한 임박 — 사람 결정"),"")</f>
        <v/>
      </c>
    </row>
    <row r="218">
      <c r="A218" t="inlineStr">
        <is>
          <t>INV-2607-0129</t>
        </is>
      </c>
      <c r="B218" t="inlineStr">
        <is>
          <t>B108</t>
        </is>
      </c>
      <c r="C218" t="inlineStr">
        <is>
          <t>VNM</t>
        </is>
      </c>
      <c r="D218" t="inlineStr">
        <is>
          <t>OA</t>
        </is>
      </c>
      <c r="E218" t="inlineStr">
        <is>
          <t>USD</t>
        </is>
      </c>
      <c r="F218" t="inlineStr">
        <is>
          <t>Y</t>
        </is>
      </c>
      <c r="G218" s="32" t="n">
        <v>46224</v>
      </c>
      <c r="H218" s="32" t="n">
        <v>46314</v>
      </c>
      <c r="I218" s="82" t="n">
        <v>3650</v>
      </c>
      <c r="J218" s="82" t="n">
        <v>3650</v>
      </c>
      <c r="K218" t="inlineStr">
        <is>
          <t>N</t>
        </is>
      </c>
      <c r="L218" t="inlineStr">
        <is>
          <t>개별</t>
        </is>
      </c>
      <c r="N218" t="inlineStr">
        <is>
          <t>N</t>
        </is>
      </c>
      <c r="O218" s="37">
        <f>IF($A218="","",AsOf-$H218)</f>
        <v/>
      </c>
      <c r="P218" s="37">
        <f>IF($A218="","",IF($K218="Y","-",IF($O218&gt;=30,"D+30 최종통지·선적보류",IF($O218&gt;=15,"D+15 단호한 통지",IF($O218&gt;=7,"D+7 친절한 리마인더",IF(AND($O218&gt;=-3,$O218&lt;=-1),"D-3 사전 안내","모니터링"))))))</f>
        <v/>
      </c>
      <c r="Q218" s="83">
        <f>IF($A218="","",EDATE($H218,1))</f>
        <v/>
      </c>
      <c r="R218" s="37">
        <f>IF($A218="","",$Q218-AsOf)</f>
        <v/>
      </c>
      <c r="S218" s="37">
        <f>IF($A218="","",IF(OR($K218="Y",$F218&lt;&gt;"Y",$O218&lt;=0),"",IF($R218&lt;0,"통지 기한 경과 — 즉시 확인",IF($R218&lt;=NoticeWarnDays,"통지 기한 임박 — 사람 결정",""))))</f>
        <v/>
      </c>
      <c r="T218" s="83">
        <f>IF(OR($A218="",$F218&lt;&gt;"Y"),"",IF(IF($L218="",InsuranceType,$L218)="포괄",DATE(YEAR($G218),MONTH($G218)+1,20),WORKDAY($G218,10)))</f>
        <v/>
      </c>
      <c r="U218" s="83">
        <f>IF(OR($A218="",$M218=""),"",WORKDAY($M218,10))</f>
        <v/>
      </c>
      <c r="V218" s="37">
        <f>IF($A218="","",IF($N218="Y","사기 의심: 콜백 검증 전 대금 안내 중단",""))</f>
        <v/>
      </c>
      <c r="W218" s="37">
        <f>IF($A218="","",IF(AND($K218="N",$D218&lt;&gt;"LC_SIGHT",$D218&lt;&gt;"LC_USANCE",$D218&lt;&gt;"TT_ADV"),$O218,""))</f>
        <v/>
      </c>
      <c r="X218" s="37">
        <f>IF($A218="",0,IF(AND($K218="N",$D218&lt;&gt;"LC_SIGHT",$D218&lt;&gt;"LC_USANCE",$D218&lt;&gt;"TT_ADV",$O218&gt;=30),1,0))</f>
        <v/>
      </c>
      <c r="Y218" s="37">
        <f>IF($A218="","",IF($O218&lt;=0,"미연체",IF($O218&lt;=30,"1-30",IF($O218&lt;=90,"31-90",IF($O218&lt;=180,"91-180",IF($O218&lt;=365,"181-365","365+"))))))</f>
        <v/>
      </c>
      <c r="Z218" s="37">
        <f>IF($S218="통지 기한 임박 — 사람 결정",COUNTIF($S$5:$S218,"통지 기한 임박 — 사람 결정"),"")</f>
        <v/>
      </c>
    </row>
    <row r="219">
      <c r="A219" t="inlineStr">
        <is>
          <t>INV-2607-0146</t>
        </is>
      </c>
      <c r="B219" t="inlineStr">
        <is>
          <t>B108</t>
        </is>
      </c>
      <c r="C219" t="inlineStr">
        <is>
          <t>VNM</t>
        </is>
      </c>
      <c r="D219" t="inlineStr">
        <is>
          <t>OA</t>
        </is>
      </c>
      <c r="E219" t="inlineStr">
        <is>
          <t>USD</t>
        </is>
      </c>
      <c r="F219" t="inlineStr">
        <is>
          <t>Y</t>
        </is>
      </c>
      <c r="G219" s="32" t="n">
        <v>46226</v>
      </c>
      <c r="H219" s="32" t="n">
        <v>46316</v>
      </c>
      <c r="I219" s="82" t="n">
        <v>13290</v>
      </c>
      <c r="J219" s="82" t="n">
        <v>13290</v>
      </c>
      <c r="K219" t="inlineStr">
        <is>
          <t>N</t>
        </is>
      </c>
      <c r="L219" t="inlineStr">
        <is>
          <t>개별</t>
        </is>
      </c>
      <c r="N219" t="inlineStr">
        <is>
          <t>N</t>
        </is>
      </c>
      <c r="O219" s="37">
        <f>IF($A219="","",AsOf-$H219)</f>
        <v/>
      </c>
      <c r="P219" s="37">
        <f>IF($A219="","",IF($K219="Y","-",IF($O219&gt;=30,"D+30 최종통지·선적보류",IF($O219&gt;=15,"D+15 단호한 통지",IF($O219&gt;=7,"D+7 친절한 리마인더",IF(AND($O219&gt;=-3,$O219&lt;=-1),"D-3 사전 안내","모니터링"))))))</f>
        <v/>
      </c>
      <c r="Q219" s="83">
        <f>IF($A219="","",EDATE($H219,1))</f>
        <v/>
      </c>
      <c r="R219" s="37">
        <f>IF($A219="","",$Q219-AsOf)</f>
        <v/>
      </c>
      <c r="S219" s="37">
        <f>IF($A219="","",IF(OR($K219="Y",$F219&lt;&gt;"Y",$O219&lt;=0),"",IF($R219&lt;0,"통지 기한 경과 — 즉시 확인",IF($R219&lt;=NoticeWarnDays,"통지 기한 임박 — 사람 결정",""))))</f>
        <v/>
      </c>
      <c r="T219" s="83">
        <f>IF(OR($A219="",$F219&lt;&gt;"Y"),"",IF(IF($L219="",InsuranceType,$L219)="포괄",DATE(YEAR($G219),MONTH($G219)+1,20),WORKDAY($G219,10)))</f>
        <v/>
      </c>
      <c r="U219" s="83">
        <f>IF(OR($A219="",$M219=""),"",WORKDAY($M219,10))</f>
        <v/>
      </c>
      <c r="V219" s="37">
        <f>IF($A219="","",IF($N219="Y","사기 의심: 콜백 검증 전 대금 안내 중단",""))</f>
        <v/>
      </c>
      <c r="W219" s="37">
        <f>IF($A219="","",IF(AND($K219="N",$D219&lt;&gt;"LC_SIGHT",$D219&lt;&gt;"LC_USANCE",$D219&lt;&gt;"TT_ADV"),$O219,""))</f>
        <v/>
      </c>
      <c r="X219" s="37">
        <f>IF($A219="",0,IF(AND($K219="N",$D219&lt;&gt;"LC_SIGHT",$D219&lt;&gt;"LC_USANCE",$D219&lt;&gt;"TT_ADV",$O219&gt;=30),1,0))</f>
        <v/>
      </c>
      <c r="Y219" s="37">
        <f>IF($A219="","",IF($O219&lt;=0,"미연체",IF($O219&lt;=30,"1-30",IF($O219&lt;=90,"31-90",IF($O219&lt;=180,"91-180",IF($O219&lt;=365,"181-365","365+"))))))</f>
        <v/>
      </c>
      <c r="Z219" s="37">
        <f>IF($S219="통지 기한 임박 — 사람 결정",COUNTIF($S$5:$S219,"통지 기한 임박 — 사람 결정"),"")</f>
        <v/>
      </c>
    </row>
    <row r="220">
      <c r="A220" t="inlineStr">
        <is>
          <t>INV-2607-0152</t>
        </is>
      </c>
      <c r="B220" t="inlineStr">
        <is>
          <t>B108</t>
        </is>
      </c>
      <c r="C220" t="inlineStr">
        <is>
          <t>VNM</t>
        </is>
      </c>
      <c r="D220" t="inlineStr">
        <is>
          <t>OA</t>
        </is>
      </c>
      <c r="E220" t="inlineStr">
        <is>
          <t>USD</t>
        </is>
      </c>
      <c r="F220" t="inlineStr">
        <is>
          <t>Y</t>
        </is>
      </c>
      <c r="G220" s="32" t="n">
        <v>46227</v>
      </c>
      <c r="H220" s="32" t="n">
        <v>46317</v>
      </c>
      <c r="I220" s="82" t="n">
        <v>31540</v>
      </c>
      <c r="J220" s="82" t="n">
        <v>31540</v>
      </c>
      <c r="K220" t="inlineStr">
        <is>
          <t>N</t>
        </is>
      </c>
      <c r="L220" t="inlineStr">
        <is>
          <t>개별</t>
        </is>
      </c>
      <c r="N220" t="inlineStr">
        <is>
          <t>N</t>
        </is>
      </c>
      <c r="O220" s="37">
        <f>IF($A220="","",AsOf-$H220)</f>
        <v/>
      </c>
      <c r="P220" s="37">
        <f>IF($A220="","",IF($K220="Y","-",IF($O220&gt;=30,"D+30 최종통지·선적보류",IF($O220&gt;=15,"D+15 단호한 통지",IF($O220&gt;=7,"D+7 친절한 리마인더",IF(AND($O220&gt;=-3,$O220&lt;=-1),"D-3 사전 안내","모니터링"))))))</f>
        <v/>
      </c>
      <c r="Q220" s="83">
        <f>IF($A220="","",EDATE($H220,1))</f>
        <v/>
      </c>
      <c r="R220" s="37">
        <f>IF($A220="","",$Q220-AsOf)</f>
        <v/>
      </c>
      <c r="S220" s="37">
        <f>IF($A220="","",IF(OR($K220="Y",$F220&lt;&gt;"Y",$O220&lt;=0),"",IF($R220&lt;0,"통지 기한 경과 — 즉시 확인",IF($R220&lt;=NoticeWarnDays,"통지 기한 임박 — 사람 결정",""))))</f>
        <v/>
      </c>
      <c r="T220" s="83">
        <f>IF(OR($A220="",$F220&lt;&gt;"Y"),"",IF(IF($L220="",InsuranceType,$L220)="포괄",DATE(YEAR($G220),MONTH($G220)+1,20),WORKDAY($G220,10)))</f>
        <v/>
      </c>
      <c r="U220" s="83">
        <f>IF(OR($A220="",$M220=""),"",WORKDAY($M220,10))</f>
        <v/>
      </c>
      <c r="V220" s="37">
        <f>IF($A220="","",IF($N220="Y","사기 의심: 콜백 검증 전 대금 안내 중단",""))</f>
        <v/>
      </c>
      <c r="W220" s="37">
        <f>IF($A220="","",IF(AND($K220="N",$D220&lt;&gt;"LC_SIGHT",$D220&lt;&gt;"LC_USANCE",$D220&lt;&gt;"TT_ADV"),$O220,""))</f>
        <v/>
      </c>
      <c r="X220" s="37">
        <f>IF($A220="",0,IF(AND($K220="N",$D220&lt;&gt;"LC_SIGHT",$D220&lt;&gt;"LC_USANCE",$D220&lt;&gt;"TT_ADV",$O220&gt;=30),1,0))</f>
        <v/>
      </c>
      <c r="Y220" s="37">
        <f>IF($A220="","",IF($O220&lt;=0,"미연체",IF($O220&lt;=30,"1-30",IF($O220&lt;=90,"31-90",IF($O220&lt;=180,"91-180",IF($O220&lt;=365,"181-365","365+"))))))</f>
        <v/>
      </c>
      <c r="Z220" s="37">
        <f>IF($S220="통지 기한 임박 — 사람 결정",COUNTIF($S$5:$S220,"통지 기한 임박 — 사람 결정"),"")</f>
        <v/>
      </c>
    </row>
    <row r="221">
      <c r="A221" t="inlineStr">
        <is>
          <t>INV-2607-0180</t>
        </is>
      </c>
      <c r="B221" t="inlineStr">
        <is>
          <t>B108</t>
        </is>
      </c>
      <c r="C221" t="inlineStr">
        <is>
          <t>VNM</t>
        </is>
      </c>
      <c r="D221" t="inlineStr">
        <is>
          <t>OA</t>
        </is>
      </c>
      <c r="E221" t="inlineStr">
        <is>
          <t>USD</t>
        </is>
      </c>
      <c r="F221" t="inlineStr">
        <is>
          <t>Y</t>
        </is>
      </c>
      <c r="G221" s="32" t="n">
        <v>46233</v>
      </c>
      <c r="H221" s="32" t="n">
        <v>46323</v>
      </c>
      <c r="I221" s="82" t="n">
        <v>4490</v>
      </c>
      <c r="J221" s="82" t="n">
        <v>4490</v>
      </c>
      <c r="K221" t="inlineStr">
        <is>
          <t>N</t>
        </is>
      </c>
      <c r="L221" t="inlineStr">
        <is>
          <t>개별</t>
        </is>
      </c>
      <c r="N221" t="inlineStr">
        <is>
          <t>N</t>
        </is>
      </c>
      <c r="O221" s="37">
        <f>IF($A221="","",AsOf-$H221)</f>
        <v/>
      </c>
      <c r="P221" s="37">
        <f>IF($A221="","",IF($K221="Y","-",IF($O221&gt;=30,"D+30 최종통지·선적보류",IF($O221&gt;=15,"D+15 단호한 통지",IF($O221&gt;=7,"D+7 친절한 리마인더",IF(AND($O221&gt;=-3,$O221&lt;=-1),"D-3 사전 안내","모니터링"))))))</f>
        <v/>
      </c>
      <c r="Q221" s="83">
        <f>IF($A221="","",EDATE($H221,1))</f>
        <v/>
      </c>
      <c r="R221" s="37">
        <f>IF($A221="","",$Q221-AsOf)</f>
        <v/>
      </c>
      <c r="S221" s="37">
        <f>IF($A221="","",IF(OR($K221="Y",$F221&lt;&gt;"Y",$O221&lt;=0),"",IF($R221&lt;0,"통지 기한 경과 — 즉시 확인",IF($R221&lt;=NoticeWarnDays,"통지 기한 임박 — 사람 결정",""))))</f>
        <v/>
      </c>
      <c r="T221" s="83">
        <f>IF(OR($A221="",$F221&lt;&gt;"Y"),"",IF(IF($L221="",InsuranceType,$L221)="포괄",DATE(YEAR($G221),MONTH($G221)+1,20),WORKDAY($G221,10)))</f>
        <v/>
      </c>
      <c r="U221" s="83">
        <f>IF(OR($A221="",$M221=""),"",WORKDAY($M221,10))</f>
        <v/>
      </c>
      <c r="V221" s="37">
        <f>IF($A221="","",IF($N221="Y","사기 의심: 콜백 검증 전 대금 안내 중단",""))</f>
        <v/>
      </c>
      <c r="W221" s="37">
        <f>IF($A221="","",IF(AND($K221="N",$D221&lt;&gt;"LC_SIGHT",$D221&lt;&gt;"LC_USANCE",$D221&lt;&gt;"TT_ADV"),$O221,""))</f>
        <v/>
      </c>
      <c r="X221" s="37">
        <f>IF($A221="",0,IF(AND($K221="N",$D221&lt;&gt;"LC_SIGHT",$D221&lt;&gt;"LC_USANCE",$D221&lt;&gt;"TT_ADV",$O221&gt;=30),1,0))</f>
        <v/>
      </c>
      <c r="Y221" s="37">
        <f>IF($A221="","",IF($O221&lt;=0,"미연체",IF($O221&lt;=30,"1-30",IF($O221&lt;=90,"31-90",IF($O221&lt;=180,"91-180",IF($O221&lt;=365,"181-365","365+"))))))</f>
        <v/>
      </c>
      <c r="Z221" s="37">
        <f>IF($S221="통지 기한 임박 — 사람 결정",COUNTIF($S$5:$S221,"통지 기한 임박 — 사람 결정"),"")</f>
        <v/>
      </c>
    </row>
    <row r="222">
      <c r="A222" t="inlineStr">
        <is>
          <t>INV-2608-0135</t>
        </is>
      </c>
      <c r="B222" t="inlineStr">
        <is>
          <t>B108</t>
        </is>
      </c>
      <c r="C222" t="inlineStr">
        <is>
          <t>VNM</t>
        </is>
      </c>
      <c r="D222" t="inlineStr">
        <is>
          <t>OA</t>
        </is>
      </c>
      <c r="E222" t="inlineStr">
        <is>
          <t>USD</t>
        </is>
      </c>
      <c r="F222" t="inlineStr">
        <is>
          <t>Y</t>
        </is>
      </c>
      <c r="G222" s="32" t="n">
        <v>46261</v>
      </c>
      <c r="H222" s="32" t="n">
        <v>46351</v>
      </c>
      <c r="I222" s="82" t="n">
        <v>4530</v>
      </c>
      <c r="J222" s="82" t="n">
        <v>4530</v>
      </c>
      <c r="K222" t="inlineStr">
        <is>
          <t>N</t>
        </is>
      </c>
      <c r="L222" t="inlineStr">
        <is>
          <t>개별</t>
        </is>
      </c>
      <c r="N222" t="inlineStr">
        <is>
          <t>N</t>
        </is>
      </c>
      <c r="O222" s="37">
        <f>IF($A222="","",AsOf-$H222)</f>
        <v/>
      </c>
      <c r="P222" s="37">
        <f>IF($A222="","",IF($K222="Y","-",IF($O222&gt;=30,"D+30 최종통지·선적보류",IF($O222&gt;=15,"D+15 단호한 통지",IF($O222&gt;=7,"D+7 친절한 리마인더",IF(AND($O222&gt;=-3,$O222&lt;=-1),"D-3 사전 안내","모니터링"))))))</f>
        <v/>
      </c>
      <c r="Q222" s="83">
        <f>IF($A222="","",EDATE($H222,1))</f>
        <v/>
      </c>
      <c r="R222" s="37">
        <f>IF($A222="","",$Q222-AsOf)</f>
        <v/>
      </c>
      <c r="S222" s="37">
        <f>IF($A222="","",IF(OR($K222="Y",$F222&lt;&gt;"Y",$O222&lt;=0),"",IF($R222&lt;0,"통지 기한 경과 — 즉시 확인",IF($R222&lt;=NoticeWarnDays,"통지 기한 임박 — 사람 결정",""))))</f>
        <v/>
      </c>
      <c r="T222" s="83">
        <f>IF(OR($A222="",$F222&lt;&gt;"Y"),"",IF(IF($L222="",InsuranceType,$L222)="포괄",DATE(YEAR($G222),MONTH($G222)+1,20),WORKDAY($G222,10)))</f>
        <v/>
      </c>
      <c r="U222" s="83">
        <f>IF(OR($A222="",$M222=""),"",WORKDAY($M222,10))</f>
        <v/>
      </c>
      <c r="V222" s="37">
        <f>IF($A222="","",IF($N222="Y","사기 의심: 콜백 검증 전 대금 안내 중단",""))</f>
        <v/>
      </c>
      <c r="W222" s="37">
        <f>IF($A222="","",IF(AND($K222="N",$D222&lt;&gt;"LC_SIGHT",$D222&lt;&gt;"LC_USANCE",$D222&lt;&gt;"TT_ADV"),$O222,""))</f>
        <v/>
      </c>
      <c r="X222" s="37">
        <f>IF($A222="",0,IF(AND($K222="N",$D222&lt;&gt;"LC_SIGHT",$D222&lt;&gt;"LC_USANCE",$D222&lt;&gt;"TT_ADV",$O222&gt;=30),1,0))</f>
        <v/>
      </c>
      <c r="Y222" s="37">
        <f>IF($A222="","",IF($O222&lt;=0,"미연체",IF($O222&lt;=30,"1-30",IF($O222&lt;=90,"31-90",IF($O222&lt;=180,"91-180",IF($O222&lt;=365,"181-365","365+"))))))</f>
        <v/>
      </c>
      <c r="Z222" s="37">
        <f>IF($S222="통지 기한 임박 — 사람 결정",COUNTIF($S$5:$S222,"통지 기한 임박 — 사람 결정"),"")</f>
        <v/>
      </c>
    </row>
    <row r="223">
      <c r="A223" t="inlineStr">
        <is>
          <t>INV-2609-0095</t>
        </is>
      </c>
      <c r="B223" t="inlineStr">
        <is>
          <t>B108</t>
        </is>
      </c>
      <c r="C223" t="inlineStr">
        <is>
          <t>VNM</t>
        </is>
      </c>
      <c r="D223" t="inlineStr">
        <is>
          <t>OA</t>
        </is>
      </c>
      <c r="E223" t="inlineStr">
        <is>
          <t>USD</t>
        </is>
      </c>
      <c r="F223" t="inlineStr">
        <is>
          <t>Y</t>
        </is>
      </c>
      <c r="G223" s="32" t="n">
        <v>46283</v>
      </c>
      <c r="H223" s="32" t="n">
        <v>46373</v>
      </c>
      <c r="I223" s="82" t="n">
        <v>11200</v>
      </c>
      <c r="J223" s="82" t="n">
        <v>11200</v>
      </c>
      <c r="K223" t="inlineStr">
        <is>
          <t>N</t>
        </is>
      </c>
      <c r="L223" t="inlineStr">
        <is>
          <t>개별</t>
        </is>
      </c>
      <c r="N223" t="inlineStr">
        <is>
          <t>N</t>
        </is>
      </c>
      <c r="O223" s="37">
        <f>IF($A223="","",AsOf-$H223)</f>
        <v/>
      </c>
      <c r="P223" s="37">
        <f>IF($A223="","",IF($K223="Y","-",IF($O223&gt;=30,"D+30 최종통지·선적보류",IF($O223&gt;=15,"D+15 단호한 통지",IF($O223&gt;=7,"D+7 친절한 리마인더",IF(AND($O223&gt;=-3,$O223&lt;=-1),"D-3 사전 안내","모니터링"))))))</f>
        <v/>
      </c>
      <c r="Q223" s="83">
        <f>IF($A223="","",EDATE($H223,1))</f>
        <v/>
      </c>
      <c r="R223" s="37">
        <f>IF($A223="","",$Q223-AsOf)</f>
        <v/>
      </c>
      <c r="S223" s="37">
        <f>IF($A223="","",IF(OR($K223="Y",$F223&lt;&gt;"Y",$O223&lt;=0),"",IF($R223&lt;0,"통지 기한 경과 — 즉시 확인",IF($R223&lt;=NoticeWarnDays,"통지 기한 임박 — 사람 결정",""))))</f>
        <v/>
      </c>
      <c r="T223" s="83">
        <f>IF(OR($A223="",$F223&lt;&gt;"Y"),"",IF(IF($L223="",InsuranceType,$L223)="포괄",DATE(YEAR($G223),MONTH($G223)+1,20),WORKDAY($G223,10)))</f>
        <v/>
      </c>
      <c r="U223" s="83">
        <f>IF(OR($A223="",$M223=""),"",WORKDAY($M223,10))</f>
        <v/>
      </c>
      <c r="V223" s="37">
        <f>IF($A223="","",IF($N223="Y","사기 의심: 콜백 검증 전 대금 안내 중단",""))</f>
        <v/>
      </c>
      <c r="W223" s="37">
        <f>IF($A223="","",IF(AND($K223="N",$D223&lt;&gt;"LC_SIGHT",$D223&lt;&gt;"LC_USANCE",$D223&lt;&gt;"TT_ADV"),$O223,""))</f>
        <v/>
      </c>
      <c r="X223" s="37">
        <f>IF($A223="",0,IF(AND($K223="N",$D223&lt;&gt;"LC_SIGHT",$D223&lt;&gt;"LC_USANCE",$D223&lt;&gt;"TT_ADV",$O223&gt;=30),1,0))</f>
        <v/>
      </c>
      <c r="Y223" s="37">
        <f>IF($A223="","",IF($O223&lt;=0,"미연체",IF($O223&lt;=30,"1-30",IF($O223&lt;=90,"31-90",IF($O223&lt;=180,"91-180",IF($O223&lt;=365,"181-365","365+"))))))</f>
        <v/>
      </c>
      <c r="Z223" s="37">
        <f>IF($S223="통지 기한 임박 — 사람 결정",COUNTIF($S$5:$S223,"통지 기한 임박 — 사람 결정"),"")</f>
        <v/>
      </c>
    </row>
    <row r="224">
      <c r="A224" t="inlineStr">
        <is>
          <t>INV-2608-0097</t>
        </is>
      </c>
      <c r="B224" t="inlineStr">
        <is>
          <t>B110</t>
        </is>
      </c>
      <c r="C224" t="inlineStr">
        <is>
          <t>USA</t>
        </is>
      </c>
      <c r="D224" t="inlineStr">
        <is>
          <t>OA</t>
        </is>
      </c>
      <c r="E224" t="inlineStr">
        <is>
          <t>USD</t>
        </is>
      </c>
      <c r="F224" t="inlineStr">
        <is>
          <t>Y</t>
        </is>
      </c>
      <c r="G224" s="32" t="n">
        <v>46254</v>
      </c>
      <c r="H224" s="32" t="n">
        <v>46344</v>
      </c>
      <c r="I224" s="82" t="n">
        <v>12610</v>
      </c>
      <c r="J224" s="82" t="n">
        <v>12610</v>
      </c>
      <c r="K224" t="inlineStr">
        <is>
          <t>N</t>
        </is>
      </c>
      <c r="L224" t="inlineStr">
        <is>
          <t>개별</t>
        </is>
      </c>
      <c r="N224" t="inlineStr">
        <is>
          <t>N</t>
        </is>
      </c>
      <c r="O224" s="37">
        <f>IF($A224="","",AsOf-$H224)</f>
        <v/>
      </c>
      <c r="P224" s="37">
        <f>IF($A224="","",IF($K224="Y","-",IF($O224&gt;=30,"D+30 최종통지·선적보류",IF($O224&gt;=15,"D+15 단호한 통지",IF($O224&gt;=7,"D+7 친절한 리마인더",IF(AND($O224&gt;=-3,$O224&lt;=-1),"D-3 사전 안내","모니터링"))))))</f>
        <v/>
      </c>
      <c r="Q224" s="83">
        <f>IF($A224="","",EDATE($H224,1))</f>
        <v/>
      </c>
      <c r="R224" s="37">
        <f>IF($A224="","",$Q224-AsOf)</f>
        <v/>
      </c>
      <c r="S224" s="37">
        <f>IF($A224="","",IF(OR($K224="Y",$F224&lt;&gt;"Y",$O224&lt;=0),"",IF($R224&lt;0,"통지 기한 경과 — 즉시 확인",IF($R224&lt;=NoticeWarnDays,"통지 기한 임박 — 사람 결정",""))))</f>
        <v/>
      </c>
      <c r="T224" s="83">
        <f>IF(OR($A224="",$F224&lt;&gt;"Y"),"",IF(IF($L224="",InsuranceType,$L224)="포괄",DATE(YEAR($G224),MONTH($G224)+1,20),WORKDAY($G224,10)))</f>
        <v/>
      </c>
      <c r="U224" s="83">
        <f>IF(OR($A224="",$M224=""),"",WORKDAY($M224,10))</f>
        <v/>
      </c>
      <c r="V224" s="37">
        <f>IF($A224="","",IF($N224="Y","사기 의심: 콜백 검증 전 대금 안내 중단",""))</f>
        <v/>
      </c>
      <c r="W224" s="37">
        <f>IF($A224="","",IF(AND($K224="N",$D224&lt;&gt;"LC_SIGHT",$D224&lt;&gt;"LC_USANCE",$D224&lt;&gt;"TT_ADV"),$O224,""))</f>
        <v/>
      </c>
      <c r="X224" s="37">
        <f>IF($A224="",0,IF(AND($K224="N",$D224&lt;&gt;"LC_SIGHT",$D224&lt;&gt;"LC_USANCE",$D224&lt;&gt;"TT_ADV",$O224&gt;=30),1,0))</f>
        <v/>
      </c>
      <c r="Y224" s="37">
        <f>IF($A224="","",IF($O224&lt;=0,"미연체",IF($O224&lt;=30,"1-30",IF($O224&lt;=90,"31-90",IF($O224&lt;=180,"91-180",IF($O224&lt;=365,"181-365","365+"))))))</f>
        <v/>
      </c>
      <c r="Z224" s="37">
        <f>IF($S224="통지 기한 임박 — 사람 결정",COUNTIF($S$5:$S224,"통지 기한 임박 — 사람 결정"),"")</f>
        <v/>
      </c>
    </row>
    <row r="225">
      <c r="A225" t="inlineStr">
        <is>
          <t>INV-2609-0084</t>
        </is>
      </c>
      <c r="B225" t="inlineStr">
        <is>
          <t>B110</t>
        </is>
      </c>
      <c r="C225" t="inlineStr">
        <is>
          <t>USA</t>
        </is>
      </c>
      <c r="D225" t="inlineStr">
        <is>
          <t>OA</t>
        </is>
      </c>
      <c r="E225" t="inlineStr">
        <is>
          <t>USD</t>
        </is>
      </c>
      <c r="F225" t="inlineStr">
        <is>
          <t>Y</t>
        </is>
      </c>
      <c r="G225" s="32" t="n">
        <v>46280</v>
      </c>
      <c r="H225" s="32" t="n">
        <v>46370</v>
      </c>
      <c r="I225" s="82" t="n">
        <v>11410</v>
      </c>
      <c r="J225" s="82" t="n">
        <v>11410</v>
      </c>
      <c r="K225" t="inlineStr">
        <is>
          <t>N</t>
        </is>
      </c>
      <c r="L225" t="inlineStr">
        <is>
          <t>개별</t>
        </is>
      </c>
      <c r="N225" t="inlineStr">
        <is>
          <t>N</t>
        </is>
      </c>
      <c r="O225" s="37">
        <f>IF($A225="","",AsOf-$H225)</f>
        <v/>
      </c>
      <c r="P225" s="37">
        <f>IF($A225="","",IF($K225="Y","-",IF($O225&gt;=30,"D+30 최종통지·선적보류",IF($O225&gt;=15,"D+15 단호한 통지",IF($O225&gt;=7,"D+7 친절한 리마인더",IF(AND($O225&gt;=-3,$O225&lt;=-1),"D-3 사전 안내","모니터링"))))))</f>
        <v/>
      </c>
      <c r="Q225" s="83">
        <f>IF($A225="","",EDATE($H225,1))</f>
        <v/>
      </c>
      <c r="R225" s="37">
        <f>IF($A225="","",$Q225-AsOf)</f>
        <v/>
      </c>
      <c r="S225" s="37">
        <f>IF($A225="","",IF(OR($K225="Y",$F225&lt;&gt;"Y",$O225&lt;=0),"",IF($R225&lt;0,"통지 기한 경과 — 즉시 확인",IF($R225&lt;=NoticeWarnDays,"통지 기한 임박 — 사람 결정",""))))</f>
        <v/>
      </c>
      <c r="T225" s="83">
        <f>IF(OR($A225="",$F225&lt;&gt;"Y"),"",IF(IF($L225="",InsuranceType,$L225)="포괄",DATE(YEAR($G225),MONTH($G225)+1,20),WORKDAY($G225,10)))</f>
        <v/>
      </c>
      <c r="U225" s="83">
        <f>IF(OR($A225="",$M225=""),"",WORKDAY($M225,10))</f>
        <v/>
      </c>
      <c r="V225" s="37">
        <f>IF($A225="","",IF($N225="Y","사기 의심: 콜백 검증 전 대금 안내 중단",""))</f>
        <v/>
      </c>
      <c r="W225" s="37">
        <f>IF($A225="","",IF(AND($K225="N",$D225&lt;&gt;"LC_SIGHT",$D225&lt;&gt;"LC_USANCE",$D225&lt;&gt;"TT_ADV"),$O225,""))</f>
        <v/>
      </c>
      <c r="X225" s="37">
        <f>IF($A225="",0,IF(AND($K225="N",$D225&lt;&gt;"LC_SIGHT",$D225&lt;&gt;"LC_USANCE",$D225&lt;&gt;"TT_ADV",$O225&gt;=30),1,0))</f>
        <v/>
      </c>
      <c r="Y225" s="37">
        <f>IF($A225="","",IF($O225&lt;=0,"미연체",IF($O225&lt;=30,"1-30",IF($O225&lt;=90,"31-90",IF($O225&lt;=180,"91-180",IF($O225&lt;=365,"181-365","365+"))))))</f>
        <v/>
      </c>
      <c r="Z225" s="37">
        <f>IF($S225="통지 기한 임박 — 사람 결정",COUNTIF($S$5:$S225,"통지 기한 임박 — 사람 결정"),"")</f>
        <v/>
      </c>
    </row>
    <row r="226">
      <c r="A226" t="inlineStr">
        <is>
          <t>INV-2607-0010</t>
        </is>
      </c>
      <c r="B226" t="inlineStr">
        <is>
          <t>B111</t>
        </is>
      </c>
      <c r="C226" t="inlineStr">
        <is>
          <t>TWN</t>
        </is>
      </c>
      <c r="D226" t="inlineStr">
        <is>
          <t>DA</t>
        </is>
      </c>
      <c r="E226" t="inlineStr">
        <is>
          <t>USD</t>
        </is>
      </c>
      <c r="F226" t="inlineStr">
        <is>
          <t>N</t>
        </is>
      </c>
      <c r="G226" s="32" t="n">
        <v>46206</v>
      </c>
      <c r="H226" s="32" t="n">
        <v>46296</v>
      </c>
      <c r="I226" s="82" t="n">
        <v>4300</v>
      </c>
      <c r="J226" s="82" t="n">
        <v>4300</v>
      </c>
      <c r="K226" t="inlineStr">
        <is>
          <t>N</t>
        </is>
      </c>
      <c r="N226" t="inlineStr">
        <is>
          <t>N</t>
        </is>
      </c>
      <c r="O226" s="37">
        <f>IF($A226="","",AsOf-$H226)</f>
        <v/>
      </c>
      <c r="P226" s="37">
        <f>IF($A226="","",IF($K226="Y","-",IF($O226&gt;=30,"D+30 최종통지·선적보류",IF($O226&gt;=15,"D+15 단호한 통지",IF($O226&gt;=7,"D+7 친절한 리마인더",IF(AND($O226&gt;=-3,$O226&lt;=-1),"D-3 사전 안내","모니터링"))))))</f>
        <v/>
      </c>
      <c r="Q226" s="83">
        <f>IF($A226="","",EDATE($H226,1))</f>
        <v/>
      </c>
      <c r="R226" s="37">
        <f>IF($A226="","",$Q226-AsOf)</f>
        <v/>
      </c>
      <c r="S226" s="37">
        <f>IF($A226="","",IF(OR($K226="Y",$F226&lt;&gt;"Y",$O226&lt;=0),"",IF($R226&lt;0,"통지 기한 경과 — 즉시 확인",IF($R226&lt;=NoticeWarnDays,"통지 기한 임박 — 사람 결정",""))))</f>
        <v/>
      </c>
      <c r="T226" s="83">
        <f>IF(OR($A226="",$F226&lt;&gt;"Y"),"",IF(IF($L226="",InsuranceType,$L226)="포괄",DATE(YEAR($G226),MONTH($G226)+1,20),WORKDAY($G226,10)))</f>
        <v/>
      </c>
      <c r="U226" s="83">
        <f>IF(OR($A226="",$M226=""),"",WORKDAY($M226,10))</f>
        <v/>
      </c>
      <c r="V226" s="37">
        <f>IF($A226="","",IF($N226="Y","사기 의심: 콜백 검증 전 대금 안내 중단",""))</f>
        <v/>
      </c>
      <c r="W226" s="37">
        <f>IF($A226="","",IF(AND($K226="N",$D226&lt;&gt;"LC_SIGHT",$D226&lt;&gt;"LC_USANCE",$D226&lt;&gt;"TT_ADV"),$O226,""))</f>
        <v/>
      </c>
      <c r="X226" s="37">
        <f>IF($A226="",0,IF(AND($K226="N",$D226&lt;&gt;"LC_SIGHT",$D226&lt;&gt;"LC_USANCE",$D226&lt;&gt;"TT_ADV",$O226&gt;=30),1,0))</f>
        <v/>
      </c>
      <c r="Y226" s="37">
        <f>IF($A226="","",IF($O226&lt;=0,"미연체",IF($O226&lt;=30,"1-30",IF($O226&lt;=90,"31-90",IF($O226&lt;=180,"91-180",IF($O226&lt;=365,"181-365","365+"))))))</f>
        <v/>
      </c>
      <c r="Z226" s="37">
        <f>IF($S226="통지 기한 임박 — 사람 결정",COUNTIF($S$5:$S226,"통지 기한 임박 — 사람 결정"),"")</f>
        <v/>
      </c>
    </row>
    <row r="227">
      <c r="A227" t="inlineStr">
        <is>
          <t>INV-2607-0130</t>
        </is>
      </c>
      <c r="B227" t="inlineStr">
        <is>
          <t>B111</t>
        </is>
      </c>
      <c r="C227" t="inlineStr">
        <is>
          <t>TWN</t>
        </is>
      </c>
      <c r="D227" t="inlineStr">
        <is>
          <t>DA</t>
        </is>
      </c>
      <c r="E227" t="inlineStr">
        <is>
          <t>USD</t>
        </is>
      </c>
      <c r="F227" t="inlineStr">
        <is>
          <t>N</t>
        </is>
      </c>
      <c r="G227" s="32" t="n">
        <v>46224</v>
      </c>
      <c r="H227" s="32" t="n">
        <v>46314</v>
      </c>
      <c r="I227" s="82" t="n">
        <v>8010</v>
      </c>
      <c r="J227" s="82" t="n">
        <v>8010</v>
      </c>
      <c r="K227" t="inlineStr">
        <is>
          <t>N</t>
        </is>
      </c>
      <c r="N227" t="inlineStr">
        <is>
          <t>N</t>
        </is>
      </c>
      <c r="O227" s="37">
        <f>IF($A227="","",AsOf-$H227)</f>
        <v/>
      </c>
      <c r="P227" s="37">
        <f>IF($A227="","",IF($K227="Y","-",IF($O227&gt;=30,"D+30 최종통지·선적보류",IF($O227&gt;=15,"D+15 단호한 통지",IF($O227&gt;=7,"D+7 친절한 리마인더",IF(AND($O227&gt;=-3,$O227&lt;=-1),"D-3 사전 안내","모니터링"))))))</f>
        <v/>
      </c>
      <c r="Q227" s="83">
        <f>IF($A227="","",EDATE($H227,1))</f>
        <v/>
      </c>
      <c r="R227" s="37">
        <f>IF($A227="","",$Q227-AsOf)</f>
        <v/>
      </c>
      <c r="S227" s="37">
        <f>IF($A227="","",IF(OR($K227="Y",$F227&lt;&gt;"Y",$O227&lt;=0),"",IF($R227&lt;0,"통지 기한 경과 — 즉시 확인",IF($R227&lt;=NoticeWarnDays,"통지 기한 임박 — 사람 결정",""))))</f>
        <v/>
      </c>
      <c r="T227" s="83">
        <f>IF(OR($A227="",$F227&lt;&gt;"Y"),"",IF(IF($L227="",InsuranceType,$L227)="포괄",DATE(YEAR($G227),MONTH($G227)+1,20),WORKDAY($G227,10)))</f>
        <v/>
      </c>
      <c r="U227" s="83">
        <f>IF(OR($A227="",$M227=""),"",WORKDAY($M227,10))</f>
        <v/>
      </c>
      <c r="V227" s="37">
        <f>IF($A227="","",IF($N227="Y","사기 의심: 콜백 검증 전 대금 안내 중단",""))</f>
        <v/>
      </c>
      <c r="W227" s="37">
        <f>IF($A227="","",IF(AND($K227="N",$D227&lt;&gt;"LC_SIGHT",$D227&lt;&gt;"LC_USANCE",$D227&lt;&gt;"TT_ADV"),$O227,""))</f>
        <v/>
      </c>
      <c r="X227" s="37">
        <f>IF($A227="",0,IF(AND($K227="N",$D227&lt;&gt;"LC_SIGHT",$D227&lt;&gt;"LC_USANCE",$D227&lt;&gt;"TT_ADV",$O227&gt;=30),1,0))</f>
        <v/>
      </c>
      <c r="Y227" s="37">
        <f>IF($A227="","",IF($O227&lt;=0,"미연체",IF($O227&lt;=30,"1-30",IF($O227&lt;=90,"31-90",IF($O227&lt;=180,"91-180",IF($O227&lt;=365,"181-365","365+"))))))</f>
        <v/>
      </c>
      <c r="Z227" s="37">
        <f>IF($S227="통지 기한 임박 — 사람 결정",COUNTIF($S$5:$S227,"통지 기한 임박 — 사람 결정"),"")</f>
        <v/>
      </c>
    </row>
    <row r="228">
      <c r="A228" t="inlineStr">
        <is>
          <t>INV-2608-0056</t>
        </is>
      </c>
      <c r="B228" t="inlineStr">
        <is>
          <t>B111</t>
        </is>
      </c>
      <c r="C228" t="inlineStr">
        <is>
          <t>TWN</t>
        </is>
      </c>
      <c r="D228" t="inlineStr">
        <is>
          <t>DA</t>
        </is>
      </c>
      <c r="E228" t="inlineStr">
        <is>
          <t>USD</t>
        </is>
      </c>
      <c r="F228" t="inlineStr">
        <is>
          <t>N</t>
        </is>
      </c>
      <c r="G228" s="32" t="n">
        <v>46246</v>
      </c>
      <c r="H228" s="32" t="n">
        <v>46336</v>
      </c>
      <c r="I228" s="82" t="n">
        <v>19000</v>
      </c>
      <c r="J228" s="82" t="n">
        <v>19000</v>
      </c>
      <c r="K228" t="inlineStr">
        <is>
          <t>N</t>
        </is>
      </c>
      <c r="N228" t="inlineStr">
        <is>
          <t>N</t>
        </is>
      </c>
      <c r="O228" s="37">
        <f>IF($A228="","",AsOf-$H228)</f>
        <v/>
      </c>
      <c r="P228" s="37">
        <f>IF($A228="","",IF($K228="Y","-",IF($O228&gt;=30,"D+30 최종통지·선적보류",IF($O228&gt;=15,"D+15 단호한 통지",IF($O228&gt;=7,"D+7 친절한 리마인더",IF(AND($O228&gt;=-3,$O228&lt;=-1),"D-3 사전 안내","모니터링"))))))</f>
        <v/>
      </c>
      <c r="Q228" s="83">
        <f>IF($A228="","",EDATE($H228,1))</f>
        <v/>
      </c>
      <c r="R228" s="37">
        <f>IF($A228="","",$Q228-AsOf)</f>
        <v/>
      </c>
      <c r="S228" s="37">
        <f>IF($A228="","",IF(OR($K228="Y",$F228&lt;&gt;"Y",$O228&lt;=0),"",IF($R228&lt;0,"통지 기한 경과 — 즉시 확인",IF($R228&lt;=NoticeWarnDays,"통지 기한 임박 — 사람 결정",""))))</f>
        <v/>
      </c>
      <c r="T228" s="83">
        <f>IF(OR($A228="",$F228&lt;&gt;"Y"),"",IF(IF($L228="",InsuranceType,$L228)="포괄",DATE(YEAR($G228),MONTH($G228)+1,20),WORKDAY($G228,10)))</f>
        <v/>
      </c>
      <c r="U228" s="83">
        <f>IF(OR($A228="",$M228=""),"",WORKDAY($M228,10))</f>
        <v/>
      </c>
      <c r="V228" s="37">
        <f>IF($A228="","",IF($N228="Y","사기 의심: 콜백 검증 전 대금 안내 중단",""))</f>
        <v/>
      </c>
      <c r="W228" s="37">
        <f>IF($A228="","",IF(AND($K228="N",$D228&lt;&gt;"LC_SIGHT",$D228&lt;&gt;"LC_USANCE",$D228&lt;&gt;"TT_ADV"),$O228,""))</f>
        <v/>
      </c>
      <c r="X228" s="37">
        <f>IF($A228="",0,IF(AND($K228="N",$D228&lt;&gt;"LC_SIGHT",$D228&lt;&gt;"LC_USANCE",$D228&lt;&gt;"TT_ADV",$O228&gt;=30),1,0))</f>
        <v/>
      </c>
      <c r="Y228" s="37">
        <f>IF($A228="","",IF($O228&lt;=0,"미연체",IF($O228&lt;=30,"1-30",IF($O228&lt;=90,"31-90",IF($O228&lt;=180,"91-180",IF($O228&lt;=365,"181-365","365+"))))))</f>
        <v/>
      </c>
      <c r="Z228" s="37">
        <f>IF($S228="통지 기한 임박 — 사람 결정",COUNTIF($S$5:$S228,"통지 기한 임박 — 사람 결정"),"")</f>
        <v/>
      </c>
    </row>
    <row r="229">
      <c r="A229" t="inlineStr">
        <is>
          <t>INV-2609-0020</t>
        </is>
      </c>
      <c r="B229" t="inlineStr">
        <is>
          <t>B111</t>
        </is>
      </c>
      <c r="C229" t="inlineStr">
        <is>
          <t>TWN</t>
        </is>
      </c>
      <c r="D229" t="inlineStr">
        <is>
          <t>DA</t>
        </is>
      </c>
      <c r="E229" t="inlineStr">
        <is>
          <t>USD</t>
        </is>
      </c>
      <c r="F229" t="inlineStr">
        <is>
          <t>N</t>
        </is>
      </c>
      <c r="G229" s="32" t="n">
        <v>46268</v>
      </c>
      <c r="H229" s="32" t="n">
        <v>46358</v>
      </c>
      <c r="I229" s="82" t="n">
        <v>1160</v>
      </c>
      <c r="J229" s="82" t="n">
        <v>1160</v>
      </c>
      <c r="K229" t="inlineStr">
        <is>
          <t>N</t>
        </is>
      </c>
      <c r="N229" t="inlineStr">
        <is>
          <t>N</t>
        </is>
      </c>
      <c r="O229" s="37">
        <f>IF($A229="","",AsOf-$H229)</f>
        <v/>
      </c>
      <c r="P229" s="37">
        <f>IF($A229="","",IF($K229="Y","-",IF($O229&gt;=30,"D+30 최종통지·선적보류",IF($O229&gt;=15,"D+15 단호한 통지",IF($O229&gt;=7,"D+7 친절한 리마인더",IF(AND($O229&gt;=-3,$O229&lt;=-1),"D-3 사전 안내","모니터링"))))))</f>
        <v/>
      </c>
      <c r="Q229" s="83">
        <f>IF($A229="","",EDATE($H229,1))</f>
        <v/>
      </c>
      <c r="R229" s="37">
        <f>IF($A229="","",$Q229-AsOf)</f>
        <v/>
      </c>
      <c r="S229" s="37">
        <f>IF($A229="","",IF(OR($K229="Y",$F229&lt;&gt;"Y",$O229&lt;=0),"",IF($R229&lt;0,"통지 기한 경과 — 즉시 확인",IF($R229&lt;=NoticeWarnDays,"통지 기한 임박 — 사람 결정",""))))</f>
        <v/>
      </c>
      <c r="T229" s="83">
        <f>IF(OR($A229="",$F229&lt;&gt;"Y"),"",IF(IF($L229="",InsuranceType,$L229)="포괄",DATE(YEAR($G229),MONTH($G229)+1,20),WORKDAY($G229,10)))</f>
        <v/>
      </c>
      <c r="U229" s="83">
        <f>IF(OR($A229="",$M229=""),"",WORKDAY($M229,10))</f>
        <v/>
      </c>
      <c r="V229" s="37">
        <f>IF($A229="","",IF($N229="Y","사기 의심: 콜백 검증 전 대금 안내 중단",""))</f>
        <v/>
      </c>
      <c r="W229" s="37">
        <f>IF($A229="","",IF(AND($K229="N",$D229&lt;&gt;"LC_SIGHT",$D229&lt;&gt;"LC_USANCE",$D229&lt;&gt;"TT_ADV"),$O229,""))</f>
        <v/>
      </c>
      <c r="X229" s="37">
        <f>IF($A229="",0,IF(AND($K229="N",$D229&lt;&gt;"LC_SIGHT",$D229&lt;&gt;"LC_USANCE",$D229&lt;&gt;"TT_ADV",$O229&gt;=30),1,0))</f>
        <v/>
      </c>
      <c r="Y229" s="37">
        <f>IF($A229="","",IF($O229&lt;=0,"미연체",IF($O229&lt;=30,"1-30",IF($O229&lt;=90,"31-90",IF($O229&lt;=180,"91-180",IF($O229&lt;=365,"181-365","365+"))))))</f>
        <v/>
      </c>
      <c r="Z229" s="37">
        <f>IF($S229="통지 기한 임박 — 사람 결정",COUNTIF($S$5:$S229,"통지 기한 임박 — 사람 결정"),"")</f>
        <v/>
      </c>
    </row>
    <row r="230">
      <c r="A230" t="inlineStr">
        <is>
          <t>INV-2607-0011</t>
        </is>
      </c>
      <c r="B230" t="inlineStr">
        <is>
          <t>B113</t>
        </is>
      </c>
      <c r="C230" t="inlineStr">
        <is>
          <t>JPN</t>
        </is>
      </c>
      <c r="D230" t="inlineStr">
        <is>
          <t>OA</t>
        </is>
      </c>
      <c r="E230" t="inlineStr">
        <is>
          <t>JPY</t>
        </is>
      </c>
      <c r="F230" t="inlineStr">
        <is>
          <t>Y</t>
        </is>
      </c>
      <c r="G230" s="32" t="n">
        <v>46206</v>
      </c>
      <c r="H230" s="32" t="n">
        <v>46296</v>
      </c>
      <c r="I230" s="82" t="n">
        <v>1203000</v>
      </c>
      <c r="J230" s="82" t="n">
        <v>7653.65</v>
      </c>
      <c r="K230" t="inlineStr">
        <is>
          <t>N</t>
        </is>
      </c>
      <c r="L230" t="inlineStr">
        <is>
          <t>개별</t>
        </is>
      </c>
      <c r="N230" t="inlineStr">
        <is>
          <t>N</t>
        </is>
      </c>
      <c r="O230" s="37">
        <f>IF($A230="","",AsOf-$H230)</f>
        <v/>
      </c>
      <c r="P230" s="37">
        <f>IF($A230="","",IF($K230="Y","-",IF($O230&gt;=30,"D+30 최종통지·선적보류",IF($O230&gt;=15,"D+15 단호한 통지",IF($O230&gt;=7,"D+7 친절한 리마인더",IF(AND($O230&gt;=-3,$O230&lt;=-1),"D-3 사전 안내","모니터링"))))))</f>
        <v/>
      </c>
      <c r="Q230" s="83">
        <f>IF($A230="","",EDATE($H230,1))</f>
        <v/>
      </c>
      <c r="R230" s="37">
        <f>IF($A230="","",$Q230-AsOf)</f>
        <v/>
      </c>
      <c r="S230" s="37">
        <f>IF($A230="","",IF(OR($K230="Y",$F230&lt;&gt;"Y",$O230&lt;=0),"",IF($R230&lt;0,"통지 기한 경과 — 즉시 확인",IF($R230&lt;=NoticeWarnDays,"통지 기한 임박 — 사람 결정",""))))</f>
        <v/>
      </c>
      <c r="T230" s="83">
        <f>IF(OR($A230="",$F230&lt;&gt;"Y"),"",IF(IF($L230="",InsuranceType,$L230)="포괄",DATE(YEAR($G230),MONTH($G230)+1,20),WORKDAY($G230,10)))</f>
        <v/>
      </c>
      <c r="U230" s="83">
        <f>IF(OR($A230="",$M230=""),"",WORKDAY($M230,10))</f>
        <v/>
      </c>
      <c r="V230" s="37">
        <f>IF($A230="","",IF($N230="Y","사기 의심: 콜백 검증 전 대금 안내 중단",""))</f>
        <v/>
      </c>
      <c r="W230" s="37">
        <f>IF($A230="","",IF(AND($K230="N",$D230&lt;&gt;"LC_SIGHT",$D230&lt;&gt;"LC_USANCE",$D230&lt;&gt;"TT_ADV"),$O230,""))</f>
        <v/>
      </c>
      <c r="X230" s="37">
        <f>IF($A230="",0,IF(AND($K230="N",$D230&lt;&gt;"LC_SIGHT",$D230&lt;&gt;"LC_USANCE",$D230&lt;&gt;"TT_ADV",$O230&gt;=30),1,0))</f>
        <v/>
      </c>
      <c r="Y230" s="37">
        <f>IF($A230="","",IF($O230&lt;=0,"미연체",IF($O230&lt;=30,"1-30",IF($O230&lt;=90,"31-90",IF($O230&lt;=180,"91-180",IF($O230&lt;=365,"181-365","365+"))))))</f>
        <v/>
      </c>
      <c r="Z230" s="37">
        <f>IF($S230="통지 기한 임박 — 사람 결정",COUNTIF($S$5:$S230,"통지 기한 임박 — 사람 결정"),"")</f>
        <v/>
      </c>
    </row>
    <row r="231">
      <c r="A231" t="inlineStr">
        <is>
          <t>INV-2607-0104</t>
        </is>
      </c>
      <c r="B231" t="inlineStr">
        <is>
          <t>B113</t>
        </is>
      </c>
      <c r="C231" t="inlineStr">
        <is>
          <t>JPN</t>
        </is>
      </c>
      <c r="D231" t="inlineStr">
        <is>
          <t>OA</t>
        </is>
      </c>
      <c r="E231" t="inlineStr">
        <is>
          <t>JPY</t>
        </is>
      </c>
      <c r="F231" t="inlineStr">
        <is>
          <t>Y</t>
        </is>
      </c>
      <c r="G231" s="32" t="n">
        <v>46221</v>
      </c>
      <c r="H231" s="32" t="n">
        <v>46311</v>
      </c>
      <c r="I231" s="82" t="n">
        <v>214000</v>
      </c>
      <c r="J231" s="82" t="n">
        <v>1361.5</v>
      </c>
      <c r="K231" t="inlineStr">
        <is>
          <t>N</t>
        </is>
      </c>
      <c r="L231" t="inlineStr">
        <is>
          <t>개별</t>
        </is>
      </c>
      <c r="N231" t="inlineStr">
        <is>
          <t>N</t>
        </is>
      </c>
      <c r="O231" s="37">
        <f>IF($A231="","",AsOf-$H231)</f>
        <v/>
      </c>
      <c r="P231" s="37">
        <f>IF($A231="","",IF($K231="Y","-",IF($O231&gt;=30,"D+30 최종통지·선적보류",IF($O231&gt;=15,"D+15 단호한 통지",IF($O231&gt;=7,"D+7 친절한 리마인더",IF(AND($O231&gt;=-3,$O231&lt;=-1),"D-3 사전 안내","모니터링"))))))</f>
        <v/>
      </c>
      <c r="Q231" s="83">
        <f>IF($A231="","",EDATE($H231,1))</f>
        <v/>
      </c>
      <c r="R231" s="37">
        <f>IF($A231="","",$Q231-AsOf)</f>
        <v/>
      </c>
      <c r="S231" s="37">
        <f>IF($A231="","",IF(OR($K231="Y",$F231&lt;&gt;"Y",$O231&lt;=0),"",IF($R231&lt;0,"통지 기한 경과 — 즉시 확인",IF($R231&lt;=NoticeWarnDays,"통지 기한 임박 — 사람 결정",""))))</f>
        <v/>
      </c>
      <c r="T231" s="83">
        <f>IF(OR($A231="",$F231&lt;&gt;"Y"),"",IF(IF($L231="",InsuranceType,$L231)="포괄",DATE(YEAR($G231),MONTH($G231)+1,20),WORKDAY($G231,10)))</f>
        <v/>
      </c>
      <c r="U231" s="83">
        <f>IF(OR($A231="",$M231=""),"",WORKDAY($M231,10))</f>
        <v/>
      </c>
      <c r="V231" s="37">
        <f>IF($A231="","",IF($N231="Y","사기 의심: 콜백 검증 전 대금 안내 중단",""))</f>
        <v/>
      </c>
      <c r="W231" s="37">
        <f>IF($A231="","",IF(AND($K231="N",$D231&lt;&gt;"LC_SIGHT",$D231&lt;&gt;"LC_USANCE",$D231&lt;&gt;"TT_ADV"),$O231,""))</f>
        <v/>
      </c>
      <c r="X231" s="37">
        <f>IF($A231="",0,IF(AND($K231="N",$D231&lt;&gt;"LC_SIGHT",$D231&lt;&gt;"LC_USANCE",$D231&lt;&gt;"TT_ADV",$O231&gt;=30),1,0))</f>
        <v/>
      </c>
      <c r="Y231" s="37">
        <f>IF($A231="","",IF($O231&lt;=0,"미연체",IF($O231&lt;=30,"1-30",IF($O231&lt;=90,"31-90",IF($O231&lt;=180,"91-180",IF($O231&lt;=365,"181-365","365+"))))))</f>
        <v/>
      </c>
      <c r="Z231" s="37">
        <f>IF($S231="통지 기한 임박 — 사람 결정",COUNTIF($S$5:$S231,"통지 기한 임박 — 사람 결정"),"")</f>
        <v/>
      </c>
    </row>
    <row r="232">
      <c r="A232" t="inlineStr">
        <is>
          <t>INV-2609-0115</t>
        </is>
      </c>
      <c r="B232" t="inlineStr">
        <is>
          <t>B115</t>
        </is>
      </c>
      <c r="C232" t="inlineStr">
        <is>
          <t>CHN</t>
        </is>
      </c>
      <c r="D232" t="inlineStr">
        <is>
          <t>DA</t>
        </is>
      </c>
      <c r="E232" t="inlineStr">
        <is>
          <t>CNY</t>
        </is>
      </c>
      <c r="F232" t="inlineStr">
        <is>
          <t>Y</t>
        </is>
      </c>
      <c r="G232" s="32" t="n">
        <v>46286</v>
      </c>
      <c r="H232" s="32" t="n">
        <v>46346</v>
      </c>
      <c r="I232" s="82" t="n">
        <v>77900</v>
      </c>
      <c r="J232" s="82" t="n">
        <v>11607.67</v>
      </c>
      <c r="K232" t="inlineStr">
        <is>
          <t>N</t>
        </is>
      </c>
      <c r="L232" t="inlineStr">
        <is>
          <t>개별</t>
        </is>
      </c>
      <c r="N232" t="inlineStr">
        <is>
          <t>N</t>
        </is>
      </c>
      <c r="O232" s="37">
        <f>IF($A232="","",AsOf-$H232)</f>
        <v/>
      </c>
      <c r="P232" s="37">
        <f>IF($A232="","",IF($K232="Y","-",IF($O232&gt;=30,"D+30 최종통지·선적보류",IF($O232&gt;=15,"D+15 단호한 통지",IF($O232&gt;=7,"D+7 친절한 리마인더",IF(AND($O232&gt;=-3,$O232&lt;=-1),"D-3 사전 안내","모니터링"))))))</f>
        <v/>
      </c>
      <c r="Q232" s="83">
        <f>IF($A232="","",EDATE($H232,1))</f>
        <v/>
      </c>
      <c r="R232" s="37">
        <f>IF($A232="","",$Q232-AsOf)</f>
        <v/>
      </c>
      <c r="S232" s="37">
        <f>IF($A232="","",IF(OR($K232="Y",$F232&lt;&gt;"Y",$O232&lt;=0),"",IF($R232&lt;0,"통지 기한 경과 — 즉시 확인",IF($R232&lt;=NoticeWarnDays,"통지 기한 임박 — 사람 결정",""))))</f>
        <v/>
      </c>
      <c r="T232" s="83">
        <f>IF(OR($A232="",$F232&lt;&gt;"Y"),"",IF(IF($L232="",InsuranceType,$L232)="포괄",DATE(YEAR($G232),MONTH($G232)+1,20),WORKDAY($G232,10)))</f>
        <v/>
      </c>
      <c r="U232" s="83">
        <f>IF(OR($A232="",$M232=""),"",WORKDAY($M232,10))</f>
        <v/>
      </c>
      <c r="V232" s="37">
        <f>IF($A232="","",IF($N232="Y","사기 의심: 콜백 검증 전 대금 안내 중단",""))</f>
        <v/>
      </c>
      <c r="W232" s="37">
        <f>IF($A232="","",IF(AND($K232="N",$D232&lt;&gt;"LC_SIGHT",$D232&lt;&gt;"LC_USANCE",$D232&lt;&gt;"TT_ADV"),$O232,""))</f>
        <v/>
      </c>
      <c r="X232" s="37">
        <f>IF($A232="",0,IF(AND($K232="N",$D232&lt;&gt;"LC_SIGHT",$D232&lt;&gt;"LC_USANCE",$D232&lt;&gt;"TT_ADV",$O232&gt;=30),1,0))</f>
        <v/>
      </c>
      <c r="Y232" s="37">
        <f>IF($A232="","",IF($O232&lt;=0,"미연체",IF($O232&lt;=30,"1-30",IF($O232&lt;=90,"31-90",IF($O232&lt;=180,"91-180",IF($O232&lt;=365,"181-365","365+"))))))</f>
        <v/>
      </c>
      <c r="Z232" s="37">
        <f>IF($S232="통지 기한 임박 — 사람 결정",COUNTIF($S$5:$S232,"통지 기한 임박 — 사람 결정"),"")</f>
        <v/>
      </c>
    </row>
    <row r="233">
      <c r="A233" t="inlineStr">
        <is>
          <t>INV-2609-0142</t>
        </is>
      </c>
      <c r="B233" t="inlineStr">
        <is>
          <t>B116</t>
        </is>
      </c>
      <c r="C233" t="inlineStr">
        <is>
          <t>GBR</t>
        </is>
      </c>
      <c r="D233" t="inlineStr">
        <is>
          <t>OA</t>
        </is>
      </c>
      <c r="E233" t="inlineStr">
        <is>
          <t>USD</t>
        </is>
      </c>
      <c r="F233" t="inlineStr">
        <is>
          <t>Y</t>
        </is>
      </c>
      <c r="G233" s="32" t="n">
        <v>46291</v>
      </c>
      <c r="H233" s="32" t="n">
        <v>46351</v>
      </c>
      <c r="I233" s="82" t="n">
        <v>1590</v>
      </c>
      <c r="J233" s="82" t="n">
        <v>1590</v>
      </c>
      <c r="K233" t="inlineStr">
        <is>
          <t>N</t>
        </is>
      </c>
      <c r="L233" t="inlineStr">
        <is>
          <t>개별</t>
        </is>
      </c>
      <c r="N233" t="inlineStr">
        <is>
          <t>N</t>
        </is>
      </c>
      <c r="O233" s="37">
        <f>IF($A233="","",AsOf-$H233)</f>
        <v/>
      </c>
      <c r="P233" s="37">
        <f>IF($A233="","",IF($K233="Y","-",IF($O233&gt;=30,"D+30 최종통지·선적보류",IF($O233&gt;=15,"D+15 단호한 통지",IF($O233&gt;=7,"D+7 친절한 리마인더",IF(AND($O233&gt;=-3,$O233&lt;=-1),"D-3 사전 안내","모니터링"))))))</f>
        <v/>
      </c>
      <c r="Q233" s="83">
        <f>IF($A233="","",EDATE($H233,1))</f>
        <v/>
      </c>
      <c r="R233" s="37">
        <f>IF($A233="","",$Q233-AsOf)</f>
        <v/>
      </c>
      <c r="S233" s="37">
        <f>IF($A233="","",IF(OR($K233="Y",$F233&lt;&gt;"Y",$O233&lt;=0),"",IF($R233&lt;0,"통지 기한 경과 — 즉시 확인",IF($R233&lt;=NoticeWarnDays,"통지 기한 임박 — 사람 결정",""))))</f>
        <v/>
      </c>
      <c r="T233" s="83">
        <f>IF(OR($A233="",$F233&lt;&gt;"Y"),"",IF(IF($L233="",InsuranceType,$L233)="포괄",DATE(YEAR($G233),MONTH($G233)+1,20),WORKDAY($G233,10)))</f>
        <v/>
      </c>
      <c r="U233" s="83">
        <f>IF(OR($A233="",$M233=""),"",WORKDAY($M233,10))</f>
        <v/>
      </c>
      <c r="V233" s="37">
        <f>IF($A233="","",IF($N233="Y","사기 의심: 콜백 검증 전 대금 안내 중단",""))</f>
        <v/>
      </c>
      <c r="W233" s="37">
        <f>IF($A233="","",IF(AND($K233="N",$D233&lt;&gt;"LC_SIGHT",$D233&lt;&gt;"LC_USANCE",$D233&lt;&gt;"TT_ADV"),$O233,""))</f>
        <v/>
      </c>
      <c r="X233" s="37">
        <f>IF($A233="",0,IF(AND($K233="N",$D233&lt;&gt;"LC_SIGHT",$D233&lt;&gt;"LC_USANCE",$D233&lt;&gt;"TT_ADV",$O233&gt;=30),1,0))</f>
        <v/>
      </c>
      <c r="Y233" s="37">
        <f>IF($A233="","",IF($O233&lt;=0,"미연체",IF($O233&lt;=30,"1-30",IF($O233&lt;=90,"31-90",IF($O233&lt;=180,"91-180",IF($O233&lt;=365,"181-365","365+"))))))</f>
        <v/>
      </c>
      <c r="Z233" s="37">
        <f>IF($S233="통지 기한 임박 — 사람 결정",COUNTIF($S$5:$S233,"통지 기한 임박 — 사람 결정"),"")</f>
        <v/>
      </c>
    </row>
    <row r="234">
      <c r="A234" t="inlineStr">
        <is>
          <t>INV-2609-0021</t>
        </is>
      </c>
      <c r="B234" t="inlineStr">
        <is>
          <t>B117</t>
        </is>
      </c>
      <c r="C234" t="inlineStr">
        <is>
          <t>CHN</t>
        </is>
      </c>
      <c r="D234" t="inlineStr">
        <is>
          <t>OA</t>
        </is>
      </c>
      <c r="E234" t="inlineStr">
        <is>
          <t>USD</t>
        </is>
      </c>
      <c r="F234" t="inlineStr">
        <is>
          <t>Y</t>
        </is>
      </c>
      <c r="G234" s="32" t="n">
        <v>46268</v>
      </c>
      <c r="H234" s="32" t="n">
        <v>46298</v>
      </c>
      <c r="I234" s="82" t="n">
        <v>13050</v>
      </c>
      <c r="J234" s="82" t="n">
        <v>13050</v>
      </c>
      <c r="K234" t="inlineStr">
        <is>
          <t>N</t>
        </is>
      </c>
      <c r="L234" t="inlineStr">
        <is>
          <t>개별</t>
        </is>
      </c>
      <c r="N234" t="inlineStr">
        <is>
          <t>N</t>
        </is>
      </c>
      <c r="O234" s="37">
        <f>IF($A234="","",AsOf-$H234)</f>
        <v/>
      </c>
      <c r="P234" s="37">
        <f>IF($A234="","",IF($K234="Y","-",IF($O234&gt;=30,"D+30 최종통지·선적보류",IF($O234&gt;=15,"D+15 단호한 통지",IF($O234&gt;=7,"D+7 친절한 리마인더",IF(AND($O234&gt;=-3,$O234&lt;=-1),"D-3 사전 안내","모니터링"))))))</f>
        <v/>
      </c>
      <c r="Q234" s="83">
        <f>IF($A234="","",EDATE($H234,1))</f>
        <v/>
      </c>
      <c r="R234" s="37">
        <f>IF($A234="","",$Q234-AsOf)</f>
        <v/>
      </c>
      <c r="S234" s="37">
        <f>IF($A234="","",IF(OR($K234="Y",$F234&lt;&gt;"Y",$O234&lt;=0),"",IF($R234&lt;0,"통지 기한 경과 — 즉시 확인",IF($R234&lt;=NoticeWarnDays,"통지 기한 임박 — 사람 결정",""))))</f>
        <v/>
      </c>
      <c r="T234" s="83">
        <f>IF(OR($A234="",$F234&lt;&gt;"Y"),"",IF(IF($L234="",InsuranceType,$L234)="포괄",DATE(YEAR($G234),MONTH($G234)+1,20),WORKDAY($G234,10)))</f>
        <v/>
      </c>
      <c r="U234" s="83">
        <f>IF(OR($A234="",$M234=""),"",WORKDAY($M234,10))</f>
        <v/>
      </c>
      <c r="V234" s="37">
        <f>IF($A234="","",IF($N234="Y","사기 의심: 콜백 검증 전 대금 안내 중단",""))</f>
        <v/>
      </c>
      <c r="W234" s="37">
        <f>IF($A234="","",IF(AND($K234="N",$D234&lt;&gt;"LC_SIGHT",$D234&lt;&gt;"LC_USANCE",$D234&lt;&gt;"TT_ADV"),$O234,""))</f>
        <v/>
      </c>
      <c r="X234" s="37">
        <f>IF($A234="",0,IF(AND($K234="N",$D234&lt;&gt;"LC_SIGHT",$D234&lt;&gt;"LC_USANCE",$D234&lt;&gt;"TT_ADV",$O234&gt;=30),1,0))</f>
        <v/>
      </c>
      <c r="Y234" s="37">
        <f>IF($A234="","",IF($O234&lt;=0,"미연체",IF($O234&lt;=30,"1-30",IF($O234&lt;=90,"31-90",IF($O234&lt;=180,"91-180",IF($O234&lt;=365,"181-365","365+"))))))</f>
        <v/>
      </c>
      <c r="Z234" s="37">
        <f>IF($S234="통지 기한 임박 — 사람 결정",COUNTIF($S$5:$S234,"통지 기한 임박 — 사람 결정"),"")</f>
        <v/>
      </c>
    </row>
    <row r="235">
      <c r="A235" t="inlineStr">
        <is>
          <t>INV-2606-0022</t>
        </is>
      </c>
      <c r="B235" t="inlineStr">
        <is>
          <t>B118</t>
        </is>
      </c>
      <c r="C235" t="inlineStr">
        <is>
          <t>USA</t>
        </is>
      </c>
      <c r="D235" t="inlineStr">
        <is>
          <t>DA</t>
        </is>
      </c>
      <c r="E235" t="inlineStr">
        <is>
          <t>USD</t>
        </is>
      </c>
      <c r="F235" t="inlineStr">
        <is>
          <t>Y</t>
        </is>
      </c>
      <c r="G235" s="32" t="n">
        <v>46178</v>
      </c>
      <c r="H235" s="32" t="n">
        <v>46268</v>
      </c>
      <c r="I235" s="82" t="n">
        <v>20060</v>
      </c>
      <c r="J235" s="82" t="n">
        <v>20060</v>
      </c>
      <c r="K235" t="inlineStr">
        <is>
          <t>N</t>
        </is>
      </c>
      <c r="L235" t="inlineStr">
        <is>
          <t>개별</t>
        </is>
      </c>
      <c r="N235" t="inlineStr">
        <is>
          <t>N</t>
        </is>
      </c>
      <c r="O235" s="37">
        <f>IF($A235="","",AsOf-$H235)</f>
        <v/>
      </c>
      <c r="P235" s="37">
        <f>IF($A235="","",IF($K235="Y","-",IF($O235&gt;=30,"D+30 최종통지·선적보류",IF($O235&gt;=15,"D+15 단호한 통지",IF($O235&gt;=7,"D+7 친절한 리마인더",IF(AND($O235&gt;=-3,$O235&lt;=-1),"D-3 사전 안내","모니터링"))))))</f>
        <v/>
      </c>
      <c r="Q235" s="83">
        <f>IF($A235="","",EDATE($H235,1))</f>
        <v/>
      </c>
      <c r="R235" s="37">
        <f>IF($A235="","",$Q235-AsOf)</f>
        <v/>
      </c>
      <c r="S235" s="37">
        <f>IF($A235="","",IF(OR($K235="Y",$F235&lt;&gt;"Y",$O235&lt;=0),"",IF($R235&lt;0,"통지 기한 경과 — 즉시 확인",IF($R235&lt;=NoticeWarnDays,"통지 기한 임박 — 사람 결정",""))))</f>
        <v/>
      </c>
      <c r="T235" s="83">
        <f>IF(OR($A235="",$F235&lt;&gt;"Y"),"",IF(IF($L235="",InsuranceType,$L235)="포괄",DATE(YEAR($G235),MONTH($G235)+1,20),WORKDAY($G235,10)))</f>
        <v/>
      </c>
      <c r="U235" s="83">
        <f>IF(OR($A235="",$M235=""),"",WORKDAY($M235,10))</f>
        <v/>
      </c>
      <c r="V235" s="37">
        <f>IF($A235="","",IF($N235="Y","사기 의심: 콜백 검증 전 대금 안내 중단",""))</f>
        <v/>
      </c>
      <c r="W235" s="37">
        <f>IF($A235="","",IF(AND($K235="N",$D235&lt;&gt;"LC_SIGHT",$D235&lt;&gt;"LC_USANCE",$D235&lt;&gt;"TT_ADV"),$O235,""))</f>
        <v/>
      </c>
      <c r="X235" s="37">
        <f>IF($A235="",0,IF(AND($K235="N",$D235&lt;&gt;"LC_SIGHT",$D235&lt;&gt;"LC_USANCE",$D235&lt;&gt;"TT_ADV",$O235&gt;=30),1,0))</f>
        <v/>
      </c>
      <c r="Y235" s="37">
        <f>IF($A235="","",IF($O235&lt;=0,"미연체",IF($O235&lt;=30,"1-30",IF($O235&lt;=90,"31-90",IF($O235&lt;=180,"91-180",IF($O235&lt;=365,"181-365","365+"))))))</f>
        <v/>
      </c>
      <c r="Z235" s="37">
        <f>IF($S235="통지 기한 임박 — 사람 결정",COUNTIF($S$5:$S235,"통지 기한 임박 — 사람 결정"),"")</f>
        <v/>
      </c>
    </row>
    <row r="236">
      <c r="A236" t="inlineStr">
        <is>
          <t>INV-2608-0101</t>
        </is>
      </c>
      <c r="B236" t="inlineStr">
        <is>
          <t>B119</t>
        </is>
      </c>
      <c r="C236" t="inlineStr">
        <is>
          <t>IND</t>
        </is>
      </c>
      <c r="D236" t="inlineStr">
        <is>
          <t>OA</t>
        </is>
      </c>
      <c r="E236" t="inlineStr">
        <is>
          <t>USD</t>
        </is>
      </c>
      <c r="F236" t="inlineStr">
        <is>
          <t>Y</t>
        </is>
      </c>
      <c r="G236" s="32" t="n">
        <v>46255</v>
      </c>
      <c r="H236" s="32" t="n">
        <v>46285</v>
      </c>
      <c r="I236" s="82" t="n">
        <v>21910</v>
      </c>
      <c r="J236" s="82" t="n">
        <v>21910</v>
      </c>
      <c r="K236" t="inlineStr">
        <is>
          <t>N</t>
        </is>
      </c>
      <c r="L236" t="inlineStr">
        <is>
          <t>개별</t>
        </is>
      </c>
      <c r="N236" t="inlineStr">
        <is>
          <t>N</t>
        </is>
      </c>
      <c r="O236" s="37">
        <f>IF($A236="","",AsOf-$H236)</f>
        <v/>
      </c>
      <c r="P236" s="37">
        <f>IF($A236="","",IF($K236="Y","-",IF($O236&gt;=30,"D+30 최종통지·선적보류",IF($O236&gt;=15,"D+15 단호한 통지",IF($O236&gt;=7,"D+7 친절한 리마인더",IF(AND($O236&gt;=-3,$O236&lt;=-1),"D-3 사전 안내","모니터링"))))))</f>
        <v/>
      </c>
      <c r="Q236" s="83">
        <f>IF($A236="","",EDATE($H236,1))</f>
        <v/>
      </c>
      <c r="R236" s="37">
        <f>IF($A236="","",$Q236-AsOf)</f>
        <v/>
      </c>
      <c r="S236" s="37">
        <f>IF($A236="","",IF(OR($K236="Y",$F236&lt;&gt;"Y",$O236&lt;=0),"",IF($R236&lt;0,"통지 기한 경과 — 즉시 확인",IF($R236&lt;=NoticeWarnDays,"통지 기한 임박 — 사람 결정",""))))</f>
        <v/>
      </c>
      <c r="T236" s="83">
        <f>IF(OR($A236="",$F236&lt;&gt;"Y"),"",IF(IF($L236="",InsuranceType,$L236)="포괄",DATE(YEAR($G236),MONTH($G236)+1,20),WORKDAY($G236,10)))</f>
        <v/>
      </c>
      <c r="U236" s="83">
        <f>IF(OR($A236="",$M236=""),"",WORKDAY($M236,10))</f>
        <v/>
      </c>
      <c r="V236" s="37">
        <f>IF($A236="","",IF($N236="Y","사기 의심: 콜백 검증 전 대금 안내 중단",""))</f>
        <v/>
      </c>
      <c r="W236" s="37">
        <f>IF($A236="","",IF(AND($K236="N",$D236&lt;&gt;"LC_SIGHT",$D236&lt;&gt;"LC_USANCE",$D236&lt;&gt;"TT_ADV"),$O236,""))</f>
        <v/>
      </c>
      <c r="X236" s="37">
        <f>IF($A236="",0,IF(AND($K236="N",$D236&lt;&gt;"LC_SIGHT",$D236&lt;&gt;"LC_USANCE",$D236&lt;&gt;"TT_ADV",$O236&gt;=30),1,0))</f>
        <v/>
      </c>
      <c r="Y236" s="37">
        <f>IF($A236="","",IF($O236&lt;=0,"미연체",IF($O236&lt;=30,"1-30",IF($O236&lt;=90,"31-90",IF($O236&lt;=180,"91-180",IF($O236&lt;=365,"181-365","365+"))))))</f>
        <v/>
      </c>
      <c r="Z236" s="37">
        <f>IF($S236="통지 기한 임박 — 사람 결정",COUNTIF($S$5:$S236,"통지 기한 임박 — 사람 결정"),"")</f>
        <v/>
      </c>
    </row>
    <row r="237">
      <c r="A237" t="inlineStr">
        <is>
          <t>INV-2607-0026</t>
        </is>
      </c>
      <c r="B237" t="inlineStr">
        <is>
          <t>B119</t>
        </is>
      </c>
      <c r="C237" t="inlineStr">
        <is>
          <t>IND</t>
        </is>
      </c>
      <c r="D237" t="inlineStr">
        <is>
          <t>DA</t>
        </is>
      </c>
      <c r="E237" t="inlineStr">
        <is>
          <t>USD</t>
        </is>
      </c>
      <c r="F237" t="inlineStr">
        <is>
          <t>Y</t>
        </is>
      </c>
      <c r="G237" s="32" t="n">
        <v>46208</v>
      </c>
      <c r="H237" s="32" t="n">
        <v>46298</v>
      </c>
      <c r="I237" s="82" t="n">
        <v>13100</v>
      </c>
      <c r="J237" s="82" t="n">
        <v>13100</v>
      </c>
      <c r="K237" t="inlineStr">
        <is>
          <t>N</t>
        </is>
      </c>
      <c r="L237" t="inlineStr">
        <is>
          <t>개별</t>
        </is>
      </c>
      <c r="N237" t="inlineStr">
        <is>
          <t>N</t>
        </is>
      </c>
      <c r="O237" s="37">
        <f>IF($A237="","",AsOf-$H237)</f>
        <v/>
      </c>
      <c r="P237" s="37">
        <f>IF($A237="","",IF($K237="Y","-",IF($O237&gt;=30,"D+30 최종통지·선적보류",IF($O237&gt;=15,"D+15 단호한 통지",IF($O237&gt;=7,"D+7 친절한 리마인더",IF(AND($O237&gt;=-3,$O237&lt;=-1),"D-3 사전 안내","모니터링"))))))</f>
        <v/>
      </c>
      <c r="Q237" s="83">
        <f>IF($A237="","",EDATE($H237,1))</f>
        <v/>
      </c>
      <c r="R237" s="37">
        <f>IF($A237="","",$Q237-AsOf)</f>
        <v/>
      </c>
      <c r="S237" s="37">
        <f>IF($A237="","",IF(OR($K237="Y",$F237&lt;&gt;"Y",$O237&lt;=0),"",IF($R237&lt;0,"통지 기한 경과 — 즉시 확인",IF($R237&lt;=NoticeWarnDays,"통지 기한 임박 — 사람 결정",""))))</f>
        <v/>
      </c>
      <c r="T237" s="83">
        <f>IF(OR($A237="",$F237&lt;&gt;"Y"),"",IF(IF($L237="",InsuranceType,$L237)="포괄",DATE(YEAR($G237),MONTH($G237)+1,20),WORKDAY($G237,10)))</f>
        <v/>
      </c>
      <c r="U237" s="83">
        <f>IF(OR($A237="",$M237=""),"",WORKDAY($M237,10))</f>
        <v/>
      </c>
      <c r="V237" s="37">
        <f>IF($A237="","",IF($N237="Y","사기 의심: 콜백 검증 전 대금 안내 중단",""))</f>
        <v/>
      </c>
      <c r="W237" s="37">
        <f>IF($A237="","",IF(AND($K237="N",$D237&lt;&gt;"LC_SIGHT",$D237&lt;&gt;"LC_USANCE",$D237&lt;&gt;"TT_ADV"),$O237,""))</f>
        <v/>
      </c>
      <c r="X237" s="37">
        <f>IF($A237="",0,IF(AND($K237="N",$D237&lt;&gt;"LC_SIGHT",$D237&lt;&gt;"LC_USANCE",$D237&lt;&gt;"TT_ADV",$O237&gt;=30),1,0))</f>
        <v/>
      </c>
      <c r="Y237" s="37">
        <f>IF($A237="","",IF($O237&lt;=0,"미연체",IF($O237&lt;=30,"1-30",IF($O237&lt;=90,"31-90",IF($O237&lt;=180,"91-180",IF($O237&lt;=365,"181-365","365+"))))))</f>
        <v/>
      </c>
      <c r="Z237" s="37">
        <f>IF($S237="통지 기한 임박 — 사람 결정",COUNTIF($S$5:$S237,"통지 기한 임박 — 사람 결정"),"")</f>
        <v/>
      </c>
    </row>
    <row r="238">
      <c r="A238" t="inlineStr">
        <is>
          <t>INV-2608-0030</t>
        </is>
      </c>
      <c r="B238" t="inlineStr">
        <is>
          <t>B119</t>
        </is>
      </c>
      <c r="C238" t="inlineStr">
        <is>
          <t>IND</t>
        </is>
      </c>
      <c r="D238" t="inlineStr">
        <is>
          <t>DA</t>
        </is>
      </c>
      <c r="E238" t="inlineStr">
        <is>
          <t>USD</t>
        </is>
      </c>
      <c r="F238" t="inlineStr">
        <is>
          <t>Y</t>
        </is>
      </c>
      <c r="G238" s="32" t="n">
        <v>46241</v>
      </c>
      <c r="H238" s="32" t="n">
        <v>46331</v>
      </c>
      <c r="I238" s="82" t="n">
        <v>9720</v>
      </c>
      <c r="J238" s="82" t="n">
        <v>9720</v>
      </c>
      <c r="K238" t="inlineStr">
        <is>
          <t>N</t>
        </is>
      </c>
      <c r="L238" t="inlineStr">
        <is>
          <t>개별</t>
        </is>
      </c>
      <c r="N238" t="inlineStr">
        <is>
          <t>N</t>
        </is>
      </c>
      <c r="O238" s="37">
        <f>IF($A238="","",AsOf-$H238)</f>
        <v/>
      </c>
      <c r="P238" s="37">
        <f>IF($A238="","",IF($K238="Y","-",IF($O238&gt;=30,"D+30 최종통지·선적보류",IF($O238&gt;=15,"D+15 단호한 통지",IF($O238&gt;=7,"D+7 친절한 리마인더",IF(AND($O238&gt;=-3,$O238&lt;=-1),"D-3 사전 안내","모니터링"))))))</f>
        <v/>
      </c>
      <c r="Q238" s="83">
        <f>IF($A238="","",EDATE($H238,1))</f>
        <v/>
      </c>
      <c r="R238" s="37">
        <f>IF($A238="","",$Q238-AsOf)</f>
        <v/>
      </c>
      <c r="S238" s="37">
        <f>IF($A238="","",IF(OR($K238="Y",$F238&lt;&gt;"Y",$O238&lt;=0),"",IF($R238&lt;0,"통지 기한 경과 — 즉시 확인",IF($R238&lt;=NoticeWarnDays,"통지 기한 임박 — 사람 결정",""))))</f>
        <v/>
      </c>
      <c r="T238" s="83">
        <f>IF(OR($A238="",$F238&lt;&gt;"Y"),"",IF(IF($L238="",InsuranceType,$L238)="포괄",DATE(YEAR($G238),MONTH($G238)+1,20),WORKDAY($G238,10)))</f>
        <v/>
      </c>
      <c r="U238" s="83">
        <f>IF(OR($A238="",$M238=""),"",WORKDAY($M238,10))</f>
        <v/>
      </c>
      <c r="V238" s="37">
        <f>IF($A238="","",IF($N238="Y","사기 의심: 콜백 검증 전 대금 안내 중단",""))</f>
        <v/>
      </c>
      <c r="W238" s="37">
        <f>IF($A238="","",IF(AND($K238="N",$D238&lt;&gt;"LC_SIGHT",$D238&lt;&gt;"LC_USANCE",$D238&lt;&gt;"TT_ADV"),$O238,""))</f>
        <v/>
      </c>
      <c r="X238" s="37">
        <f>IF($A238="",0,IF(AND($K238="N",$D238&lt;&gt;"LC_SIGHT",$D238&lt;&gt;"LC_USANCE",$D238&lt;&gt;"TT_ADV",$O238&gt;=30),1,0))</f>
        <v/>
      </c>
      <c r="Y238" s="37">
        <f>IF($A238="","",IF($O238&lt;=0,"미연체",IF($O238&lt;=30,"1-30",IF($O238&lt;=90,"31-90",IF($O238&lt;=180,"91-180",IF($O238&lt;=365,"181-365","365+"))))))</f>
        <v/>
      </c>
      <c r="Z238" s="37">
        <f>IF($S238="통지 기한 임박 — 사람 결정",COUNTIF($S$5:$S238,"통지 기한 임박 — 사람 결정"),"")</f>
        <v/>
      </c>
    </row>
    <row r="239">
      <c r="A239" t="inlineStr">
        <is>
          <t>INV-2609-0122</t>
        </is>
      </c>
      <c r="B239" t="inlineStr">
        <is>
          <t>B119</t>
        </is>
      </c>
      <c r="C239" t="inlineStr">
        <is>
          <t>IND</t>
        </is>
      </c>
      <c r="D239" t="inlineStr">
        <is>
          <t>DA</t>
        </is>
      </c>
      <c r="E239" t="inlineStr">
        <is>
          <t>USD</t>
        </is>
      </c>
      <c r="F239" t="inlineStr">
        <is>
          <t>Y</t>
        </is>
      </c>
      <c r="G239" s="32" t="n">
        <v>46288</v>
      </c>
      <c r="H239" s="32" t="n">
        <v>46378</v>
      </c>
      <c r="I239" s="82" t="n">
        <v>4050</v>
      </c>
      <c r="J239" s="82" t="n">
        <v>4050</v>
      </c>
      <c r="K239" t="inlineStr">
        <is>
          <t>N</t>
        </is>
      </c>
      <c r="L239" t="inlineStr">
        <is>
          <t>개별</t>
        </is>
      </c>
      <c r="N239" t="inlineStr">
        <is>
          <t>N</t>
        </is>
      </c>
      <c r="O239" s="37">
        <f>IF($A239="","",AsOf-$H239)</f>
        <v/>
      </c>
      <c r="P239" s="37">
        <f>IF($A239="","",IF($K239="Y","-",IF($O239&gt;=30,"D+30 최종통지·선적보류",IF($O239&gt;=15,"D+15 단호한 통지",IF($O239&gt;=7,"D+7 친절한 리마인더",IF(AND($O239&gt;=-3,$O239&lt;=-1),"D-3 사전 안내","모니터링"))))))</f>
        <v/>
      </c>
      <c r="Q239" s="83">
        <f>IF($A239="","",EDATE($H239,1))</f>
        <v/>
      </c>
      <c r="R239" s="37">
        <f>IF($A239="","",$Q239-AsOf)</f>
        <v/>
      </c>
      <c r="S239" s="37">
        <f>IF($A239="","",IF(OR($K239="Y",$F239&lt;&gt;"Y",$O239&lt;=0),"",IF($R239&lt;0,"통지 기한 경과 — 즉시 확인",IF($R239&lt;=NoticeWarnDays,"통지 기한 임박 — 사람 결정",""))))</f>
        <v/>
      </c>
      <c r="T239" s="83">
        <f>IF(OR($A239="",$F239&lt;&gt;"Y"),"",IF(IF($L239="",InsuranceType,$L239)="포괄",DATE(YEAR($G239),MONTH($G239)+1,20),WORKDAY($G239,10)))</f>
        <v/>
      </c>
      <c r="U239" s="83">
        <f>IF(OR($A239="",$M239=""),"",WORKDAY($M239,10))</f>
        <v/>
      </c>
      <c r="V239" s="37">
        <f>IF($A239="","",IF($N239="Y","사기 의심: 콜백 검증 전 대금 안내 중단",""))</f>
        <v/>
      </c>
      <c r="W239" s="37">
        <f>IF($A239="","",IF(AND($K239="N",$D239&lt;&gt;"LC_SIGHT",$D239&lt;&gt;"LC_USANCE",$D239&lt;&gt;"TT_ADV"),$O239,""))</f>
        <v/>
      </c>
      <c r="X239" s="37">
        <f>IF($A239="",0,IF(AND($K239="N",$D239&lt;&gt;"LC_SIGHT",$D239&lt;&gt;"LC_USANCE",$D239&lt;&gt;"TT_ADV",$O239&gt;=30),1,0))</f>
        <v/>
      </c>
      <c r="Y239" s="37">
        <f>IF($A239="","",IF($O239&lt;=0,"미연체",IF($O239&lt;=30,"1-30",IF($O239&lt;=90,"31-90",IF($O239&lt;=180,"91-180",IF($O239&lt;=365,"181-365","365+"))))))</f>
        <v/>
      </c>
      <c r="Z239" s="37">
        <f>IF($S239="통지 기한 임박 — 사람 결정",COUNTIF($S$5:$S239,"통지 기한 임박 — 사람 결정"),"")</f>
        <v/>
      </c>
    </row>
    <row r="240">
      <c r="A240" t="inlineStr">
        <is>
          <t>INV-2608-0109</t>
        </is>
      </c>
      <c r="B240" t="inlineStr">
        <is>
          <t>B120</t>
        </is>
      </c>
      <c r="C240" t="inlineStr">
        <is>
          <t>JPN</t>
        </is>
      </c>
      <c r="D240" t="inlineStr">
        <is>
          <t>OA</t>
        </is>
      </c>
      <c r="E240" t="inlineStr">
        <is>
          <t>JPY</t>
        </is>
      </c>
      <c r="F240" t="inlineStr">
        <is>
          <t>N</t>
        </is>
      </c>
      <c r="G240" s="32" t="n">
        <v>46256</v>
      </c>
      <c r="H240" s="32" t="n">
        <v>46316</v>
      </c>
      <c r="I240" s="82" t="n">
        <v>1369000</v>
      </c>
      <c r="J240" s="82" t="n">
        <v>8709.76</v>
      </c>
      <c r="K240" t="inlineStr">
        <is>
          <t>N</t>
        </is>
      </c>
      <c r="N240" t="inlineStr">
        <is>
          <t>N</t>
        </is>
      </c>
      <c r="O240" s="37">
        <f>IF($A240="","",AsOf-$H240)</f>
        <v/>
      </c>
      <c r="P240" s="37">
        <f>IF($A240="","",IF($K240="Y","-",IF($O240&gt;=30,"D+30 최종통지·선적보류",IF($O240&gt;=15,"D+15 단호한 통지",IF($O240&gt;=7,"D+7 친절한 리마인더",IF(AND($O240&gt;=-3,$O240&lt;=-1),"D-3 사전 안내","모니터링"))))))</f>
        <v/>
      </c>
      <c r="Q240" s="83">
        <f>IF($A240="","",EDATE($H240,1))</f>
        <v/>
      </c>
      <c r="R240" s="37">
        <f>IF($A240="","",$Q240-AsOf)</f>
        <v/>
      </c>
      <c r="S240" s="37">
        <f>IF($A240="","",IF(OR($K240="Y",$F240&lt;&gt;"Y",$O240&lt;=0),"",IF($R240&lt;0,"통지 기한 경과 — 즉시 확인",IF($R240&lt;=NoticeWarnDays,"통지 기한 임박 — 사람 결정",""))))</f>
        <v/>
      </c>
      <c r="T240" s="83">
        <f>IF(OR($A240="",$F240&lt;&gt;"Y"),"",IF(IF($L240="",InsuranceType,$L240)="포괄",DATE(YEAR($G240),MONTH($G240)+1,20),WORKDAY($G240,10)))</f>
        <v/>
      </c>
      <c r="U240" s="83">
        <f>IF(OR($A240="",$M240=""),"",WORKDAY($M240,10))</f>
        <v/>
      </c>
      <c r="V240" s="37">
        <f>IF($A240="","",IF($N240="Y","사기 의심: 콜백 검증 전 대금 안내 중단",""))</f>
        <v/>
      </c>
      <c r="W240" s="37">
        <f>IF($A240="","",IF(AND($K240="N",$D240&lt;&gt;"LC_SIGHT",$D240&lt;&gt;"LC_USANCE",$D240&lt;&gt;"TT_ADV"),$O240,""))</f>
        <v/>
      </c>
      <c r="X240" s="37">
        <f>IF($A240="",0,IF(AND($K240="N",$D240&lt;&gt;"LC_SIGHT",$D240&lt;&gt;"LC_USANCE",$D240&lt;&gt;"TT_ADV",$O240&gt;=30),1,0))</f>
        <v/>
      </c>
      <c r="Y240" s="37">
        <f>IF($A240="","",IF($O240&lt;=0,"미연체",IF($O240&lt;=30,"1-30",IF($O240&lt;=90,"31-90",IF($O240&lt;=180,"91-180",IF($O240&lt;=365,"181-365","365+"))))))</f>
        <v/>
      </c>
      <c r="Z240" s="37">
        <f>IF($S240="통지 기한 임박 — 사람 결정",COUNTIF($S$5:$S240,"통지 기한 임박 — 사람 결정"),"")</f>
        <v/>
      </c>
    </row>
    <row r="241">
      <c r="A241" t="inlineStr">
        <is>
          <t>INV-2609-0066</t>
        </is>
      </c>
      <c r="B241" t="inlineStr">
        <is>
          <t>B120</t>
        </is>
      </c>
      <c r="C241" t="inlineStr">
        <is>
          <t>JPN</t>
        </is>
      </c>
      <c r="D241" t="inlineStr">
        <is>
          <t>OA</t>
        </is>
      </c>
      <c r="E241" t="inlineStr">
        <is>
          <t>JPY</t>
        </is>
      </c>
      <c r="F241" t="inlineStr">
        <is>
          <t>N</t>
        </is>
      </c>
      <c r="G241" s="32" t="n">
        <v>46277</v>
      </c>
      <c r="H241" s="32" t="n">
        <v>46337</v>
      </c>
      <c r="I241" s="82" t="n">
        <v>436000</v>
      </c>
      <c r="J241" s="82" t="n">
        <v>2773.89</v>
      </c>
      <c r="K241" t="inlineStr">
        <is>
          <t>N</t>
        </is>
      </c>
      <c r="N241" t="inlineStr">
        <is>
          <t>N</t>
        </is>
      </c>
      <c r="O241" s="37">
        <f>IF($A241="","",AsOf-$H241)</f>
        <v/>
      </c>
      <c r="P241" s="37">
        <f>IF($A241="","",IF($K241="Y","-",IF($O241&gt;=30,"D+30 최종통지·선적보류",IF($O241&gt;=15,"D+15 단호한 통지",IF($O241&gt;=7,"D+7 친절한 리마인더",IF(AND($O241&gt;=-3,$O241&lt;=-1),"D-3 사전 안내","모니터링"))))))</f>
        <v/>
      </c>
      <c r="Q241" s="83">
        <f>IF($A241="","",EDATE($H241,1))</f>
        <v/>
      </c>
      <c r="R241" s="37">
        <f>IF($A241="","",$Q241-AsOf)</f>
        <v/>
      </c>
      <c r="S241" s="37">
        <f>IF($A241="","",IF(OR($K241="Y",$F241&lt;&gt;"Y",$O241&lt;=0),"",IF($R241&lt;0,"통지 기한 경과 — 즉시 확인",IF($R241&lt;=NoticeWarnDays,"통지 기한 임박 — 사람 결정",""))))</f>
        <v/>
      </c>
      <c r="T241" s="83">
        <f>IF(OR($A241="",$F241&lt;&gt;"Y"),"",IF(IF($L241="",InsuranceType,$L241)="포괄",DATE(YEAR($G241),MONTH($G241)+1,20),WORKDAY($G241,10)))</f>
        <v/>
      </c>
      <c r="U241" s="83">
        <f>IF(OR($A241="",$M241=""),"",WORKDAY($M241,10))</f>
        <v/>
      </c>
      <c r="V241" s="37">
        <f>IF($A241="","",IF($N241="Y","사기 의심: 콜백 검증 전 대금 안내 중단",""))</f>
        <v/>
      </c>
      <c r="W241" s="37">
        <f>IF($A241="","",IF(AND($K241="N",$D241&lt;&gt;"LC_SIGHT",$D241&lt;&gt;"LC_USANCE",$D241&lt;&gt;"TT_ADV"),$O241,""))</f>
        <v/>
      </c>
      <c r="X241" s="37">
        <f>IF($A241="",0,IF(AND($K241="N",$D241&lt;&gt;"LC_SIGHT",$D241&lt;&gt;"LC_USANCE",$D241&lt;&gt;"TT_ADV",$O241&gt;=30),1,0))</f>
        <v/>
      </c>
      <c r="Y241" s="37">
        <f>IF($A241="","",IF($O241&lt;=0,"미연체",IF($O241&lt;=30,"1-30",IF($O241&lt;=90,"31-90",IF($O241&lt;=180,"91-180",IF($O241&lt;=365,"181-365","365+"))))))</f>
        <v/>
      </c>
      <c r="Z241" s="37">
        <f>IF($S241="통지 기한 임박 — 사람 결정",COUNTIF($S$5:$S241,"통지 기한 임박 — 사람 결정"),"")</f>
        <v/>
      </c>
    </row>
    <row r="242">
      <c r="A242" t="inlineStr">
        <is>
          <t>INV-2607-0065</t>
        </is>
      </c>
      <c r="B242" t="inlineStr">
        <is>
          <t>B121</t>
        </is>
      </c>
      <c r="C242" t="inlineStr">
        <is>
          <t>IND</t>
        </is>
      </c>
      <c r="D242" t="inlineStr">
        <is>
          <t>DA</t>
        </is>
      </c>
      <c r="E242" t="inlineStr">
        <is>
          <t>USD</t>
        </is>
      </c>
      <c r="F242" t="inlineStr">
        <is>
          <t>Y</t>
        </is>
      </c>
      <c r="G242" s="32" t="n">
        <v>46215</v>
      </c>
      <c r="H242" s="32" t="n">
        <v>46305</v>
      </c>
      <c r="I242" s="82" t="n">
        <v>10690</v>
      </c>
      <c r="J242" s="82" t="n">
        <v>10690</v>
      </c>
      <c r="K242" t="inlineStr">
        <is>
          <t>N</t>
        </is>
      </c>
      <c r="L242" t="inlineStr">
        <is>
          <t>개별</t>
        </is>
      </c>
      <c r="N242" t="inlineStr">
        <is>
          <t>N</t>
        </is>
      </c>
      <c r="O242" s="37">
        <f>IF($A242="","",AsOf-$H242)</f>
        <v/>
      </c>
      <c r="P242" s="37">
        <f>IF($A242="","",IF($K242="Y","-",IF($O242&gt;=30,"D+30 최종통지·선적보류",IF($O242&gt;=15,"D+15 단호한 통지",IF($O242&gt;=7,"D+7 친절한 리마인더",IF(AND($O242&gt;=-3,$O242&lt;=-1),"D-3 사전 안내","모니터링"))))))</f>
        <v/>
      </c>
      <c r="Q242" s="83">
        <f>IF($A242="","",EDATE($H242,1))</f>
        <v/>
      </c>
      <c r="R242" s="37">
        <f>IF($A242="","",$Q242-AsOf)</f>
        <v/>
      </c>
      <c r="S242" s="37">
        <f>IF($A242="","",IF(OR($K242="Y",$F242&lt;&gt;"Y",$O242&lt;=0),"",IF($R242&lt;0,"통지 기한 경과 — 즉시 확인",IF($R242&lt;=NoticeWarnDays,"통지 기한 임박 — 사람 결정",""))))</f>
        <v/>
      </c>
      <c r="T242" s="83">
        <f>IF(OR($A242="",$F242&lt;&gt;"Y"),"",IF(IF($L242="",InsuranceType,$L242)="포괄",DATE(YEAR($G242),MONTH($G242)+1,20),WORKDAY($G242,10)))</f>
        <v/>
      </c>
      <c r="U242" s="83">
        <f>IF(OR($A242="",$M242=""),"",WORKDAY($M242,10))</f>
        <v/>
      </c>
      <c r="V242" s="37">
        <f>IF($A242="","",IF($N242="Y","사기 의심: 콜백 검증 전 대금 안내 중단",""))</f>
        <v/>
      </c>
      <c r="W242" s="37">
        <f>IF($A242="","",IF(AND($K242="N",$D242&lt;&gt;"LC_SIGHT",$D242&lt;&gt;"LC_USANCE",$D242&lt;&gt;"TT_ADV"),$O242,""))</f>
        <v/>
      </c>
      <c r="X242" s="37">
        <f>IF($A242="",0,IF(AND($K242="N",$D242&lt;&gt;"LC_SIGHT",$D242&lt;&gt;"LC_USANCE",$D242&lt;&gt;"TT_ADV",$O242&gt;=30),1,0))</f>
        <v/>
      </c>
      <c r="Y242" s="37">
        <f>IF($A242="","",IF($O242&lt;=0,"미연체",IF($O242&lt;=30,"1-30",IF($O242&lt;=90,"31-90",IF($O242&lt;=180,"91-180",IF($O242&lt;=365,"181-365","365+"))))))</f>
        <v/>
      </c>
      <c r="Z242" s="37">
        <f>IF($S242="통지 기한 임박 — 사람 결정",COUNTIF($S$5:$S242,"통지 기한 임박 — 사람 결정"),"")</f>
        <v/>
      </c>
    </row>
    <row r="243">
      <c r="A243" t="inlineStr">
        <is>
          <t>INV-2608-0051</t>
        </is>
      </c>
      <c r="B243" t="inlineStr">
        <is>
          <t>B121</t>
        </is>
      </c>
      <c r="C243" t="inlineStr">
        <is>
          <t>IND</t>
        </is>
      </c>
      <c r="D243" t="inlineStr">
        <is>
          <t>DA</t>
        </is>
      </c>
      <c r="E243" t="inlineStr">
        <is>
          <t>USD</t>
        </is>
      </c>
      <c r="F243" t="inlineStr">
        <is>
          <t>Y</t>
        </is>
      </c>
      <c r="G243" s="32" t="n">
        <v>46245</v>
      </c>
      <c r="H243" s="32" t="n">
        <v>46335</v>
      </c>
      <c r="I243" s="82" t="n">
        <v>9480</v>
      </c>
      <c r="J243" s="82" t="n">
        <v>9480</v>
      </c>
      <c r="K243" t="inlineStr">
        <is>
          <t>N</t>
        </is>
      </c>
      <c r="L243" t="inlineStr">
        <is>
          <t>개별</t>
        </is>
      </c>
      <c r="N243" t="inlineStr">
        <is>
          <t>N</t>
        </is>
      </c>
      <c r="O243" s="37">
        <f>IF($A243="","",AsOf-$H243)</f>
        <v/>
      </c>
      <c r="P243" s="37">
        <f>IF($A243="","",IF($K243="Y","-",IF($O243&gt;=30,"D+30 최종통지·선적보류",IF($O243&gt;=15,"D+15 단호한 통지",IF($O243&gt;=7,"D+7 친절한 리마인더",IF(AND($O243&gt;=-3,$O243&lt;=-1),"D-3 사전 안내","모니터링"))))))</f>
        <v/>
      </c>
      <c r="Q243" s="83">
        <f>IF($A243="","",EDATE($H243,1))</f>
        <v/>
      </c>
      <c r="R243" s="37">
        <f>IF($A243="","",$Q243-AsOf)</f>
        <v/>
      </c>
      <c r="S243" s="37">
        <f>IF($A243="","",IF(OR($K243="Y",$F243&lt;&gt;"Y",$O243&lt;=0),"",IF($R243&lt;0,"통지 기한 경과 — 즉시 확인",IF($R243&lt;=NoticeWarnDays,"통지 기한 임박 — 사람 결정",""))))</f>
        <v/>
      </c>
      <c r="T243" s="83">
        <f>IF(OR($A243="",$F243&lt;&gt;"Y"),"",IF(IF($L243="",InsuranceType,$L243)="포괄",DATE(YEAR($G243),MONTH($G243)+1,20),WORKDAY($G243,10)))</f>
        <v/>
      </c>
      <c r="U243" s="83">
        <f>IF(OR($A243="",$M243=""),"",WORKDAY($M243,10))</f>
        <v/>
      </c>
      <c r="V243" s="37">
        <f>IF($A243="","",IF($N243="Y","사기 의심: 콜백 검증 전 대금 안내 중단",""))</f>
        <v/>
      </c>
      <c r="W243" s="37">
        <f>IF($A243="","",IF(AND($K243="N",$D243&lt;&gt;"LC_SIGHT",$D243&lt;&gt;"LC_USANCE",$D243&lt;&gt;"TT_ADV"),$O243,""))</f>
        <v/>
      </c>
      <c r="X243" s="37">
        <f>IF($A243="",0,IF(AND($K243="N",$D243&lt;&gt;"LC_SIGHT",$D243&lt;&gt;"LC_USANCE",$D243&lt;&gt;"TT_ADV",$O243&gt;=30),1,0))</f>
        <v/>
      </c>
      <c r="Y243" s="37">
        <f>IF($A243="","",IF($O243&lt;=0,"미연체",IF($O243&lt;=30,"1-30",IF($O243&lt;=90,"31-90",IF($O243&lt;=180,"91-180",IF($O243&lt;=365,"181-365","365+"))))))</f>
        <v/>
      </c>
      <c r="Z243" s="37">
        <f>IF($S243="통지 기한 임박 — 사람 결정",COUNTIF($S$5:$S243,"통지 기한 임박 — 사람 결정"),"")</f>
        <v/>
      </c>
    </row>
    <row r="244">
      <c r="A244" t="inlineStr">
        <is>
          <t>INV-2608-0149</t>
        </is>
      </c>
      <c r="B244" t="inlineStr">
        <is>
          <t>B121</t>
        </is>
      </c>
      <c r="C244" t="inlineStr">
        <is>
          <t>IND</t>
        </is>
      </c>
      <c r="D244" t="inlineStr">
        <is>
          <t>DA</t>
        </is>
      </c>
      <c r="E244" t="inlineStr">
        <is>
          <t>USD</t>
        </is>
      </c>
      <c r="F244" t="inlineStr">
        <is>
          <t>Y</t>
        </is>
      </c>
      <c r="G244" s="32" t="n">
        <v>46264</v>
      </c>
      <c r="H244" s="32" t="n">
        <v>46354</v>
      </c>
      <c r="I244" s="82" t="n">
        <v>8240</v>
      </c>
      <c r="J244" s="82" t="n">
        <v>8240</v>
      </c>
      <c r="K244" t="inlineStr">
        <is>
          <t>N</t>
        </is>
      </c>
      <c r="L244" t="inlineStr">
        <is>
          <t>개별</t>
        </is>
      </c>
      <c r="N244" t="inlineStr">
        <is>
          <t>N</t>
        </is>
      </c>
      <c r="O244" s="37">
        <f>IF($A244="","",AsOf-$H244)</f>
        <v/>
      </c>
      <c r="P244" s="37">
        <f>IF($A244="","",IF($K244="Y","-",IF($O244&gt;=30,"D+30 최종통지·선적보류",IF($O244&gt;=15,"D+15 단호한 통지",IF($O244&gt;=7,"D+7 친절한 리마인더",IF(AND($O244&gt;=-3,$O244&lt;=-1),"D-3 사전 안내","모니터링"))))))</f>
        <v/>
      </c>
      <c r="Q244" s="83">
        <f>IF($A244="","",EDATE($H244,1))</f>
        <v/>
      </c>
      <c r="R244" s="37">
        <f>IF($A244="","",$Q244-AsOf)</f>
        <v/>
      </c>
      <c r="S244" s="37">
        <f>IF($A244="","",IF(OR($K244="Y",$F244&lt;&gt;"Y",$O244&lt;=0),"",IF($R244&lt;0,"통지 기한 경과 — 즉시 확인",IF($R244&lt;=NoticeWarnDays,"통지 기한 임박 — 사람 결정",""))))</f>
        <v/>
      </c>
      <c r="T244" s="83">
        <f>IF(OR($A244="",$F244&lt;&gt;"Y"),"",IF(IF($L244="",InsuranceType,$L244)="포괄",DATE(YEAR($G244),MONTH($G244)+1,20),WORKDAY($G244,10)))</f>
        <v/>
      </c>
      <c r="U244" s="83">
        <f>IF(OR($A244="",$M244=""),"",WORKDAY($M244,10))</f>
        <v/>
      </c>
      <c r="V244" s="37">
        <f>IF($A244="","",IF($N244="Y","사기 의심: 콜백 검증 전 대금 안내 중단",""))</f>
        <v/>
      </c>
      <c r="W244" s="37">
        <f>IF($A244="","",IF(AND($K244="N",$D244&lt;&gt;"LC_SIGHT",$D244&lt;&gt;"LC_USANCE",$D244&lt;&gt;"TT_ADV"),$O244,""))</f>
        <v/>
      </c>
      <c r="X244" s="37">
        <f>IF($A244="",0,IF(AND($K244="N",$D244&lt;&gt;"LC_SIGHT",$D244&lt;&gt;"LC_USANCE",$D244&lt;&gt;"TT_ADV",$O244&gt;=30),1,0))</f>
        <v/>
      </c>
      <c r="Y244" s="37">
        <f>IF($A244="","",IF($O244&lt;=0,"미연체",IF($O244&lt;=30,"1-30",IF($O244&lt;=90,"31-90",IF($O244&lt;=180,"91-180",IF($O244&lt;=365,"181-365","365+"))))))</f>
        <v/>
      </c>
      <c r="Z244" s="37">
        <f>IF($S244="통지 기한 임박 — 사람 결정",COUNTIF($S$5:$S244,"통지 기한 임박 — 사람 결정"),"")</f>
        <v/>
      </c>
    </row>
    <row r="245">
      <c r="A245" t="inlineStr">
        <is>
          <t>INV-2609-0119</t>
        </is>
      </c>
      <c r="B245" t="inlineStr">
        <is>
          <t>B121</t>
        </is>
      </c>
      <c r="C245" t="inlineStr">
        <is>
          <t>IND</t>
        </is>
      </c>
      <c r="D245" t="inlineStr">
        <is>
          <t>DA</t>
        </is>
      </c>
      <c r="E245" t="inlineStr">
        <is>
          <t>USD</t>
        </is>
      </c>
      <c r="F245" t="inlineStr">
        <is>
          <t>Y</t>
        </is>
      </c>
      <c r="G245" s="32" t="n">
        <v>46287</v>
      </c>
      <c r="H245" s="32" t="n">
        <v>46377</v>
      </c>
      <c r="I245" s="82" t="n">
        <v>9900</v>
      </c>
      <c r="J245" s="82" t="n">
        <v>9900</v>
      </c>
      <c r="K245" t="inlineStr">
        <is>
          <t>N</t>
        </is>
      </c>
      <c r="L245" t="inlineStr">
        <is>
          <t>개별</t>
        </is>
      </c>
      <c r="N245" t="inlineStr">
        <is>
          <t>N</t>
        </is>
      </c>
      <c r="O245" s="37">
        <f>IF($A245="","",AsOf-$H245)</f>
        <v/>
      </c>
      <c r="P245" s="37">
        <f>IF($A245="","",IF($K245="Y","-",IF($O245&gt;=30,"D+30 최종통지·선적보류",IF($O245&gt;=15,"D+15 단호한 통지",IF($O245&gt;=7,"D+7 친절한 리마인더",IF(AND($O245&gt;=-3,$O245&lt;=-1),"D-3 사전 안내","모니터링"))))))</f>
        <v/>
      </c>
      <c r="Q245" s="83">
        <f>IF($A245="","",EDATE($H245,1))</f>
        <v/>
      </c>
      <c r="R245" s="37">
        <f>IF($A245="","",$Q245-AsOf)</f>
        <v/>
      </c>
      <c r="S245" s="37">
        <f>IF($A245="","",IF(OR($K245="Y",$F245&lt;&gt;"Y",$O245&lt;=0),"",IF($R245&lt;0,"통지 기한 경과 — 즉시 확인",IF($R245&lt;=NoticeWarnDays,"통지 기한 임박 — 사람 결정",""))))</f>
        <v/>
      </c>
      <c r="T245" s="83">
        <f>IF(OR($A245="",$F245&lt;&gt;"Y"),"",IF(IF($L245="",InsuranceType,$L245)="포괄",DATE(YEAR($G245),MONTH($G245)+1,20),WORKDAY($G245,10)))</f>
        <v/>
      </c>
      <c r="U245" s="83">
        <f>IF(OR($A245="",$M245=""),"",WORKDAY($M245,10))</f>
        <v/>
      </c>
      <c r="V245" s="37">
        <f>IF($A245="","",IF($N245="Y","사기 의심: 콜백 검증 전 대금 안내 중단",""))</f>
        <v/>
      </c>
      <c r="W245" s="37">
        <f>IF($A245="","",IF(AND($K245="N",$D245&lt;&gt;"LC_SIGHT",$D245&lt;&gt;"LC_USANCE",$D245&lt;&gt;"TT_ADV"),$O245,""))</f>
        <v/>
      </c>
      <c r="X245" s="37">
        <f>IF($A245="",0,IF(AND($K245="N",$D245&lt;&gt;"LC_SIGHT",$D245&lt;&gt;"LC_USANCE",$D245&lt;&gt;"TT_ADV",$O245&gt;=30),1,0))</f>
        <v/>
      </c>
      <c r="Y245" s="37">
        <f>IF($A245="","",IF($O245&lt;=0,"미연체",IF($O245&lt;=30,"1-30",IF($O245&lt;=90,"31-90",IF($O245&lt;=180,"91-180",IF($O245&lt;=365,"181-365","365+"))))))</f>
        <v/>
      </c>
      <c r="Z245" s="37">
        <f>IF($S245="통지 기한 임박 — 사람 결정",COUNTIF($S$5:$S245,"통지 기한 임박 — 사람 결정"),"")</f>
        <v/>
      </c>
    </row>
    <row r="246">
      <c r="A246" t="inlineStr">
        <is>
          <t>INV-2609-0123</t>
        </is>
      </c>
      <c r="B246" t="inlineStr">
        <is>
          <t>B121</t>
        </is>
      </c>
      <c r="C246" t="inlineStr">
        <is>
          <t>IND</t>
        </is>
      </c>
      <c r="D246" t="inlineStr">
        <is>
          <t>DA</t>
        </is>
      </c>
      <c r="E246" t="inlineStr">
        <is>
          <t>USD</t>
        </is>
      </c>
      <c r="F246" t="inlineStr">
        <is>
          <t>Y</t>
        </is>
      </c>
      <c r="G246" s="32" t="n">
        <v>46288</v>
      </c>
      <c r="H246" s="32" t="n">
        <v>46378</v>
      </c>
      <c r="I246" s="82" t="n">
        <v>1130</v>
      </c>
      <c r="J246" s="82" t="n">
        <v>1130</v>
      </c>
      <c r="K246" t="inlineStr">
        <is>
          <t>N</t>
        </is>
      </c>
      <c r="L246" t="inlineStr">
        <is>
          <t>개별</t>
        </is>
      </c>
      <c r="N246" t="inlineStr">
        <is>
          <t>N</t>
        </is>
      </c>
      <c r="O246" s="37">
        <f>IF($A246="","",AsOf-$H246)</f>
        <v/>
      </c>
      <c r="P246" s="37">
        <f>IF($A246="","",IF($K246="Y","-",IF($O246&gt;=30,"D+30 최종통지·선적보류",IF($O246&gt;=15,"D+15 단호한 통지",IF($O246&gt;=7,"D+7 친절한 리마인더",IF(AND($O246&gt;=-3,$O246&lt;=-1),"D-3 사전 안내","모니터링"))))))</f>
        <v/>
      </c>
      <c r="Q246" s="83">
        <f>IF($A246="","",EDATE($H246,1))</f>
        <v/>
      </c>
      <c r="R246" s="37">
        <f>IF($A246="","",$Q246-AsOf)</f>
        <v/>
      </c>
      <c r="S246" s="37">
        <f>IF($A246="","",IF(OR($K246="Y",$F246&lt;&gt;"Y",$O246&lt;=0),"",IF($R246&lt;0,"통지 기한 경과 — 즉시 확인",IF($R246&lt;=NoticeWarnDays,"통지 기한 임박 — 사람 결정",""))))</f>
        <v/>
      </c>
      <c r="T246" s="83">
        <f>IF(OR($A246="",$F246&lt;&gt;"Y"),"",IF(IF($L246="",InsuranceType,$L246)="포괄",DATE(YEAR($G246),MONTH($G246)+1,20),WORKDAY($G246,10)))</f>
        <v/>
      </c>
      <c r="U246" s="83">
        <f>IF(OR($A246="",$M246=""),"",WORKDAY($M246,10))</f>
        <v/>
      </c>
      <c r="V246" s="37">
        <f>IF($A246="","",IF($N246="Y","사기 의심: 콜백 검증 전 대금 안내 중단",""))</f>
        <v/>
      </c>
      <c r="W246" s="37">
        <f>IF($A246="","",IF(AND($K246="N",$D246&lt;&gt;"LC_SIGHT",$D246&lt;&gt;"LC_USANCE",$D246&lt;&gt;"TT_ADV"),$O246,""))</f>
        <v/>
      </c>
      <c r="X246" s="37">
        <f>IF($A246="",0,IF(AND($K246="N",$D246&lt;&gt;"LC_SIGHT",$D246&lt;&gt;"LC_USANCE",$D246&lt;&gt;"TT_ADV",$O246&gt;=30),1,0))</f>
        <v/>
      </c>
      <c r="Y246" s="37">
        <f>IF($A246="","",IF($O246&lt;=0,"미연체",IF($O246&lt;=30,"1-30",IF($O246&lt;=90,"31-90",IF($O246&lt;=180,"91-180",IF($O246&lt;=365,"181-365","365+"))))))</f>
        <v/>
      </c>
      <c r="Z246" s="37">
        <f>IF($S246="통지 기한 임박 — 사람 결정",COUNTIF($S$5:$S246,"통지 기한 임박 — 사람 결정"),"")</f>
        <v/>
      </c>
    </row>
    <row r="247">
      <c r="A247" t="inlineStr">
        <is>
          <t>INV-2609-0157</t>
        </is>
      </c>
      <c r="B247" t="inlineStr">
        <is>
          <t>B121</t>
        </is>
      </c>
      <c r="C247" t="inlineStr">
        <is>
          <t>IND</t>
        </is>
      </c>
      <c r="D247" t="inlineStr">
        <is>
          <t>DA</t>
        </is>
      </c>
      <c r="E247" t="inlineStr">
        <is>
          <t>USD</t>
        </is>
      </c>
      <c r="F247" t="inlineStr">
        <is>
          <t>Y</t>
        </is>
      </c>
      <c r="G247" s="32" t="n">
        <v>46294</v>
      </c>
      <c r="H247" s="32" t="n">
        <v>46384</v>
      </c>
      <c r="I247" s="82" t="n">
        <v>52600</v>
      </c>
      <c r="J247" s="82" t="n">
        <v>52600</v>
      </c>
      <c r="K247" t="inlineStr">
        <is>
          <t>N</t>
        </is>
      </c>
      <c r="L247" t="inlineStr">
        <is>
          <t>개별</t>
        </is>
      </c>
      <c r="N247" t="inlineStr">
        <is>
          <t>N</t>
        </is>
      </c>
      <c r="O247" s="37">
        <f>IF($A247="","",AsOf-$H247)</f>
        <v/>
      </c>
      <c r="P247" s="37">
        <f>IF($A247="","",IF($K247="Y","-",IF($O247&gt;=30,"D+30 최종통지·선적보류",IF($O247&gt;=15,"D+15 단호한 통지",IF($O247&gt;=7,"D+7 친절한 리마인더",IF(AND($O247&gt;=-3,$O247&lt;=-1),"D-3 사전 안내","모니터링"))))))</f>
        <v/>
      </c>
      <c r="Q247" s="83">
        <f>IF($A247="","",EDATE($H247,1))</f>
        <v/>
      </c>
      <c r="R247" s="37">
        <f>IF($A247="","",$Q247-AsOf)</f>
        <v/>
      </c>
      <c r="S247" s="37">
        <f>IF($A247="","",IF(OR($K247="Y",$F247&lt;&gt;"Y",$O247&lt;=0),"",IF($R247&lt;0,"통지 기한 경과 — 즉시 확인",IF($R247&lt;=NoticeWarnDays,"통지 기한 임박 — 사람 결정",""))))</f>
        <v/>
      </c>
      <c r="T247" s="83">
        <f>IF(OR($A247="",$F247&lt;&gt;"Y"),"",IF(IF($L247="",InsuranceType,$L247)="포괄",DATE(YEAR($G247),MONTH($G247)+1,20),WORKDAY($G247,10)))</f>
        <v/>
      </c>
      <c r="U247" s="83">
        <f>IF(OR($A247="",$M247=""),"",WORKDAY($M247,10))</f>
        <v/>
      </c>
      <c r="V247" s="37">
        <f>IF($A247="","",IF($N247="Y","사기 의심: 콜백 검증 전 대금 안내 중단",""))</f>
        <v/>
      </c>
      <c r="W247" s="37">
        <f>IF($A247="","",IF(AND($K247="N",$D247&lt;&gt;"LC_SIGHT",$D247&lt;&gt;"LC_USANCE",$D247&lt;&gt;"TT_ADV"),$O247,""))</f>
        <v/>
      </c>
      <c r="X247" s="37">
        <f>IF($A247="",0,IF(AND($K247="N",$D247&lt;&gt;"LC_SIGHT",$D247&lt;&gt;"LC_USANCE",$D247&lt;&gt;"TT_ADV",$O247&gt;=30),1,0))</f>
        <v/>
      </c>
      <c r="Y247" s="37">
        <f>IF($A247="","",IF($O247&lt;=0,"미연체",IF($O247&lt;=30,"1-30",IF($O247&lt;=90,"31-90",IF($O247&lt;=180,"91-180",IF($O247&lt;=365,"181-365","365+"))))))</f>
        <v/>
      </c>
      <c r="Z247" s="37">
        <f>IF($S247="통지 기한 임박 — 사람 결정",COUNTIF($S$5:$S247,"통지 기한 임박 — 사람 결정"),"")</f>
        <v/>
      </c>
    </row>
    <row r="248">
      <c r="A248" t="inlineStr">
        <is>
          <t>INV-2609-0027</t>
        </is>
      </c>
      <c r="B248" t="inlineStr">
        <is>
          <t>B122</t>
        </is>
      </c>
      <c r="C248" t="inlineStr">
        <is>
          <t>JPN</t>
        </is>
      </c>
      <c r="D248" t="inlineStr">
        <is>
          <t>DA</t>
        </is>
      </c>
      <c r="E248" t="inlineStr">
        <is>
          <t>JPY</t>
        </is>
      </c>
      <c r="F248" t="inlineStr">
        <is>
          <t>N</t>
        </is>
      </c>
      <c r="G248" s="32" t="n">
        <v>46269</v>
      </c>
      <c r="H248" s="32" t="n">
        <v>46329</v>
      </c>
      <c r="I248" s="82" t="n">
        <v>2059000</v>
      </c>
      <c r="J248" s="82" t="n">
        <v>13099.64</v>
      </c>
      <c r="K248" t="inlineStr">
        <is>
          <t>N</t>
        </is>
      </c>
      <c r="N248" t="inlineStr">
        <is>
          <t>N</t>
        </is>
      </c>
      <c r="O248" s="37">
        <f>IF($A248="","",AsOf-$H248)</f>
        <v/>
      </c>
      <c r="P248" s="37">
        <f>IF($A248="","",IF($K248="Y","-",IF($O248&gt;=30,"D+30 최종통지·선적보류",IF($O248&gt;=15,"D+15 단호한 통지",IF($O248&gt;=7,"D+7 친절한 리마인더",IF(AND($O248&gt;=-3,$O248&lt;=-1),"D-3 사전 안내","모니터링"))))))</f>
        <v/>
      </c>
      <c r="Q248" s="83">
        <f>IF($A248="","",EDATE($H248,1))</f>
        <v/>
      </c>
      <c r="R248" s="37">
        <f>IF($A248="","",$Q248-AsOf)</f>
        <v/>
      </c>
      <c r="S248" s="37">
        <f>IF($A248="","",IF(OR($K248="Y",$F248&lt;&gt;"Y",$O248&lt;=0),"",IF($R248&lt;0,"통지 기한 경과 — 즉시 확인",IF($R248&lt;=NoticeWarnDays,"통지 기한 임박 — 사람 결정",""))))</f>
        <v/>
      </c>
      <c r="T248" s="83">
        <f>IF(OR($A248="",$F248&lt;&gt;"Y"),"",IF(IF($L248="",InsuranceType,$L248)="포괄",DATE(YEAR($G248),MONTH($G248)+1,20),WORKDAY($G248,10)))</f>
        <v/>
      </c>
      <c r="U248" s="83">
        <f>IF(OR($A248="",$M248=""),"",WORKDAY($M248,10))</f>
        <v/>
      </c>
      <c r="V248" s="37">
        <f>IF($A248="","",IF($N248="Y","사기 의심: 콜백 검증 전 대금 안내 중단",""))</f>
        <v/>
      </c>
      <c r="W248" s="37">
        <f>IF($A248="","",IF(AND($K248="N",$D248&lt;&gt;"LC_SIGHT",$D248&lt;&gt;"LC_USANCE",$D248&lt;&gt;"TT_ADV"),$O248,""))</f>
        <v/>
      </c>
      <c r="X248" s="37">
        <f>IF($A248="",0,IF(AND($K248="N",$D248&lt;&gt;"LC_SIGHT",$D248&lt;&gt;"LC_USANCE",$D248&lt;&gt;"TT_ADV",$O248&gt;=30),1,0))</f>
        <v/>
      </c>
      <c r="Y248" s="37">
        <f>IF($A248="","",IF($O248&lt;=0,"미연체",IF($O248&lt;=30,"1-30",IF($O248&lt;=90,"31-90",IF($O248&lt;=180,"91-180",IF($O248&lt;=365,"181-365","365+"))))))</f>
        <v/>
      </c>
      <c r="Z248" s="37">
        <f>IF($S248="통지 기한 임박 — 사람 결정",COUNTIF($S$5:$S248,"통지 기한 임박 — 사람 결정"),"")</f>
        <v/>
      </c>
    </row>
    <row r="249">
      <c r="A249" t="inlineStr">
        <is>
          <t>INV-2607-0027</t>
        </is>
      </c>
      <c r="B249" t="inlineStr">
        <is>
          <t>B123</t>
        </is>
      </c>
      <c r="C249" t="inlineStr">
        <is>
          <t>POL</t>
        </is>
      </c>
      <c r="D249" t="inlineStr">
        <is>
          <t>OA</t>
        </is>
      </c>
      <c r="E249" t="inlineStr">
        <is>
          <t>EUR</t>
        </is>
      </c>
      <c r="F249" t="inlineStr">
        <is>
          <t>Y</t>
        </is>
      </c>
      <c r="G249" s="32" t="n">
        <v>46208</v>
      </c>
      <c r="H249" s="32" t="n">
        <v>46268</v>
      </c>
      <c r="I249" s="82" t="n">
        <v>12840</v>
      </c>
      <c r="J249" s="82" t="n">
        <v>14637.59</v>
      </c>
      <c r="K249" t="inlineStr">
        <is>
          <t>N</t>
        </is>
      </c>
      <c r="L249" t="inlineStr">
        <is>
          <t>개별</t>
        </is>
      </c>
      <c r="N249" t="inlineStr">
        <is>
          <t>N</t>
        </is>
      </c>
      <c r="O249" s="37">
        <f>IF($A249="","",AsOf-$H249)</f>
        <v/>
      </c>
      <c r="P249" s="37">
        <f>IF($A249="","",IF($K249="Y","-",IF($O249&gt;=30,"D+30 최종통지·선적보류",IF($O249&gt;=15,"D+15 단호한 통지",IF($O249&gt;=7,"D+7 친절한 리마인더",IF(AND($O249&gt;=-3,$O249&lt;=-1),"D-3 사전 안내","모니터링"))))))</f>
        <v/>
      </c>
      <c r="Q249" s="83">
        <f>IF($A249="","",EDATE($H249,1))</f>
        <v/>
      </c>
      <c r="R249" s="37">
        <f>IF($A249="","",$Q249-AsOf)</f>
        <v/>
      </c>
      <c r="S249" s="37">
        <f>IF($A249="","",IF(OR($K249="Y",$F249&lt;&gt;"Y",$O249&lt;=0),"",IF($R249&lt;0,"통지 기한 경과 — 즉시 확인",IF($R249&lt;=NoticeWarnDays,"통지 기한 임박 — 사람 결정",""))))</f>
        <v/>
      </c>
      <c r="T249" s="83">
        <f>IF(OR($A249="",$F249&lt;&gt;"Y"),"",IF(IF($L249="",InsuranceType,$L249)="포괄",DATE(YEAR($G249),MONTH($G249)+1,20),WORKDAY($G249,10)))</f>
        <v/>
      </c>
      <c r="U249" s="83">
        <f>IF(OR($A249="",$M249=""),"",WORKDAY($M249,10))</f>
        <v/>
      </c>
      <c r="V249" s="37">
        <f>IF($A249="","",IF($N249="Y","사기 의심: 콜백 검증 전 대금 안내 중단",""))</f>
        <v/>
      </c>
      <c r="W249" s="37">
        <f>IF($A249="","",IF(AND($K249="N",$D249&lt;&gt;"LC_SIGHT",$D249&lt;&gt;"LC_USANCE",$D249&lt;&gt;"TT_ADV"),$O249,""))</f>
        <v/>
      </c>
      <c r="X249" s="37">
        <f>IF($A249="",0,IF(AND($K249="N",$D249&lt;&gt;"LC_SIGHT",$D249&lt;&gt;"LC_USANCE",$D249&lt;&gt;"TT_ADV",$O249&gt;=30),1,0))</f>
        <v/>
      </c>
      <c r="Y249" s="37">
        <f>IF($A249="","",IF($O249&lt;=0,"미연체",IF($O249&lt;=30,"1-30",IF($O249&lt;=90,"31-90",IF($O249&lt;=180,"91-180",IF($O249&lt;=365,"181-365","365+"))))))</f>
        <v/>
      </c>
      <c r="Z249" s="37">
        <f>IF($S249="통지 기한 임박 — 사람 결정",COUNTIF($S$5:$S249,"통지 기한 임박 — 사람 결정"),"")</f>
        <v/>
      </c>
    </row>
    <row r="250">
      <c r="A250" t="inlineStr">
        <is>
          <t>INV-2608-0121</t>
        </is>
      </c>
      <c r="B250" t="inlineStr">
        <is>
          <t>B123</t>
        </is>
      </c>
      <c r="C250" t="inlineStr">
        <is>
          <t>POL</t>
        </is>
      </c>
      <c r="D250" t="inlineStr">
        <is>
          <t>OA</t>
        </is>
      </c>
      <c r="E250" t="inlineStr">
        <is>
          <t>EUR</t>
        </is>
      </c>
      <c r="F250" t="inlineStr">
        <is>
          <t>Y</t>
        </is>
      </c>
      <c r="G250" s="32" t="n">
        <v>46258</v>
      </c>
      <c r="H250" s="32" t="n">
        <v>46318</v>
      </c>
      <c r="I250" s="82" t="n">
        <v>4630</v>
      </c>
      <c r="J250" s="82" t="n">
        <v>5278.2</v>
      </c>
      <c r="K250" t="inlineStr">
        <is>
          <t>N</t>
        </is>
      </c>
      <c r="L250" t="inlineStr">
        <is>
          <t>개별</t>
        </is>
      </c>
      <c r="N250" t="inlineStr">
        <is>
          <t>N</t>
        </is>
      </c>
      <c r="O250" s="37">
        <f>IF($A250="","",AsOf-$H250)</f>
        <v/>
      </c>
      <c r="P250" s="37">
        <f>IF($A250="","",IF($K250="Y","-",IF($O250&gt;=30,"D+30 최종통지·선적보류",IF($O250&gt;=15,"D+15 단호한 통지",IF($O250&gt;=7,"D+7 친절한 리마인더",IF(AND($O250&gt;=-3,$O250&lt;=-1),"D-3 사전 안내","모니터링"))))))</f>
        <v/>
      </c>
      <c r="Q250" s="83">
        <f>IF($A250="","",EDATE($H250,1))</f>
        <v/>
      </c>
      <c r="R250" s="37">
        <f>IF($A250="","",$Q250-AsOf)</f>
        <v/>
      </c>
      <c r="S250" s="37">
        <f>IF($A250="","",IF(OR($K250="Y",$F250&lt;&gt;"Y",$O250&lt;=0),"",IF($R250&lt;0,"통지 기한 경과 — 즉시 확인",IF($R250&lt;=NoticeWarnDays,"통지 기한 임박 — 사람 결정",""))))</f>
        <v/>
      </c>
      <c r="T250" s="83">
        <f>IF(OR($A250="",$F250&lt;&gt;"Y"),"",IF(IF($L250="",InsuranceType,$L250)="포괄",DATE(YEAR($G250),MONTH($G250)+1,20),WORKDAY($G250,10)))</f>
        <v/>
      </c>
      <c r="U250" s="83">
        <f>IF(OR($A250="",$M250=""),"",WORKDAY($M250,10))</f>
        <v/>
      </c>
      <c r="V250" s="37">
        <f>IF($A250="","",IF($N250="Y","사기 의심: 콜백 검증 전 대금 안내 중단",""))</f>
        <v/>
      </c>
      <c r="W250" s="37">
        <f>IF($A250="","",IF(AND($K250="N",$D250&lt;&gt;"LC_SIGHT",$D250&lt;&gt;"LC_USANCE",$D250&lt;&gt;"TT_ADV"),$O250,""))</f>
        <v/>
      </c>
      <c r="X250" s="37">
        <f>IF($A250="",0,IF(AND($K250="N",$D250&lt;&gt;"LC_SIGHT",$D250&lt;&gt;"LC_USANCE",$D250&lt;&gt;"TT_ADV",$O250&gt;=30),1,0))</f>
        <v/>
      </c>
      <c r="Y250" s="37">
        <f>IF($A250="","",IF($O250&lt;=0,"미연체",IF($O250&lt;=30,"1-30",IF($O250&lt;=90,"31-90",IF($O250&lt;=180,"91-180",IF($O250&lt;=365,"181-365","365+"))))))</f>
        <v/>
      </c>
      <c r="Z250" s="37">
        <f>IF($S250="통지 기한 임박 — 사람 결정",COUNTIF($S$5:$S250,"통지 기한 임박 — 사람 결정"),"")</f>
        <v/>
      </c>
    </row>
    <row r="251">
      <c r="A251" t="inlineStr">
        <is>
          <t>INV-2609-0036</t>
        </is>
      </c>
      <c r="B251" t="inlineStr">
        <is>
          <t>B123</t>
        </is>
      </c>
      <c r="C251" t="inlineStr">
        <is>
          <t>POL</t>
        </is>
      </c>
      <c r="D251" t="inlineStr">
        <is>
          <t>OA</t>
        </is>
      </c>
      <c r="E251" t="inlineStr">
        <is>
          <t>EUR</t>
        </is>
      </c>
      <c r="F251" t="inlineStr">
        <is>
          <t>Y</t>
        </is>
      </c>
      <c r="G251" s="32" t="n">
        <v>46271</v>
      </c>
      <c r="H251" s="32" t="n">
        <v>46331</v>
      </c>
      <c r="I251" s="82" t="n">
        <v>3380</v>
      </c>
      <c r="J251" s="82" t="n">
        <v>3853.2</v>
      </c>
      <c r="K251" t="inlineStr">
        <is>
          <t>N</t>
        </is>
      </c>
      <c r="L251" t="inlineStr">
        <is>
          <t>개별</t>
        </is>
      </c>
      <c r="N251" t="inlineStr">
        <is>
          <t>N</t>
        </is>
      </c>
      <c r="O251" s="37">
        <f>IF($A251="","",AsOf-$H251)</f>
        <v/>
      </c>
      <c r="P251" s="37">
        <f>IF($A251="","",IF($K251="Y","-",IF($O251&gt;=30,"D+30 최종통지·선적보류",IF($O251&gt;=15,"D+15 단호한 통지",IF($O251&gt;=7,"D+7 친절한 리마인더",IF(AND($O251&gt;=-3,$O251&lt;=-1),"D-3 사전 안내","모니터링"))))))</f>
        <v/>
      </c>
      <c r="Q251" s="83">
        <f>IF($A251="","",EDATE($H251,1))</f>
        <v/>
      </c>
      <c r="R251" s="37">
        <f>IF($A251="","",$Q251-AsOf)</f>
        <v/>
      </c>
      <c r="S251" s="37">
        <f>IF($A251="","",IF(OR($K251="Y",$F251&lt;&gt;"Y",$O251&lt;=0),"",IF($R251&lt;0,"통지 기한 경과 — 즉시 확인",IF($R251&lt;=NoticeWarnDays,"통지 기한 임박 — 사람 결정",""))))</f>
        <v/>
      </c>
      <c r="T251" s="83">
        <f>IF(OR($A251="",$F251&lt;&gt;"Y"),"",IF(IF($L251="",InsuranceType,$L251)="포괄",DATE(YEAR($G251),MONTH($G251)+1,20),WORKDAY($G251,10)))</f>
        <v/>
      </c>
      <c r="U251" s="83">
        <f>IF(OR($A251="",$M251=""),"",WORKDAY($M251,10))</f>
        <v/>
      </c>
      <c r="V251" s="37">
        <f>IF($A251="","",IF($N251="Y","사기 의심: 콜백 검증 전 대금 안내 중단",""))</f>
        <v/>
      </c>
      <c r="W251" s="37">
        <f>IF($A251="","",IF(AND($K251="N",$D251&lt;&gt;"LC_SIGHT",$D251&lt;&gt;"LC_USANCE",$D251&lt;&gt;"TT_ADV"),$O251,""))</f>
        <v/>
      </c>
      <c r="X251" s="37">
        <f>IF($A251="",0,IF(AND($K251="N",$D251&lt;&gt;"LC_SIGHT",$D251&lt;&gt;"LC_USANCE",$D251&lt;&gt;"TT_ADV",$O251&gt;=30),1,0))</f>
        <v/>
      </c>
      <c r="Y251" s="37">
        <f>IF($A251="","",IF($O251&lt;=0,"미연체",IF($O251&lt;=30,"1-30",IF($O251&lt;=90,"31-90",IF($O251&lt;=180,"91-180",IF($O251&lt;=365,"181-365","365+"))))))</f>
        <v/>
      </c>
      <c r="Z251" s="37">
        <f>IF($S251="통지 기한 임박 — 사람 결정",COUNTIF($S$5:$S251,"통지 기한 임박 — 사람 결정"),"")</f>
        <v/>
      </c>
    </row>
    <row r="252">
      <c r="A252" t="inlineStr">
        <is>
          <t>INV-2609-0060</t>
        </is>
      </c>
      <c r="B252" t="inlineStr">
        <is>
          <t>B123</t>
        </is>
      </c>
      <c r="C252" t="inlineStr">
        <is>
          <t>POL</t>
        </is>
      </c>
      <c r="D252" t="inlineStr">
        <is>
          <t>OA</t>
        </is>
      </c>
      <c r="E252" t="inlineStr">
        <is>
          <t>EUR</t>
        </is>
      </c>
      <c r="F252" t="inlineStr">
        <is>
          <t>Y</t>
        </is>
      </c>
      <c r="G252" s="32" t="n">
        <v>46276</v>
      </c>
      <c r="H252" s="32" t="n">
        <v>46336</v>
      </c>
      <c r="I252" s="82" t="n">
        <v>9110</v>
      </c>
      <c r="J252" s="82" t="n">
        <v>10385.39</v>
      </c>
      <c r="K252" t="inlineStr">
        <is>
          <t>N</t>
        </is>
      </c>
      <c r="L252" t="inlineStr">
        <is>
          <t>개별</t>
        </is>
      </c>
      <c r="N252" t="inlineStr">
        <is>
          <t>N</t>
        </is>
      </c>
      <c r="O252" s="37">
        <f>IF($A252="","",AsOf-$H252)</f>
        <v/>
      </c>
      <c r="P252" s="37">
        <f>IF($A252="","",IF($K252="Y","-",IF($O252&gt;=30,"D+30 최종통지·선적보류",IF($O252&gt;=15,"D+15 단호한 통지",IF($O252&gt;=7,"D+7 친절한 리마인더",IF(AND($O252&gt;=-3,$O252&lt;=-1),"D-3 사전 안내","모니터링"))))))</f>
        <v/>
      </c>
      <c r="Q252" s="83">
        <f>IF($A252="","",EDATE($H252,1))</f>
        <v/>
      </c>
      <c r="R252" s="37">
        <f>IF($A252="","",$Q252-AsOf)</f>
        <v/>
      </c>
      <c r="S252" s="37">
        <f>IF($A252="","",IF(OR($K252="Y",$F252&lt;&gt;"Y",$O252&lt;=0),"",IF($R252&lt;0,"통지 기한 경과 — 즉시 확인",IF($R252&lt;=NoticeWarnDays,"통지 기한 임박 — 사람 결정",""))))</f>
        <v/>
      </c>
      <c r="T252" s="83">
        <f>IF(OR($A252="",$F252&lt;&gt;"Y"),"",IF(IF($L252="",InsuranceType,$L252)="포괄",DATE(YEAR($G252),MONTH($G252)+1,20),WORKDAY($G252,10)))</f>
        <v/>
      </c>
      <c r="U252" s="83">
        <f>IF(OR($A252="",$M252=""),"",WORKDAY($M252,10))</f>
        <v/>
      </c>
      <c r="V252" s="37">
        <f>IF($A252="","",IF($N252="Y","사기 의심: 콜백 검증 전 대금 안내 중단",""))</f>
        <v/>
      </c>
      <c r="W252" s="37">
        <f>IF($A252="","",IF(AND($K252="N",$D252&lt;&gt;"LC_SIGHT",$D252&lt;&gt;"LC_USANCE",$D252&lt;&gt;"TT_ADV"),$O252,""))</f>
        <v/>
      </c>
      <c r="X252" s="37">
        <f>IF($A252="",0,IF(AND($K252="N",$D252&lt;&gt;"LC_SIGHT",$D252&lt;&gt;"LC_USANCE",$D252&lt;&gt;"TT_ADV",$O252&gt;=30),1,0))</f>
        <v/>
      </c>
      <c r="Y252" s="37">
        <f>IF($A252="","",IF($O252&lt;=0,"미연체",IF($O252&lt;=30,"1-30",IF($O252&lt;=90,"31-90",IF($O252&lt;=180,"91-180",IF($O252&lt;=365,"181-365","365+"))))))</f>
        <v/>
      </c>
      <c r="Z252" s="37">
        <f>IF($S252="통지 기한 임박 — 사람 결정",COUNTIF($S$5:$S252,"통지 기한 임박 — 사람 결정"),"")</f>
        <v/>
      </c>
    </row>
    <row r="253">
      <c r="A253" t="inlineStr">
        <is>
          <t>INV-2609-0124</t>
        </is>
      </c>
      <c r="B253" t="inlineStr">
        <is>
          <t>B123</t>
        </is>
      </c>
      <c r="C253" t="inlineStr">
        <is>
          <t>POL</t>
        </is>
      </c>
      <c r="D253" t="inlineStr">
        <is>
          <t>OA</t>
        </is>
      </c>
      <c r="E253" t="inlineStr">
        <is>
          <t>EUR</t>
        </is>
      </c>
      <c r="F253" t="inlineStr">
        <is>
          <t>Y</t>
        </is>
      </c>
      <c r="G253" s="32" t="n">
        <v>46288</v>
      </c>
      <c r="H253" s="32" t="n">
        <v>46348</v>
      </c>
      <c r="I253" s="82" t="n">
        <v>20190</v>
      </c>
      <c r="J253" s="82" t="n">
        <v>23016.58</v>
      </c>
      <c r="K253" t="inlineStr">
        <is>
          <t>N</t>
        </is>
      </c>
      <c r="L253" t="inlineStr">
        <is>
          <t>개별</t>
        </is>
      </c>
      <c r="N253" t="inlineStr">
        <is>
          <t>N</t>
        </is>
      </c>
      <c r="O253" s="37">
        <f>IF($A253="","",AsOf-$H253)</f>
        <v/>
      </c>
      <c r="P253" s="37">
        <f>IF($A253="","",IF($K253="Y","-",IF($O253&gt;=30,"D+30 최종통지·선적보류",IF($O253&gt;=15,"D+15 단호한 통지",IF($O253&gt;=7,"D+7 친절한 리마인더",IF(AND($O253&gt;=-3,$O253&lt;=-1),"D-3 사전 안내","모니터링"))))))</f>
        <v/>
      </c>
      <c r="Q253" s="83">
        <f>IF($A253="","",EDATE($H253,1))</f>
        <v/>
      </c>
      <c r="R253" s="37">
        <f>IF($A253="","",$Q253-AsOf)</f>
        <v/>
      </c>
      <c r="S253" s="37">
        <f>IF($A253="","",IF(OR($K253="Y",$F253&lt;&gt;"Y",$O253&lt;=0),"",IF($R253&lt;0,"통지 기한 경과 — 즉시 확인",IF($R253&lt;=NoticeWarnDays,"통지 기한 임박 — 사람 결정",""))))</f>
        <v/>
      </c>
      <c r="T253" s="83">
        <f>IF(OR($A253="",$F253&lt;&gt;"Y"),"",IF(IF($L253="",InsuranceType,$L253)="포괄",DATE(YEAR($G253),MONTH($G253)+1,20),WORKDAY($G253,10)))</f>
        <v/>
      </c>
      <c r="U253" s="83">
        <f>IF(OR($A253="",$M253=""),"",WORKDAY($M253,10))</f>
        <v/>
      </c>
      <c r="V253" s="37">
        <f>IF($A253="","",IF($N253="Y","사기 의심: 콜백 검증 전 대금 안내 중단",""))</f>
        <v/>
      </c>
      <c r="W253" s="37">
        <f>IF($A253="","",IF(AND($K253="N",$D253&lt;&gt;"LC_SIGHT",$D253&lt;&gt;"LC_USANCE",$D253&lt;&gt;"TT_ADV"),$O253,""))</f>
        <v/>
      </c>
      <c r="X253" s="37">
        <f>IF($A253="",0,IF(AND($K253="N",$D253&lt;&gt;"LC_SIGHT",$D253&lt;&gt;"LC_USANCE",$D253&lt;&gt;"TT_ADV",$O253&gt;=30),1,0))</f>
        <v/>
      </c>
      <c r="Y253" s="37">
        <f>IF($A253="","",IF($O253&lt;=0,"미연체",IF($O253&lt;=30,"1-30",IF($O253&lt;=90,"31-90",IF($O253&lt;=180,"91-180",IF($O253&lt;=365,"181-365","365+"))))))</f>
        <v/>
      </c>
      <c r="Z253" s="37">
        <f>IF($S253="통지 기한 임박 — 사람 결정",COUNTIF($S$5:$S253,"통지 기한 임박 — 사람 결정"),"")</f>
        <v/>
      </c>
    </row>
    <row r="254">
      <c r="A254" t="inlineStr">
        <is>
          <t>INV-2609-0116</t>
        </is>
      </c>
      <c r="B254" t="inlineStr">
        <is>
          <t>B124</t>
        </is>
      </c>
      <c r="C254" t="inlineStr">
        <is>
          <t>CHN</t>
        </is>
      </c>
      <c r="D254" t="inlineStr">
        <is>
          <t>OA</t>
        </is>
      </c>
      <c r="E254" t="inlineStr">
        <is>
          <t>CNY</t>
        </is>
      </c>
      <c r="F254" t="inlineStr">
        <is>
          <t>N</t>
        </is>
      </c>
      <c r="G254" s="32" t="n">
        <v>46286</v>
      </c>
      <c r="H254" s="32" t="n">
        <v>46346</v>
      </c>
      <c r="I254" s="82" t="n">
        <v>115200</v>
      </c>
      <c r="J254" s="82" t="n">
        <v>17165.65</v>
      </c>
      <c r="K254" t="inlineStr">
        <is>
          <t>N</t>
        </is>
      </c>
      <c r="N254" t="inlineStr">
        <is>
          <t>N</t>
        </is>
      </c>
      <c r="O254" s="37">
        <f>IF($A254="","",AsOf-$H254)</f>
        <v/>
      </c>
      <c r="P254" s="37">
        <f>IF($A254="","",IF($K254="Y","-",IF($O254&gt;=30,"D+30 최종통지·선적보류",IF($O254&gt;=15,"D+15 단호한 통지",IF($O254&gt;=7,"D+7 친절한 리마인더",IF(AND($O254&gt;=-3,$O254&lt;=-1),"D-3 사전 안내","모니터링"))))))</f>
        <v/>
      </c>
      <c r="Q254" s="83">
        <f>IF($A254="","",EDATE($H254,1))</f>
        <v/>
      </c>
      <c r="R254" s="37">
        <f>IF($A254="","",$Q254-AsOf)</f>
        <v/>
      </c>
      <c r="S254" s="37">
        <f>IF($A254="","",IF(OR($K254="Y",$F254&lt;&gt;"Y",$O254&lt;=0),"",IF($R254&lt;0,"통지 기한 경과 — 즉시 확인",IF($R254&lt;=NoticeWarnDays,"통지 기한 임박 — 사람 결정",""))))</f>
        <v/>
      </c>
      <c r="T254" s="83">
        <f>IF(OR($A254="",$F254&lt;&gt;"Y"),"",IF(IF($L254="",InsuranceType,$L254)="포괄",DATE(YEAR($G254),MONTH($G254)+1,20),WORKDAY($G254,10)))</f>
        <v/>
      </c>
      <c r="U254" s="83">
        <f>IF(OR($A254="",$M254=""),"",WORKDAY($M254,10))</f>
        <v/>
      </c>
      <c r="V254" s="37">
        <f>IF($A254="","",IF($N254="Y","사기 의심: 콜백 검증 전 대금 안내 중단",""))</f>
        <v/>
      </c>
      <c r="W254" s="37">
        <f>IF($A254="","",IF(AND($K254="N",$D254&lt;&gt;"LC_SIGHT",$D254&lt;&gt;"LC_USANCE",$D254&lt;&gt;"TT_ADV"),$O254,""))</f>
        <v/>
      </c>
      <c r="X254" s="37">
        <f>IF($A254="",0,IF(AND($K254="N",$D254&lt;&gt;"LC_SIGHT",$D254&lt;&gt;"LC_USANCE",$D254&lt;&gt;"TT_ADV",$O254&gt;=30),1,0))</f>
        <v/>
      </c>
      <c r="Y254" s="37">
        <f>IF($A254="","",IF($O254&lt;=0,"미연체",IF($O254&lt;=30,"1-30",IF($O254&lt;=90,"31-90",IF($O254&lt;=180,"91-180",IF($O254&lt;=365,"181-365","365+"))))))</f>
        <v/>
      </c>
      <c r="Z254" s="37">
        <f>IF($S254="통지 기한 임박 — 사람 결정",COUNTIF($S$5:$S254,"통지 기한 임박 — 사람 결정"),"")</f>
        <v/>
      </c>
    </row>
    <row r="255">
      <c r="A255" t="inlineStr">
        <is>
          <t>INV-2609-0143</t>
        </is>
      </c>
      <c r="B255" t="inlineStr">
        <is>
          <t>B127</t>
        </is>
      </c>
      <c r="C255" t="inlineStr">
        <is>
          <t>VNM</t>
        </is>
      </c>
      <c r="D255" t="inlineStr">
        <is>
          <t>DP</t>
        </is>
      </c>
      <c r="E255" t="inlineStr">
        <is>
          <t>USD</t>
        </is>
      </c>
      <c r="F255" t="inlineStr">
        <is>
          <t>N</t>
        </is>
      </c>
      <c r="G255" s="32" t="n">
        <v>46291</v>
      </c>
      <c r="H255" s="32" t="n">
        <v>46301</v>
      </c>
      <c r="I255" s="82" t="n">
        <v>76010</v>
      </c>
      <c r="J255" s="82" t="n">
        <v>76010</v>
      </c>
      <c r="K255" t="inlineStr">
        <is>
          <t>N</t>
        </is>
      </c>
      <c r="N255" t="inlineStr">
        <is>
          <t>N</t>
        </is>
      </c>
      <c r="O255" s="37">
        <f>IF($A255="","",AsOf-$H255)</f>
        <v/>
      </c>
      <c r="P255" s="37">
        <f>IF($A255="","",IF($K255="Y","-",IF($O255&gt;=30,"D+30 최종통지·선적보류",IF($O255&gt;=15,"D+15 단호한 통지",IF($O255&gt;=7,"D+7 친절한 리마인더",IF(AND($O255&gt;=-3,$O255&lt;=-1),"D-3 사전 안내","모니터링"))))))</f>
        <v/>
      </c>
      <c r="Q255" s="83">
        <f>IF($A255="","",EDATE($H255,1))</f>
        <v/>
      </c>
      <c r="R255" s="37">
        <f>IF($A255="","",$Q255-AsOf)</f>
        <v/>
      </c>
      <c r="S255" s="37">
        <f>IF($A255="","",IF(OR($K255="Y",$F255&lt;&gt;"Y",$O255&lt;=0),"",IF($R255&lt;0,"통지 기한 경과 — 즉시 확인",IF($R255&lt;=NoticeWarnDays,"통지 기한 임박 — 사람 결정",""))))</f>
        <v/>
      </c>
      <c r="T255" s="83">
        <f>IF(OR($A255="",$F255&lt;&gt;"Y"),"",IF(IF($L255="",InsuranceType,$L255)="포괄",DATE(YEAR($G255),MONTH($G255)+1,20),WORKDAY($G255,10)))</f>
        <v/>
      </c>
      <c r="U255" s="83">
        <f>IF(OR($A255="",$M255=""),"",WORKDAY($M255,10))</f>
        <v/>
      </c>
      <c r="V255" s="37">
        <f>IF($A255="","",IF($N255="Y","사기 의심: 콜백 검증 전 대금 안내 중단",""))</f>
        <v/>
      </c>
      <c r="W255" s="37">
        <f>IF($A255="","",IF(AND($K255="N",$D255&lt;&gt;"LC_SIGHT",$D255&lt;&gt;"LC_USANCE",$D255&lt;&gt;"TT_ADV"),$O255,""))</f>
        <v/>
      </c>
      <c r="X255" s="37">
        <f>IF($A255="",0,IF(AND($K255="N",$D255&lt;&gt;"LC_SIGHT",$D255&lt;&gt;"LC_USANCE",$D255&lt;&gt;"TT_ADV",$O255&gt;=30),1,0))</f>
        <v/>
      </c>
      <c r="Y255" s="37">
        <f>IF($A255="","",IF($O255&lt;=0,"미연체",IF($O255&lt;=30,"1-30",IF($O255&lt;=90,"31-90",IF($O255&lt;=180,"91-180",IF($O255&lt;=365,"181-365","365+"))))))</f>
        <v/>
      </c>
      <c r="Z255" s="37">
        <f>IF($S255="통지 기한 임박 — 사람 결정",COUNTIF($S$5:$S255,"통지 기한 임박 — 사람 결정"),"")</f>
        <v/>
      </c>
    </row>
    <row r="256">
      <c r="A256" t="inlineStr">
        <is>
          <t>INV-2609-0125</t>
        </is>
      </c>
      <c r="B256" t="inlineStr">
        <is>
          <t>B127</t>
        </is>
      </c>
      <c r="C256" t="inlineStr">
        <is>
          <t>VNM</t>
        </is>
      </c>
      <c r="D256" t="inlineStr">
        <is>
          <t>DP</t>
        </is>
      </c>
      <c r="E256" t="inlineStr">
        <is>
          <t>USD</t>
        </is>
      </c>
      <c r="F256" t="inlineStr">
        <is>
          <t>N</t>
        </is>
      </c>
      <c r="G256" s="32" t="n">
        <v>46288</v>
      </c>
      <c r="H256" s="32" t="n">
        <v>46303</v>
      </c>
      <c r="I256" s="82" t="n">
        <v>4130</v>
      </c>
      <c r="J256" s="82" t="n">
        <v>4130</v>
      </c>
      <c r="K256" t="inlineStr">
        <is>
          <t>N</t>
        </is>
      </c>
      <c r="N256" t="inlineStr">
        <is>
          <t>N</t>
        </is>
      </c>
      <c r="O256" s="37">
        <f>IF($A256="","",AsOf-$H256)</f>
        <v/>
      </c>
      <c r="P256" s="37">
        <f>IF($A256="","",IF($K256="Y","-",IF($O256&gt;=30,"D+30 최종통지·선적보류",IF($O256&gt;=15,"D+15 단호한 통지",IF($O256&gt;=7,"D+7 친절한 리마인더",IF(AND($O256&gt;=-3,$O256&lt;=-1),"D-3 사전 안내","모니터링"))))))</f>
        <v/>
      </c>
      <c r="Q256" s="83">
        <f>IF($A256="","",EDATE($H256,1))</f>
        <v/>
      </c>
      <c r="R256" s="37">
        <f>IF($A256="","",$Q256-AsOf)</f>
        <v/>
      </c>
      <c r="S256" s="37">
        <f>IF($A256="","",IF(OR($K256="Y",$F256&lt;&gt;"Y",$O256&lt;=0),"",IF($R256&lt;0,"통지 기한 경과 — 즉시 확인",IF($R256&lt;=NoticeWarnDays,"통지 기한 임박 — 사람 결정",""))))</f>
        <v/>
      </c>
      <c r="T256" s="83">
        <f>IF(OR($A256="",$F256&lt;&gt;"Y"),"",IF(IF($L256="",InsuranceType,$L256)="포괄",DATE(YEAR($G256),MONTH($G256)+1,20),WORKDAY($G256,10)))</f>
        <v/>
      </c>
      <c r="U256" s="83">
        <f>IF(OR($A256="",$M256=""),"",WORKDAY($M256,10))</f>
        <v/>
      </c>
      <c r="V256" s="37">
        <f>IF($A256="","",IF($N256="Y","사기 의심: 콜백 검증 전 대금 안내 중단",""))</f>
        <v/>
      </c>
      <c r="W256" s="37">
        <f>IF($A256="","",IF(AND($K256="N",$D256&lt;&gt;"LC_SIGHT",$D256&lt;&gt;"LC_USANCE",$D256&lt;&gt;"TT_ADV"),$O256,""))</f>
        <v/>
      </c>
      <c r="X256" s="37">
        <f>IF($A256="",0,IF(AND($K256="N",$D256&lt;&gt;"LC_SIGHT",$D256&lt;&gt;"LC_USANCE",$D256&lt;&gt;"TT_ADV",$O256&gt;=30),1,0))</f>
        <v/>
      </c>
      <c r="Y256" s="37">
        <f>IF($A256="","",IF($O256&lt;=0,"미연체",IF($O256&lt;=30,"1-30",IF($O256&lt;=90,"31-90",IF($O256&lt;=180,"91-180",IF($O256&lt;=365,"181-365","365+"))))))</f>
        <v/>
      </c>
      <c r="Z256" s="37">
        <f>IF($S256="통지 기한 임박 — 사람 결정",COUNTIF($S$5:$S256,"통지 기한 임박 — 사람 결정"),"")</f>
        <v/>
      </c>
    </row>
    <row r="257">
      <c r="A257" t="inlineStr">
        <is>
          <t>INV-2607-0079</t>
        </is>
      </c>
      <c r="B257" t="inlineStr">
        <is>
          <t>B128</t>
        </is>
      </c>
      <c r="C257" t="inlineStr">
        <is>
          <t>GBR</t>
        </is>
      </c>
      <c r="D257" t="inlineStr">
        <is>
          <t>OA</t>
        </is>
      </c>
      <c r="E257" t="inlineStr">
        <is>
          <t>USD</t>
        </is>
      </c>
      <c r="F257" t="inlineStr">
        <is>
          <t>N</t>
        </is>
      </c>
      <c r="G257" s="32" t="n">
        <v>46217</v>
      </c>
      <c r="H257" s="32" t="n">
        <v>46307</v>
      </c>
      <c r="I257" s="82" t="n">
        <v>5160</v>
      </c>
      <c r="J257" s="82" t="n">
        <v>5160</v>
      </c>
      <c r="K257" t="inlineStr">
        <is>
          <t>N</t>
        </is>
      </c>
      <c r="N257" t="inlineStr">
        <is>
          <t>N</t>
        </is>
      </c>
      <c r="O257" s="37">
        <f>IF($A257="","",AsOf-$H257)</f>
        <v/>
      </c>
      <c r="P257" s="37">
        <f>IF($A257="","",IF($K257="Y","-",IF($O257&gt;=30,"D+30 최종통지·선적보류",IF($O257&gt;=15,"D+15 단호한 통지",IF($O257&gt;=7,"D+7 친절한 리마인더",IF(AND($O257&gt;=-3,$O257&lt;=-1),"D-3 사전 안내","모니터링"))))))</f>
        <v/>
      </c>
      <c r="Q257" s="83">
        <f>IF($A257="","",EDATE($H257,1))</f>
        <v/>
      </c>
      <c r="R257" s="37">
        <f>IF($A257="","",$Q257-AsOf)</f>
        <v/>
      </c>
      <c r="S257" s="37">
        <f>IF($A257="","",IF(OR($K257="Y",$F257&lt;&gt;"Y",$O257&lt;=0),"",IF($R257&lt;0,"통지 기한 경과 — 즉시 확인",IF($R257&lt;=NoticeWarnDays,"통지 기한 임박 — 사람 결정",""))))</f>
        <v/>
      </c>
      <c r="T257" s="83">
        <f>IF(OR($A257="",$F257&lt;&gt;"Y"),"",IF(IF($L257="",InsuranceType,$L257)="포괄",DATE(YEAR($G257),MONTH($G257)+1,20),WORKDAY($G257,10)))</f>
        <v/>
      </c>
      <c r="U257" s="83">
        <f>IF(OR($A257="",$M257=""),"",WORKDAY($M257,10))</f>
        <v/>
      </c>
      <c r="V257" s="37">
        <f>IF($A257="","",IF($N257="Y","사기 의심: 콜백 검증 전 대금 안내 중단",""))</f>
        <v/>
      </c>
      <c r="W257" s="37">
        <f>IF($A257="","",IF(AND($K257="N",$D257&lt;&gt;"LC_SIGHT",$D257&lt;&gt;"LC_USANCE",$D257&lt;&gt;"TT_ADV"),$O257,""))</f>
        <v/>
      </c>
      <c r="X257" s="37">
        <f>IF($A257="",0,IF(AND($K257="N",$D257&lt;&gt;"LC_SIGHT",$D257&lt;&gt;"LC_USANCE",$D257&lt;&gt;"TT_ADV",$O257&gt;=30),1,0))</f>
        <v/>
      </c>
      <c r="Y257" s="37">
        <f>IF($A257="","",IF($O257&lt;=0,"미연체",IF($O257&lt;=30,"1-30",IF($O257&lt;=90,"31-90",IF($O257&lt;=180,"91-180",IF($O257&lt;=365,"181-365","365+"))))))</f>
        <v/>
      </c>
      <c r="Z257" s="37">
        <f>IF($S257="통지 기한 임박 — 사람 결정",COUNTIF($S$5:$S257,"통지 기한 임박 — 사람 결정"),"")</f>
        <v/>
      </c>
    </row>
    <row r="258">
      <c r="A258" t="inlineStr">
        <is>
          <t>INV-2607-0148</t>
        </is>
      </c>
      <c r="B258" t="inlineStr">
        <is>
          <t>B128</t>
        </is>
      </c>
      <c r="C258" t="inlineStr">
        <is>
          <t>GBR</t>
        </is>
      </c>
      <c r="D258" t="inlineStr">
        <is>
          <t>OA</t>
        </is>
      </c>
      <c r="E258" t="inlineStr">
        <is>
          <t>USD</t>
        </is>
      </c>
      <c r="F258" t="inlineStr">
        <is>
          <t>N</t>
        </is>
      </c>
      <c r="G258" s="32" t="n">
        <v>46226</v>
      </c>
      <c r="H258" s="32" t="n">
        <v>46316</v>
      </c>
      <c r="I258" s="82" t="n">
        <v>7050</v>
      </c>
      <c r="J258" s="82" t="n">
        <v>7050</v>
      </c>
      <c r="K258" t="inlineStr">
        <is>
          <t>N</t>
        </is>
      </c>
      <c r="N258" t="inlineStr">
        <is>
          <t>N</t>
        </is>
      </c>
      <c r="O258" s="37">
        <f>IF($A258="","",AsOf-$H258)</f>
        <v/>
      </c>
      <c r="P258" s="37">
        <f>IF($A258="","",IF($K258="Y","-",IF($O258&gt;=30,"D+30 최종통지·선적보류",IF($O258&gt;=15,"D+15 단호한 통지",IF($O258&gt;=7,"D+7 친절한 리마인더",IF(AND($O258&gt;=-3,$O258&lt;=-1),"D-3 사전 안내","모니터링"))))))</f>
        <v/>
      </c>
      <c r="Q258" s="83">
        <f>IF($A258="","",EDATE($H258,1))</f>
        <v/>
      </c>
      <c r="R258" s="37">
        <f>IF($A258="","",$Q258-AsOf)</f>
        <v/>
      </c>
      <c r="S258" s="37">
        <f>IF($A258="","",IF(OR($K258="Y",$F258&lt;&gt;"Y",$O258&lt;=0),"",IF($R258&lt;0,"통지 기한 경과 — 즉시 확인",IF($R258&lt;=NoticeWarnDays,"통지 기한 임박 — 사람 결정",""))))</f>
        <v/>
      </c>
      <c r="T258" s="83">
        <f>IF(OR($A258="",$F258&lt;&gt;"Y"),"",IF(IF($L258="",InsuranceType,$L258)="포괄",DATE(YEAR($G258),MONTH($G258)+1,20),WORKDAY($G258,10)))</f>
        <v/>
      </c>
      <c r="U258" s="83">
        <f>IF(OR($A258="",$M258=""),"",WORKDAY($M258,10))</f>
        <v/>
      </c>
      <c r="V258" s="37">
        <f>IF($A258="","",IF($N258="Y","사기 의심: 콜백 검증 전 대금 안내 중단",""))</f>
        <v/>
      </c>
      <c r="W258" s="37">
        <f>IF($A258="","",IF(AND($K258="N",$D258&lt;&gt;"LC_SIGHT",$D258&lt;&gt;"LC_USANCE",$D258&lt;&gt;"TT_ADV"),$O258,""))</f>
        <v/>
      </c>
      <c r="X258" s="37">
        <f>IF($A258="",0,IF(AND($K258="N",$D258&lt;&gt;"LC_SIGHT",$D258&lt;&gt;"LC_USANCE",$D258&lt;&gt;"TT_ADV",$O258&gt;=30),1,0))</f>
        <v/>
      </c>
      <c r="Y258" s="37">
        <f>IF($A258="","",IF($O258&lt;=0,"미연체",IF($O258&lt;=30,"1-30",IF($O258&lt;=90,"31-90",IF($O258&lt;=180,"91-180",IF($O258&lt;=365,"181-365","365+"))))))</f>
        <v/>
      </c>
      <c r="Z258" s="37">
        <f>IF($S258="통지 기한 임박 — 사람 결정",COUNTIF($S$5:$S258,"통지 기한 임박 — 사람 결정"),"")</f>
        <v/>
      </c>
    </row>
    <row r="259">
      <c r="A259" t="inlineStr">
        <is>
          <t>INV-2608-0006</t>
        </is>
      </c>
      <c r="B259" t="inlineStr">
        <is>
          <t>B128</t>
        </is>
      </c>
      <c r="C259" t="inlineStr">
        <is>
          <t>GBR</t>
        </is>
      </c>
      <c r="D259" t="inlineStr">
        <is>
          <t>OA</t>
        </is>
      </c>
      <c r="E259" t="inlineStr">
        <is>
          <t>USD</t>
        </is>
      </c>
      <c r="F259" t="inlineStr">
        <is>
          <t>N</t>
        </is>
      </c>
      <c r="G259" s="32" t="n">
        <v>46235</v>
      </c>
      <c r="H259" s="32" t="n">
        <v>46325</v>
      </c>
      <c r="I259" s="82" t="n">
        <v>7350</v>
      </c>
      <c r="J259" s="82" t="n">
        <v>7350</v>
      </c>
      <c r="K259" t="inlineStr">
        <is>
          <t>N</t>
        </is>
      </c>
      <c r="N259" t="inlineStr">
        <is>
          <t>N</t>
        </is>
      </c>
      <c r="O259" s="37">
        <f>IF($A259="","",AsOf-$H259)</f>
        <v/>
      </c>
      <c r="P259" s="37">
        <f>IF($A259="","",IF($K259="Y","-",IF($O259&gt;=30,"D+30 최종통지·선적보류",IF($O259&gt;=15,"D+15 단호한 통지",IF($O259&gt;=7,"D+7 친절한 리마인더",IF(AND($O259&gt;=-3,$O259&lt;=-1),"D-3 사전 안내","모니터링"))))))</f>
        <v/>
      </c>
      <c r="Q259" s="83">
        <f>IF($A259="","",EDATE($H259,1))</f>
        <v/>
      </c>
      <c r="R259" s="37">
        <f>IF($A259="","",$Q259-AsOf)</f>
        <v/>
      </c>
      <c r="S259" s="37">
        <f>IF($A259="","",IF(OR($K259="Y",$F259&lt;&gt;"Y",$O259&lt;=0),"",IF($R259&lt;0,"통지 기한 경과 — 즉시 확인",IF($R259&lt;=NoticeWarnDays,"통지 기한 임박 — 사람 결정",""))))</f>
        <v/>
      </c>
      <c r="T259" s="83">
        <f>IF(OR($A259="",$F259&lt;&gt;"Y"),"",IF(IF($L259="",InsuranceType,$L259)="포괄",DATE(YEAR($G259),MONTH($G259)+1,20),WORKDAY($G259,10)))</f>
        <v/>
      </c>
      <c r="U259" s="83">
        <f>IF(OR($A259="",$M259=""),"",WORKDAY($M259,10))</f>
        <v/>
      </c>
      <c r="V259" s="37">
        <f>IF($A259="","",IF($N259="Y","사기 의심: 콜백 검증 전 대금 안내 중단",""))</f>
        <v/>
      </c>
      <c r="W259" s="37">
        <f>IF($A259="","",IF(AND($K259="N",$D259&lt;&gt;"LC_SIGHT",$D259&lt;&gt;"LC_USANCE",$D259&lt;&gt;"TT_ADV"),$O259,""))</f>
        <v/>
      </c>
      <c r="X259" s="37">
        <f>IF($A259="",0,IF(AND($K259="N",$D259&lt;&gt;"LC_SIGHT",$D259&lt;&gt;"LC_USANCE",$D259&lt;&gt;"TT_ADV",$O259&gt;=30),1,0))</f>
        <v/>
      </c>
      <c r="Y259" s="37">
        <f>IF($A259="","",IF($O259&lt;=0,"미연체",IF($O259&lt;=30,"1-30",IF($O259&lt;=90,"31-90",IF($O259&lt;=180,"91-180",IF($O259&lt;=365,"181-365","365+"))))))</f>
        <v/>
      </c>
      <c r="Z259" s="37">
        <f>IF($S259="통지 기한 임박 — 사람 결정",COUNTIF($S$5:$S259,"통지 기한 임박 — 사람 결정"),"")</f>
        <v/>
      </c>
    </row>
    <row r="260">
      <c r="A260" t="inlineStr">
        <is>
          <t>INV-2608-0016</t>
        </is>
      </c>
      <c r="B260" t="inlineStr">
        <is>
          <t>B128</t>
        </is>
      </c>
      <c r="C260" t="inlineStr">
        <is>
          <t>GBR</t>
        </is>
      </c>
      <c r="D260" t="inlineStr">
        <is>
          <t>OA</t>
        </is>
      </c>
      <c r="E260" t="inlineStr">
        <is>
          <t>USD</t>
        </is>
      </c>
      <c r="F260" t="inlineStr">
        <is>
          <t>N</t>
        </is>
      </c>
      <c r="G260" s="32" t="n">
        <v>46237</v>
      </c>
      <c r="H260" s="32" t="n">
        <v>46327</v>
      </c>
      <c r="I260" s="82" t="n">
        <v>28460</v>
      </c>
      <c r="J260" s="82" t="n">
        <v>28460</v>
      </c>
      <c r="K260" t="inlineStr">
        <is>
          <t>N</t>
        </is>
      </c>
      <c r="N260" t="inlineStr">
        <is>
          <t>N</t>
        </is>
      </c>
      <c r="O260" s="37">
        <f>IF($A260="","",AsOf-$H260)</f>
        <v/>
      </c>
      <c r="P260" s="37">
        <f>IF($A260="","",IF($K260="Y","-",IF($O260&gt;=30,"D+30 최종통지·선적보류",IF($O260&gt;=15,"D+15 단호한 통지",IF($O260&gt;=7,"D+7 친절한 리마인더",IF(AND($O260&gt;=-3,$O260&lt;=-1),"D-3 사전 안내","모니터링"))))))</f>
        <v/>
      </c>
      <c r="Q260" s="83">
        <f>IF($A260="","",EDATE($H260,1))</f>
        <v/>
      </c>
      <c r="R260" s="37">
        <f>IF($A260="","",$Q260-AsOf)</f>
        <v/>
      </c>
      <c r="S260" s="37">
        <f>IF($A260="","",IF(OR($K260="Y",$F260&lt;&gt;"Y",$O260&lt;=0),"",IF($R260&lt;0,"통지 기한 경과 — 즉시 확인",IF($R260&lt;=NoticeWarnDays,"통지 기한 임박 — 사람 결정",""))))</f>
        <v/>
      </c>
      <c r="T260" s="83">
        <f>IF(OR($A260="",$F260&lt;&gt;"Y"),"",IF(IF($L260="",InsuranceType,$L260)="포괄",DATE(YEAR($G260),MONTH($G260)+1,20),WORKDAY($G260,10)))</f>
        <v/>
      </c>
      <c r="U260" s="83">
        <f>IF(OR($A260="",$M260=""),"",WORKDAY($M260,10))</f>
        <v/>
      </c>
      <c r="V260" s="37">
        <f>IF($A260="","",IF($N260="Y","사기 의심: 콜백 검증 전 대금 안내 중단",""))</f>
        <v/>
      </c>
      <c r="W260" s="37">
        <f>IF($A260="","",IF(AND($K260="N",$D260&lt;&gt;"LC_SIGHT",$D260&lt;&gt;"LC_USANCE",$D260&lt;&gt;"TT_ADV"),$O260,""))</f>
        <v/>
      </c>
      <c r="X260" s="37">
        <f>IF($A260="",0,IF(AND($K260="N",$D260&lt;&gt;"LC_SIGHT",$D260&lt;&gt;"LC_USANCE",$D260&lt;&gt;"TT_ADV",$O260&gt;=30),1,0))</f>
        <v/>
      </c>
      <c r="Y260" s="37">
        <f>IF($A260="","",IF($O260&lt;=0,"미연체",IF($O260&lt;=30,"1-30",IF($O260&lt;=90,"31-90",IF($O260&lt;=180,"91-180",IF($O260&lt;=365,"181-365","365+"))))))</f>
        <v/>
      </c>
      <c r="Z260" s="37">
        <f>IF($S260="통지 기한 임박 — 사람 결정",COUNTIF($S$5:$S260,"통지 기한 임박 — 사람 결정"),"")</f>
        <v/>
      </c>
    </row>
    <row r="261">
      <c r="A261" t="inlineStr">
        <is>
          <t>INV-2608-0075</t>
        </is>
      </c>
      <c r="B261" t="inlineStr">
        <is>
          <t>B128</t>
        </is>
      </c>
      <c r="C261" t="inlineStr">
        <is>
          <t>GBR</t>
        </is>
      </c>
      <c r="D261" t="inlineStr">
        <is>
          <t>OA</t>
        </is>
      </c>
      <c r="E261" t="inlineStr">
        <is>
          <t>USD</t>
        </is>
      </c>
      <c r="F261" t="inlineStr">
        <is>
          <t>N</t>
        </is>
      </c>
      <c r="G261" s="32" t="n">
        <v>46250</v>
      </c>
      <c r="H261" s="32" t="n">
        <v>46340</v>
      </c>
      <c r="I261" s="82" t="n">
        <v>29800</v>
      </c>
      <c r="J261" s="82" t="n">
        <v>29800</v>
      </c>
      <c r="K261" t="inlineStr">
        <is>
          <t>N</t>
        </is>
      </c>
      <c r="N261" t="inlineStr">
        <is>
          <t>N</t>
        </is>
      </c>
      <c r="O261" s="37">
        <f>IF($A261="","",AsOf-$H261)</f>
        <v/>
      </c>
      <c r="P261" s="37">
        <f>IF($A261="","",IF($K261="Y","-",IF($O261&gt;=30,"D+30 최종통지·선적보류",IF($O261&gt;=15,"D+15 단호한 통지",IF($O261&gt;=7,"D+7 친절한 리마인더",IF(AND($O261&gt;=-3,$O261&lt;=-1),"D-3 사전 안내","모니터링"))))))</f>
        <v/>
      </c>
      <c r="Q261" s="83">
        <f>IF($A261="","",EDATE($H261,1))</f>
        <v/>
      </c>
      <c r="R261" s="37">
        <f>IF($A261="","",$Q261-AsOf)</f>
        <v/>
      </c>
      <c r="S261" s="37">
        <f>IF($A261="","",IF(OR($K261="Y",$F261&lt;&gt;"Y",$O261&lt;=0),"",IF($R261&lt;0,"통지 기한 경과 — 즉시 확인",IF($R261&lt;=NoticeWarnDays,"통지 기한 임박 — 사람 결정",""))))</f>
        <v/>
      </c>
      <c r="T261" s="83">
        <f>IF(OR($A261="",$F261&lt;&gt;"Y"),"",IF(IF($L261="",InsuranceType,$L261)="포괄",DATE(YEAR($G261),MONTH($G261)+1,20),WORKDAY($G261,10)))</f>
        <v/>
      </c>
      <c r="U261" s="83">
        <f>IF(OR($A261="",$M261=""),"",WORKDAY($M261,10))</f>
        <v/>
      </c>
      <c r="V261" s="37">
        <f>IF($A261="","",IF($N261="Y","사기 의심: 콜백 검증 전 대금 안내 중단",""))</f>
        <v/>
      </c>
      <c r="W261" s="37">
        <f>IF($A261="","",IF(AND($K261="N",$D261&lt;&gt;"LC_SIGHT",$D261&lt;&gt;"LC_USANCE",$D261&lt;&gt;"TT_ADV"),$O261,""))</f>
        <v/>
      </c>
      <c r="X261" s="37">
        <f>IF($A261="",0,IF(AND($K261="N",$D261&lt;&gt;"LC_SIGHT",$D261&lt;&gt;"LC_USANCE",$D261&lt;&gt;"TT_ADV",$O261&gt;=30),1,0))</f>
        <v/>
      </c>
      <c r="Y261" s="37">
        <f>IF($A261="","",IF($O261&lt;=0,"미연체",IF($O261&lt;=30,"1-30",IF($O261&lt;=90,"31-90",IF($O261&lt;=180,"91-180",IF($O261&lt;=365,"181-365","365+"))))))</f>
        <v/>
      </c>
      <c r="Z261" s="37">
        <f>IF($S261="통지 기한 임박 — 사람 결정",COUNTIF($S$5:$S261,"통지 기한 임박 — 사람 결정"),"")</f>
        <v/>
      </c>
    </row>
    <row r="262">
      <c r="A262" t="inlineStr">
        <is>
          <t>INV-2609-0028</t>
        </is>
      </c>
      <c r="B262" t="inlineStr">
        <is>
          <t>B128</t>
        </is>
      </c>
      <c r="C262" t="inlineStr">
        <is>
          <t>GBR</t>
        </is>
      </c>
      <c r="D262" t="inlineStr">
        <is>
          <t>OA</t>
        </is>
      </c>
      <c r="E262" t="inlineStr">
        <is>
          <t>USD</t>
        </is>
      </c>
      <c r="F262" t="inlineStr">
        <is>
          <t>N</t>
        </is>
      </c>
      <c r="G262" s="32" t="n">
        <v>46269</v>
      </c>
      <c r="H262" s="32" t="n">
        <v>46359</v>
      </c>
      <c r="I262" s="82" t="n">
        <v>4540</v>
      </c>
      <c r="J262" s="82" t="n">
        <v>4540</v>
      </c>
      <c r="K262" t="inlineStr">
        <is>
          <t>N</t>
        </is>
      </c>
      <c r="N262" t="inlineStr">
        <is>
          <t>N</t>
        </is>
      </c>
      <c r="O262" s="37">
        <f>IF($A262="","",AsOf-$H262)</f>
        <v/>
      </c>
      <c r="P262" s="37">
        <f>IF($A262="","",IF($K262="Y","-",IF($O262&gt;=30,"D+30 최종통지·선적보류",IF($O262&gt;=15,"D+15 단호한 통지",IF($O262&gt;=7,"D+7 친절한 리마인더",IF(AND($O262&gt;=-3,$O262&lt;=-1),"D-3 사전 안내","모니터링"))))))</f>
        <v/>
      </c>
      <c r="Q262" s="83">
        <f>IF($A262="","",EDATE($H262,1))</f>
        <v/>
      </c>
      <c r="R262" s="37">
        <f>IF($A262="","",$Q262-AsOf)</f>
        <v/>
      </c>
      <c r="S262" s="37">
        <f>IF($A262="","",IF(OR($K262="Y",$F262&lt;&gt;"Y",$O262&lt;=0),"",IF($R262&lt;0,"통지 기한 경과 — 즉시 확인",IF($R262&lt;=NoticeWarnDays,"통지 기한 임박 — 사람 결정",""))))</f>
        <v/>
      </c>
      <c r="T262" s="83">
        <f>IF(OR($A262="",$F262&lt;&gt;"Y"),"",IF(IF($L262="",InsuranceType,$L262)="포괄",DATE(YEAR($G262),MONTH($G262)+1,20),WORKDAY($G262,10)))</f>
        <v/>
      </c>
      <c r="U262" s="83">
        <f>IF(OR($A262="",$M262=""),"",WORKDAY($M262,10))</f>
        <v/>
      </c>
      <c r="V262" s="37">
        <f>IF($A262="","",IF($N262="Y","사기 의심: 콜백 검증 전 대금 안내 중단",""))</f>
        <v/>
      </c>
      <c r="W262" s="37">
        <f>IF($A262="","",IF(AND($K262="N",$D262&lt;&gt;"LC_SIGHT",$D262&lt;&gt;"LC_USANCE",$D262&lt;&gt;"TT_ADV"),$O262,""))</f>
        <v/>
      </c>
      <c r="X262" s="37">
        <f>IF($A262="",0,IF(AND($K262="N",$D262&lt;&gt;"LC_SIGHT",$D262&lt;&gt;"LC_USANCE",$D262&lt;&gt;"TT_ADV",$O262&gt;=30),1,0))</f>
        <v/>
      </c>
      <c r="Y262" s="37">
        <f>IF($A262="","",IF($O262&lt;=0,"미연체",IF($O262&lt;=30,"1-30",IF($O262&lt;=90,"31-90",IF($O262&lt;=180,"91-180",IF($O262&lt;=365,"181-365","365+"))))))</f>
        <v/>
      </c>
      <c r="Z262" s="37">
        <f>IF($S262="통지 기한 임박 — 사람 결정",COUNTIF($S$5:$S262,"통지 기한 임박 — 사람 결정"),"")</f>
        <v/>
      </c>
    </row>
    <row r="263">
      <c r="A263" t="inlineStr">
        <is>
          <t>INV-2608-0023</t>
        </is>
      </c>
      <c r="B263" t="inlineStr">
        <is>
          <t>B132</t>
        </is>
      </c>
      <c r="C263" t="inlineStr">
        <is>
          <t>IDN</t>
        </is>
      </c>
      <c r="D263" t="inlineStr">
        <is>
          <t>OA</t>
        </is>
      </c>
      <c r="E263" t="inlineStr">
        <is>
          <t>USD</t>
        </is>
      </c>
      <c r="F263" t="inlineStr">
        <is>
          <t>Y</t>
        </is>
      </c>
      <c r="G263" s="32" t="n">
        <v>46239</v>
      </c>
      <c r="H263" s="32" t="n">
        <v>46299</v>
      </c>
      <c r="I263" s="82" t="n">
        <v>8030</v>
      </c>
      <c r="J263" s="82" t="n">
        <v>8030</v>
      </c>
      <c r="K263" t="inlineStr">
        <is>
          <t>N</t>
        </is>
      </c>
      <c r="L263" t="inlineStr">
        <is>
          <t>개별</t>
        </is>
      </c>
      <c r="N263" t="inlineStr">
        <is>
          <t>N</t>
        </is>
      </c>
      <c r="O263" s="37">
        <f>IF($A263="","",AsOf-$H263)</f>
        <v/>
      </c>
      <c r="P263" s="37">
        <f>IF($A263="","",IF($K263="Y","-",IF($O263&gt;=30,"D+30 최종통지·선적보류",IF($O263&gt;=15,"D+15 단호한 통지",IF($O263&gt;=7,"D+7 친절한 리마인더",IF(AND($O263&gt;=-3,$O263&lt;=-1),"D-3 사전 안내","모니터링"))))))</f>
        <v/>
      </c>
      <c r="Q263" s="83">
        <f>IF($A263="","",EDATE($H263,1))</f>
        <v/>
      </c>
      <c r="R263" s="37">
        <f>IF($A263="","",$Q263-AsOf)</f>
        <v/>
      </c>
      <c r="S263" s="37">
        <f>IF($A263="","",IF(OR($K263="Y",$F263&lt;&gt;"Y",$O263&lt;=0),"",IF($R263&lt;0,"통지 기한 경과 — 즉시 확인",IF($R263&lt;=NoticeWarnDays,"통지 기한 임박 — 사람 결정",""))))</f>
        <v/>
      </c>
      <c r="T263" s="83">
        <f>IF(OR($A263="",$F263&lt;&gt;"Y"),"",IF(IF($L263="",InsuranceType,$L263)="포괄",DATE(YEAR($G263),MONTH($G263)+1,20),WORKDAY($G263,10)))</f>
        <v/>
      </c>
      <c r="U263" s="83">
        <f>IF(OR($A263="",$M263=""),"",WORKDAY($M263,10))</f>
        <v/>
      </c>
      <c r="V263" s="37">
        <f>IF($A263="","",IF($N263="Y","사기 의심: 콜백 검증 전 대금 안내 중단",""))</f>
        <v/>
      </c>
      <c r="W263" s="37">
        <f>IF($A263="","",IF(AND($K263="N",$D263&lt;&gt;"LC_SIGHT",$D263&lt;&gt;"LC_USANCE",$D263&lt;&gt;"TT_ADV"),$O263,""))</f>
        <v/>
      </c>
      <c r="X263" s="37">
        <f>IF($A263="",0,IF(AND($K263="N",$D263&lt;&gt;"LC_SIGHT",$D263&lt;&gt;"LC_USANCE",$D263&lt;&gt;"TT_ADV",$O263&gt;=30),1,0))</f>
        <v/>
      </c>
      <c r="Y263" s="37">
        <f>IF($A263="","",IF($O263&lt;=0,"미연체",IF($O263&lt;=30,"1-30",IF($O263&lt;=90,"31-90",IF($O263&lt;=180,"91-180",IF($O263&lt;=365,"181-365","365+"))))))</f>
        <v/>
      </c>
      <c r="Z263" s="37">
        <f>IF($S263="통지 기한 임박 — 사람 결정",COUNTIF($S$5:$S263,"통지 기한 임박 — 사람 결정"),"")</f>
        <v/>
      </c>
    </row>
    <row r="264">
      <c r="A264" t="inlineStr">
        <is>
          <t>INV-2609-0085</t>
        </is>
      </c>
      <c r="B264" t="inlineStr">
        <is>
          <t>B132</t>
        </is>
      </c>
      <c r="C264" t="inlineStr">
        <is>
          <t>IDN</t>
        </is>
      </c>
      <c r="D264" t="inlineStr">
        <is>
          <t>OA</t>
        </is>
      </c>
      <c r="E264" t="inlineStr">
        <is>
          <t>USD</t>
        </is>
      </c>
      <c r="F264" t="inlineStr">
        <is>
          <t>Y</t>
        </is>
      </c>
      <c r="G264" s="32" t="n">
        <v>46280</v>
      </c>
      <c r="H264" s="32" t="n">
        <v>46340</v>
      </c>
      <c r="I264" s="82" t="n">
        <v>3310</v>
      </c>
      <c r="J264" s="82" t="n">
        <v>3310</v>
      </c>
      <c r="K264" t="inlineStr">
        <is>
          <t>N</t>
        </is>
      </c>
      <c r="L264" t="inlineStr">
        <is>
          <t>개별</t>
        </is>
      </c>
      <c r="N264" t="inlineStr">
        <is>
          <t>N</t>
        </is>
      </c>
      <c r="O264" s="37">
        <f>IF($A264="","",AsOf-$H264)</f>
        <v/>
      </c>
      <c r="P264" s="37">
        <f>IF($A264="","",IF($K264="Y","-",IF($O264&gt;=30,"D+30 최종통지·선적보류",IF($O264&gt;=15,"D+15 단호한 통지",IF($O264&gt;=7,"D+7 친절한 리마인더",IF(AND($O264&gt;=-3,$O264&lt;=-1),"D-3 사전 안내","모니터링"))))))</f>
        <v/>
      </c>
      <c r="Q264" s="83">
        <f>IF($A264="","",EDATE($H264,1))</f>
        <v/>
      </c>
      <c r="R264" s="37">
        <f>IF($A264="","",$Q264-AsOf)</f>
        <v/>
      </c>
      <c r="S264" s="37">
        <f>IF($A264="","",IF(OR($K264="Y",$F264&lt;&gt;"Y",$O264&lt;=0),"",IF($R264&lt;0,"통지 기한 경과 — 즉시 확인",IF($R264&lt;=NoticeWarnDays,"통지 기한 임박 — 사람 결정",""))))</f>
        <v/>
      </c>
      <c r="T264" s="83">
        <f>IF(OR($A264="",$F264&lt;&gt;"Y"),"",IF(IF($L264="",InsuranceType,$L264)="포괄",DATE(YEAR($G264),MONTH($G264)+1,20),WORKDAY($G264,10)))</f>
        <v/>
      </c>
      <c r="U264" s="83">
        <f>IF(OR($A264="",$M264=""),"",WORKDAY($M264,10))</f>
        <v/>
      </c>
      <c r="V264" s="37">
        <f>IF($A264="","",IF($N264="Y","사기 의심: 콜백 검증 전 대금 안내 중단",""))</f>
        <v/>
      </c>
      <c r="W264" s="37">
        <f>IF($A264="","",IF(AND($K264="N",$D264&lt;&gt;"LC_SIGHT",$D264&lt;&gt;"LC_USANCE",$D264&lt;&gt;"TT_ADV"),$O264,""))</f>
        <v/>
      </c>
      <c r="X264" s="37">
        <f>IF($A264="",0,IF(AND($K264="N",$D264&lt;&gt;"LC_SIGHT",$D264&lt;&gt;"LC_USANCE",$D264&lt;&gt;"TT_ADV",$O264&gt;=30),1,0))</f>
        <v/>
      </c>
      <c r="Y264" s="37">
        <f>IF($A264="","",IF($O264&lt;=0,"미연체",IF($O264&lt;=30,"1-30",IF($O264&lt;=90,"31-90",IF($O264&lt;=180,"91-180",IF($O264&lt;=365,"181-365","365+"))))))</f>
        <v/>
      </c>
      <c r="Z264" s="37">
        <f>IF($S264="통지 기한 임박 — 사람 결정",COUNTIF($S$5:$S264,"통지 기한 임박 — 사람 결정"),"")</f>
        <v/>
      </c>
    </row>
    <row r="265">
      <c r="A265" t="inlineStr">
        <is>
          <t>INV-2609-0134</t>
        </is>
      </c>
      <c r="B265" t="inlineStr">
        <is>
          <t>B132</t>
        </is>
      </c>
      <c r="C265" t="inlineStr">
        <is>
          <t>IDN</t>
        </is>
      </c>
      <c r="D265" t="inlineStr">
        <is>
          <t>OA</t>
        </is>
      </c>
      <c r="E265" t="inlineStr">
        <is>
          <t>USD</t>
        </is>
      </c>
      <c r="F265" t="inlineStr">
        <is>
          <t>Y</t>
        </is>
      </c>
      <c r="G265" s="32" t="n">
        <v>46290</v>
      </c>
      <c r="H265" s="32" t="n">
        <v>46350</v>
      </c>
      <c r="I265" s="82" t="n">
        <v>7170</v>
      </c>
      <c r="J265" s="82" t="n">
        <v>7170</v>
      </c>
      <c r="K265" t="inlineStr">
        <is>
          <t>N</t>
        </is>
      </c>
      <c r="L265" t="inlineStr">
        <is>
          <t>개별</t>
        </is>
      </c>
      <c r="N265" t="inlineStr">
        <is>
          <t>N</t>
        </is>
      </c>
      <c r="O265" s="37">
        <f>IF($A265="","",AsOf-$H265)</f>
        <v/>
      </c>
      <c r="P265" s="37">
        <f>IF($A265="","",IF($K265="Y","-",IF($O265&gt;=30,"D+30 최종통지·선적보류",IF($O265&gt;=15,"D+15 단호한 통지",IF($O265&gt;=7,"D+7 친절한 리마인더",IF(AND($O265&gt;=-3,$O265&lt;=-1),"D-3 사전 안내","모니터링"))))))</f>
        <v/>
      </c>
      <c r="Q265" s="83">
        <f>IF($A265="","",EDATE($H265,1))</f>
        <v/>
      </c>
      <c r="R265" s="37">
        <f>IF($A265="","",$Q265-AsOf)</f>
        <v/>
      </c>
      <c r="S265" s="37">
        <f>IF($A265="","",IF(OR($K265="Y",$F265&lt;&gt;"Y",$O265&lt;=0),"",IF($R265&lt;0,"통지 기한 경과 — 즉시 확인",IF($R265&lt;=NoticeWarnDays,"통지 기한 임박 — 사람 결정",""))))</f>
        <v/>
      </c>
      <c r="T265" s="83">
        <f>IF(OR($A265="",$F265&lt;&gt;"Y"),"",IF(IF($L265="",InsuranceType,$L265)="포괄",DATE(YEAR($G265),MONTH($G265)+1,20),WORKDAY($G265,10)))</f>
        <v/>
      </c>
      <c r="U265" s="83">
        <f>IF(OR($A265="",$M265=""),"",WORKDAY($M265,10))</f>
        <v/>
      </c>
      <c r="V265" s="37">
        <f>IF($A265="","",IF($N265="Y","사기 의심: 콜백 검증 전 대금 안내 중단",""))</f>
        <v/>
      </c>
      <c r="W265" s="37">
        <f>IF($A265="","",IF(AND($K265="N",$D265&lt;&gt;"LC_SIGHT",$D265&lt;&gt;"LC_USANCE",$D265&lt;&gt;"TT_ADV"),$O265,""))</f>
        <v/>
      </c>
      <c r="X265" s="37">
        <f>IF($A265="",0,IF(AND($K265="N",$D265&lt;&gt;"LC_SIGHT",$D265&lt;&gt;"LC_USANCE",$D265&lt;&gt;"TT_ADV",$O265&gt;=30),1,0))</f>
        <v/>
      </c>
      <c r="Y265" s="37">
        <f>IF($A265="","",IF($O265&lt;=0,"미연체",IF($O265&lt;=30,"1-30",IF($O265&lt;=90,"31-90",IF($O265&lt;=180,"91-180",IF($O265&lt;=365,"181-365","365+"))))))</f>
        <v/>
      </c>
      <c r="Z265" s="37">
        <f>IF($S265="통지 기한 임박 — 사람 결정",COUNTIF($S$5:$S265,"통지 기한 임박 — 사람 결정"),"")</f>
        <v/>
      </c>
    </row>
    <row r="266">
      <c r="A266" t="inlineStr">
        <is>
          <t>INV-2609-0148</t>
        </is>
      </c>
      <c r="B266" t="inlineStr">
        <is>
          <t>B132</t>
        </is>
      </c>
      <c r="C266" t="inlineStr">
        <is>
          <t>IDN</t>
        </is>
      </c>
      <c r="D266" t="inlineStr">
        <is>
          <t>OA</t>
        </is>
      </c>
      <c r="E266" t="inlineStr">
        <is>
          <t>USD</t>
        </is>
      </c>
      <c r="F266" t="inlineStr">
        <is>
          <t>Y</t>
        </is>
      </c>
      <c r="G266" s="32" t="n">
        <v>46292</v>
      </c>
      <c r="H266" s="32" t="n">
        <v>46352</v>
      </c>
      <c r="I266" s="82" t="n">
        <v>1460</v>
      </c>
      <c r="J266" s="82" t="n">
        <v>1460</v>
      </c>
      <c r="K266" t="inlineStr">
        <is>
          <t>N</t>
        </is>
      </c>
      <c r="L266" t="inlineStr">
        <is>
          <t>개별</t>
        </is>
      </c>
      <c r="N266" t="inlineStr">
        <is>
          <t>N</t>
        </is>
      </c>
      <c r="O266" s="37">
        <f>IF($A266="","",AsOf-$H266)</f>
        <v/>
      </c>
      <c r="P266" s="37">
        <f>IF($A266="","",IF($K266="Y","-",IF($O266&gt;=30,"D+30 최종통지·선적보류",IF($O266&gt;=15,"D+15 단호한 통지",IF($O266&gt;=7,"D+7 친절한 리마인더",IF(AND($O266&gt;=-3,$O266&lt;=-1),"D-3 사전 안내","모니터링"))))))</f>
        <v/>
      </c>
      <c r="Q266" s="83">
        <f>IF($A266="","",EDATE($H266,1))</f>
        <v/>
      </c>
      <c r="R266" s="37">
        <f>IF($A266="","",$Q266-AsOf)</f>
        <v/>
      </c>
      <c r="S266" s="37">
        <f>IF($A266="","",IF(OR($K266="Y",$F266&lt;&gt;"Y",$O266&lt;=0),"",IF($R266&lt;0,"통지 기한 경과 — 즉시 확인",IF($R266&lt;=NoticeWarnDays,"통지 기한 임박 — 사람 결정",""))))</f>
        <v/>
      </c>
      <c r="T266" s="83">
        <f>IF(OR($A266="",$F266&lt;&gt;"Y"),"",IF(IF($L266="",InsuranceType,$L266)="포괄",DATE(YEAR($G266),MONTH($G266)+1,20),WORKDAY($G266,10)))</f>
        <v/>
      </c>
      <c r="U266" s="83">
        <f>IF(OR($A266="",$M266=""),"",WORKDAY($M266,10))</f>
        <v/>
      </c>
      <c r="V266" s="37">
        <f>IF($A266="","",IF($N266="Y","사기 의심: 콜백 검증 전 대금 안내 중단",""))</f>
        <v/>
      </c>
      <c r="W266" s="37">
        <f>IF($A266="","",IF(AND($K266="N",$D266&lt;&gt;"LC_SIGHT",$D266&lt;&gt;"LC_USANCE",$D266&lt;&gt;"TT_ADV"),$O266,""))</f>
        <v/>
      </c>
      <c r="X266" s="37">
        <f>IF($A266="",0,IF(AND($K266="N",$D266&lt;&gt;"LC_SIGHT",$D266&lt;&gt;"LC_USANCE",$D266&lt;&gt;"TT_ADV",$O266&gt;=30),1,0))</f>
        <v/>
      </c>
      <c r="Y266" s="37">
        <f>IF($A266="","",IF($O266&lt;=0,"미연체",IF($O266&lt;=30,"1-30",IF($O266&lt;=90,"31-90",IF($O266&lt;=180,"91-180",IF($O266&lt;=365,"181-365","365+"))))))</f>
        <v/>
      </c>
      <c r="Z266" s="37">
        <f>IF($S266="통지 기한 임박 — 사람 결정",COUNTIF($S$5:$S266,"통지 기한 임박 — 사람 결정"),"")</f>
        <v/>
      </c>
    </row>
    <row r="267">
      <c r="A267" t="inlineStr">
        <is>
          <t>INV-2607-0162</t>
        </is>
      </c>
      <c r="B267" t="inlineStr">
        <is>
          <t>B133</t>
        </is>
      </c>
      <c r="C267" t="inlineStr">
        <is>
          <t>USA</t>
        </is>
      </c>
      <c r="D267" t="inlineStr">
        <is>
          <t>OA</t>
        </is>
      </c>
      <c r="E267" t="inlineStr">
        <is>
          <t>USD</t>
        </is>
      </c>
      <c r="F267" t="inlineStr">
        <is>
          <t>Y</t>
        </is>
      </c>
      <c r="G267" s="32" t="n">
        <v>46229</v>
      </c>
      <c r="H267" s="32" t="n">
        <v>46319</v>
      </c>
      <c r="I267" s="82" t="n">
        <v>11530</v>
      </c>
      <c r="J267" s="82" t="n">
        <v>11530</v>
      </c>
      <c r="K267" t="inlineStr">
        <is>
          <t>N</t>
        </is>
      </c>
      <c r="L267" t="inlineStr">
        <is>
          <t>개별</t>
        </is>
      </c>
      <c r="N267" t="inlineStr">
        <is>
          <t>N</t>
        </is>
      </c>
      <c r="O267" s="37">
        <f>IF($A267="","",AsOf-$H267)</f>
        <v/>
      </c>
      <c r="P267" s="37">
        <f>IF($A267="","",IF($K267="Y","-",IF($O267&gt;=30,"D+30 최종통지·선적보류",IF($O267&gt;=15,"D+15 단호한 통지",IF($O267&gt;=7,"D+7 친절한 리마인더",IF(AND($O267&gt;=-3,$O267&lt;=-1),"D-3 사전 안내","모니터링"))))))</f>
        <v/>
      </c>
      <c r="Q267" s="83">
        <f>IF($A267="","",EDATE($H267,1))</f>
        <v/>
      </c>
      <c r="R267" s="37">
        <f>IF($A267="","",$Q267-AsOf)</f>
        <v/>
      </c>
      <c r="S267" s="37">
        <f>IF($A267="","",IF(OR($K267="Y",$F267&lt;&gt;"Y",$O267&lt;=0),"",IF($R267&lt;0,"통지 기한 경과 — 즉시 확인",IF($R267&lt;=NoticeWarnDays,"통지 기한 임박 — 사람 결정",""))))</f>
        <v/>
      </c>
      <c r="T267" s="83">
        <f>IF(OR($A267="",$F267&lt;&gt;"Y"),"",IF(IF($L267="",InsuranceType,$L267)="포괄",DATE(YEAR($G267),MONTH($G267)+1,20),WORKDAY($G267,10)))</f>
        <v/>
      </c>
      <c r="U267" s="83">
        <f>IF(OR($A267="",$M267=""),"",WORKDAY($M267,10))</f>
        <v/>
      </c>
      <c r="V267" s="37">
        <f>IF($A267="","",IF($N267="Y","사기 의심: 콜백 검증 전 대금 안내 중단",""))</f>
        <v/>
      </c>
      <c r="W267" s="37">
        <f>IF($A267="","",IF(AND($K267="N",$D267&lt;&gt;"LC_SIGHT",$D267&lt;&gt;"LC_USANCE",$D267&lt;&gt;"TT_ADV"),$O267,""))</f>
        <v/>
      </c>
      <c r="X267" s="37">
        <f>IF($A267="",0,IF(AND($K267="N",$D267&lt;&gt;"LC_SIGHT",$D267&lt;&gt;"LC_USANCE",$D267&lt;&gt;"TT_ADV",$O267&gt;=30),1,0))</f>
        <v/>
      </c>
      <c r="Y267" s="37">
        <f>IF($A267="","",IF($O267&lt;=0,"미연체",IF($O267&lt;=30,"1-30",IF($O267&lt;=90,"31-90",IF($O267&lt;=180,"91-180",IF($O267&lt;=365,"181-365","365+"))))))</f>
        <v/>
      </c>
      <c r="Z267" s="37">
        <f>IF($S267="통지 기한 임박 — 사람 결정",COUNTIF($S$5:$S267,"통지 기한 임박 — 사람 결정"),"")</f>
        <v/>
      </c>
    </row>
    <row r="268">
      <c r="A268" t="inlineStr">
        <is>
          <t>INV-2608-0087</t>
        </is>
      </c>
      <c r="B268" t="inlineStr">
        <is>
          <t>B133</t>
        </is>
      </c>
      <c r="C268" t="inlineStr">
        <is>
          <t>USA</t>
        </is>
      </c>
      <c r="D268" t="inlineStr">
        <is>
          <t>OA</t>
        </is>
      </c>
      <c r="E268" t="inlineStr">
        <is>
          <t>USD</t>
        </is>
      </c>
      <c r="F268" t="inlineStr">
        <is>
          <t>Y</t>
        </is>
      </c>
      <c r="G268" s="32" t="n">
        <v>46252</v>
      </c>
      <c r="H268" s="32" t="n">
        <v>46342</v>
      </c>
      <c r="I268" s="82" t="n">
        <v>4830</v>
      </c>
      <c r="J268" s="82" t="n">
        <v>4830</v>
      </c>
      <c r="K268" t="inlineStr">
        <is>
          <t>N</t>
        </is>
      </c>
      <c r="L268" t="inlineStr">
        <is>
          <t>개별</t>
        </is>
      </c>
      <c r="N268" t="inlineStr">
        <is>
          <t>N</t>
        </is>
      </c>
      <c r="O268" s="37">
        <f>IF($A268="","",AsOf-$H268)</f>
        <v/>
      </c>
      <c r="P268" s="37">
        <f>IF($A268="","",IF($K268="Y","-",IF($O268&gt;=30,"D+30 최종통지·선적보류",IF($O268&gt;=15,"D+15 단호한 통지",IF($O268&gt;=7,"D+7 친절한 리마인더",IF(AND($O268&gt;=-3,$O268&lt;=-1),"D-3 사전 안내","모니터링"))))))</f>
        <v/>
      </c>
      <c r="Q268" s="83">
        <f>IF($A268="","",EDATE($H268,1))</f>
        <v/>
      </c>
      <c r="R268" s="37">
        <f>IF($A268="","",$Q268-AsOf)</f>
        <v/>
      </c>
      <c r="S268" s="37">
        <f>IF($A268="","",IF(OR($K268="Y",$F268&lt;&gt;"Y",$O268&lt;=0),"",IF($R268&lt;0,"통지 기한 경과 — 즉시 확인",IF($R268&lt;=NoticeWarnDays,"통지 기한 임박 — 사람 결정",""))))</f>
        <v/>
      </c>
      <c r="T268" s="83">
        <f>IF(OR($A268="",$F268&lt;&gt;"Y"),"",IF(IF($L268="",InsuranceType,$L268)="포괄",DATE(YEAR($G268),MONTH($G268)+1,20),WORKDAY($G268,10)))</f>
        <v/>
      </c>
      <c r="U268" s="83">
        <f>IF(OR($A268="",$M268=""),"",WORKDAY($M268,10))</f>
        <v/>
      </c>
      <c r="V268" s="37">
        <f>IF($A268="","",IF($N268="Y","사기 의심: 콜백 검증 전 대금 안내 중단",""))</f>
        <v/>
      </c>
      <c r="W268" s="37">
        <f>IF($A268="","",IF(AND($K268="N",$D268&lt;&gt;"LC_SIGHT",$D268&lt;&gt;"LC_USANCE",$D268&lt;&gt;"TT_ADV"),$O268,""))</f>
        <v/>
      </c>
      <c r="X268" s="37">
        <f>IF($A268="",0,IF(AND($K268="N",$D268&lt;&gt;"LC_SIGHT",$D268&lt;&gt;"LC_USANCE",$D268&lt;&gt;"TT_ADV",$O268&gt;=30),1,0))</f>
        <v/>
      </c>
      <c r="Y268" s="37">
        <f>IF($A268="","",IF($O268&lt;=0,"미연체",IF($O268&lt;=30,"1-30",IF($O268&lt;=90,"31-90",IF($O268&lt;=180,"91-180",IF($O268&lt;=365,"181-365","365+"))))))</f>
        <v/>
      </c>
      <c r="Z268" s="37">
        <f>IF($S268="통지 기한 임박 — 사람 결정",COUNTIF($S$5:$S268,"통지 기한 임박 — 사람 결정"),"")</f>
        <v/>
      </c>
    </row>
    <row r="269">
      <c r="A269" t="inlineStr">
        <is>
          <t>INV-2605-0106</t>
        </is>
      </c>
      <c r="B269" t="inlineStr">
        <is>
          <t>B134</t>
        </is>
      </c>
      <c r="C269" t="inlineStr">
        <is>
          <t>MEX</t>
        </is>
      </c>
      <c r="D269" t="inlineStr">
        <is>
          <t>OA</t>
        </is>
      </c>
      <c r="E269" t="inlineStr">
        <is>
          <t>USD</t>
        </is>
      </c>
      <c r="F269" t="inlineStr">
        <is>
          <t>Y</t>
        </is>
      </c>
      <c r="G269" s="32" t="n">
        <v>46161</v>
      </c>
      <c r="H269" s="32" t="n">
        <v>46221</v>
      </c>
      <c r="I269" s="82" t="n">
        <v>25350</v>
      </c>
      <c r="J269" s="82" t="n">
        <v>25350</v>
      </c>
      <c r="K269" t="inlineStr">
        <is>
          <t>N</t>
        </is>
      </c>
      <c r="L269" t="inlineStr">
        <is>
          <t>개별</t>
        </is>
      </c>
      <c r="N269" t="inlineStr">
        <is>
          <t>N</t>
        </is>
      </c>
      <c r="O269" s="37">
        <f>IF($A269="","",AsOf-$H269)</f>
        <v/>
      </c>
      <c r="P269" s="37">
        <f>IF($A269="","",IF($K269="Y","-",IF($O269&gt;=30,"D+30 최종통지·선적보류",IF($O269&gt;=15,"D+15 단호한 통지",IF($O269&gt;=7,"D+7 친절한 리마인더",IF(AND($O269&gt;=-3,$O269&lt;=-1),"D-3 사전 안내","모니터링"))))))</f>
        <v/>
      </c>
      <c r="Q269" s="83">
        <f>IF($A269="","",EDATE($H269,1))</f>
        <v/>
      </c>
      <c r="R269" s="37">
        <f>IF($A269="","",$Q269-AsOf)</f>
        <v/>
      </c>
      <c r="S269" s="37">
        <f>IF($A269="","",IF(OR($K269="Y",$F269&lt;&gt;"Y",$O269&lt;=0),"",IF($R269&lt;0,"통지 기한 경과 — 즉시 확인",IF($R269&lt;=NoticeWarnDays,"통지 기한 임박 — 사람 결정",""))))</f>
        <v/>
      </c>
      <c r="T269" s="83">
        <f>IF(OR($A269="",$F269&lt;&gt;"Y"),"",IF(IF($L269="",InsuranceType,$L269)="포괄",DATE(YEAR($G269),MONTH($G269)+1,20),WORKDAY($G269,10)))</f>
        <v/>
      </c>
      <c r="U269" s="83">
        <f>IF(OR($A269="",$M269=""),"",WORKDAY($M269,10))</f>
        <v/>
      </c>
      <c r="V269" s="37">
        <f>IF($A269="","",IF($N269="Y","사기 의심: 콜백 검증 전 대금 안내 중단",""))</f>
        <v/>
      </c>
      <c r="W269" s="37">
        <f>IF($A269="","",IF(AND($K269="N",$D269&lt;&gt;"LC_SIGHT",$D269&lt;&gt;"LC_USANCE",$D269&lt;&gt;"TT_ADV"),$O269,""))</f>
        <v/>
      </c>
      <c r="X269" s="37">
        <f>IF($A269="",0,IF(AND($K269="N",$D269&lt;&gt;"LC_SIGHT",$D269&lt;&gt;"LC_USANCE",$D269&lt;&gt;"TT_ADV",$O269&gt;=30),1,0))</f>
        <v/>
      </c>
      <c r="Y269" s="37">
        <f>IF($A269="","",IF($O269&lt;=0,"미연체",IF($O269&lt;=30,"1-30",IF($O269&lt;=90,"31-90",IF($O269&lt;=180,"91-180",IF($O269&lt;=365,"181-365","365+"))))))</f>
        <v/>
      </c>
      <c r="Z269" s="37">
        <f>IF($S269="통지 기한 임박 — 사람 결정",COUNTIF($S$5:$S269,"통지 기한 임박 — 사람 결정"),"")</f>
        <v/>
      </c>
    </row>
    <row r="270">
      <c r="A270" t="inlineStr">
        <is>
          <t>INV-2605-0135</t>
        </is>
      </c>
      <c r="B270" t="inlineStr">
        <is>
          <t>B134</t>
        </is>
      </c>
      <c r="C270" t="inlineStr">
        <is>
          <t>MEX</t>
        </is>
      </c>
      <c r="D270" t="inlineStr">
        <is>
          <t>OA</t>
        </is>
      </c>
      <c r="E270" t="inlineStr">
        <is>
          <t>USD</t>
        </is>
      </c>
      <c r="F270" t="inlineStr">
        <is>
          <t>Y</t>
        </is>
      </c>
      <c r="G270" s="32" t="n">
        <v>46167</v>
      </c>
      <c r="H270" s="32" t="n">
        <v>46227</v>
      </c>
      <c r="I270" s="82" t="n">
        <v>6420</v>
      </c>
      <c r="J270" s="82" t="n">
        <v>6420</v>
      </c>
      <c r="K270" t="inlineStr">
        <is>
          <t>N</t>
        </is>
      </c>
      <c r="L270" t="inlineStr">
        <is>
          <t>개별</t>
        </is>
      </c>
      <c r="N270" t="inlineStr">
        <is>
          <t>N</t>
        </is>
      </c>
      <c r="O270" s="37">
        <f>IF($A270="","",AsOf-$H270)</f>
        <v/>
      </c>
      <c r="P270" s="37">
        <f>IF($A270="","",IF($K270="Y","-",IF($O270&gt;=30,"D+30 최종통지·선적보류",IF($O270&gt;=15,"D+15 단호한 통지",IF($O270&gt;=7,"D+7 친절한 리마인더",IF(AND($O270&gt;=-3,$O270&lt;=-1),"D-3 사전 안내","모니터링"))))))</f>
        <v/>
      </c>
      <c r="Q270" s="83">
        <f>IF($A270="","",EDATE($H270,1))</f>
        <v/>
      </c>
      <c r="R270" s="37">
        <f>IF($A270="","",$Q270-AsOf)</f>
        <v/>
      </c>
      <c r="S270" s="37">
        <f>IF($A270="","",IF(OR($K270="Y",$F270&lt;&gt;"Y",$O270&lt;=0),"",IF($R270&lt;0,"통지 기한 경과 — 즉시 확인",IF($R270&lt;=NoticeWarnDays,"통지 기한 임박 — 사람 결정",""))))</f>
        <v/>
      </c>
      <c r="T270" s="83">
        <f>IF(OR($A270="",$F270&lt;&gt;"Y"),"",IF(IF($L270="",InsuranceType,$L270)="포괄",DATE(YEAR($G270),MONTH($G270)+1,20),WORKDAY($G270,10)))</f>
        <v/>
      </c>
      <c r="U270" s="83">
        <f>IF(OR($A270="",$M270=""),"",WORKDAY($M270,10))</f>
        <v/>
      </c>
      <c r="V270" s="37">
        <f>IF($A270="","",IF($N270="Y","사기 의심: 콜백 검증 전 대금 안내 중단",""))</f>
        <v/>
      </c>
      <c r="W270" s="37">
        <f>IF($A270="","",IF(AND($K270="N",$D270&lt;&gt;"LC_SIGHT",$D270&lt;&gt;"LC_USANCE",$D270&lt;&gt;"TT_ADV"),$O270,""))</f>
        <v/>
      </c>
      <c r="X270" s="37">
        <f>IF($A270="",0,IF(AND($K270="N",$D270&lt;&gt;"LC_SIGHT",$D270&lt;&gt;"LC_USANCE",$D270&lt;&gt;"TT_ADV",$O270&gt;=30),1,0))</f>
        <v/>
      </c>
      <c r="Y270" s="37">
        <f>IF($A270="","",IF($O270&lt;=0,"미연체",IF($O270&lt;=30,"1-30",IF($O270&lt;=90,"31-90",IF($O270&lt;=180,"91-180",IF($O270&lt;=365,"181-365","365+"))))))</f>
        <v/>
      </c>
      <c r="Z270" s="37">
        <f>IF($S270="통지 기한 임박 — 사람 결정",COUNTIF($S$5:$S270,"통지 기한 임박 — 사람 결정"),"")</f>
        <v/>
      </c>
    </row>
    <row r="271">
      <c r="A271" t="inlineStr">
        <is>
          <t>INV-2607-0093</t>
        </is>
      </c>
      <c r="B271" t="inlineStr">
        <is>
          <t>B134</t>
        </is>
      </c>
      <c r="C271" t="inlineStr">
        <is>
          <t>MEX</t>
        </is>
      </c>
      <c r="D271" t="inlineStr">
        <is>
          <t>OA</t>
        </is>
      </c>
      <c r="E271" t="inlineStr">
        <is>
          <t>USD</t>
        </is>
      </c>
      <c r="F271" t="inlineStr">
        <is>
          <t>Y</t>
        </is>
      </c>
      <c r="G271" s="32" t="n">
        <v>46220</v>
      </c>
      <c r="H271" s="32" t="n">
        <v>46280</v>
      </c>
      <c r="I271" s="82" t="n">
        <v>27430</v>
      </c>
      <c r="J271" s="82" t="n">
        <v>27430</v>
      </c>
      <c r="K271" t="inlineStr">
        <is>
          <t>N</t>
        </is>
      </c>
      <c r="L271" t="inlineStr">
        <is>
          <t>개별</t>
        </is>
      </c>
      <c r="N271" t="inlineStr">
        <is>
          <t>N</t>
        </is>
      </c>
      <c r="O271" s="37">
        <f>IF($A271="","",AsOf-$H271)</f>
        <v/>
      </c>
      <c r="P271" s="37">
        <f>IF($A271="","",IF($K271="Y","-",IF($O271&gt;=30,"D+30 최종통지·선적보류",IF($O271&gt;=15,"D+15 단호한 통지",IF($O271&gt;=7,"D+7 친절한 리마인더",IF(AND($O271&gt;=-3,$O271&lt;=-1),"D-3 사전 안내","모니터링"))))))</f>
        <v/>
      </c>
      <c r="Q271" s="83">
        <f>IF($A271="","",EDATE($H271,1))</f>
        <v/>
      </c>
      <c r="R271" s="37">
        <f>IF($A271="","",$Q271-AsOf)</f>
        <v/>
      </c>
      <c r="S271" s="37">
        <f>IF($A271="","",IF(OR($K271="Y",$F271&lt;&gt;"Y",$O271&lt;=0),"",IF($R271&lt;0,"통지 기한 경과 — 즉시 확인",IF($R271&lt;=NoticeWarnDays,"통지 기한 임박 — 사람 결정",""))))</f>
        <v/>
      </c>
      <c r="T271" s="83">
        <f>IF(OR($A271="",$F271&lt;&gt;"Y"),"",IF(IF($L271="",InsuranceType,$L271)="포괄",DATE(YEAR($G271),MONTH($G271)+1,20),WORKDAY($G271,10)))</f>
        <v/>
      </c>
      <c r="U271" s="83">
        <f>IF(OR($A271="",$M271=""),"",WORKDAY($M271,10))</f>
        <v/>
      </c>
      <c r="V271" s="37">
        <f>IF($A271="","",IF($N271="Y","사기 의심: 콜백 검증 전 대금 안내 중단",""))</f>
        <v/>
      </c>
      <c r="W271" s="37">
        <f>IF($A271="","",IF(AND($K271="N",$D271&lt;&gt;"LC_SIGHT",$D271&lt;&gt;"LC_USANCE",$D271&lt;&gt;"TT_ADV"),$O271,""))</f>
        <v/>
      </c>
      <c r="X271" s="37">
        <f>IF($A271="",0,IF(AND($K271="N",$D271&lt;&gt;"LC_SIGHT",$D271&lt;&gt;"LC_USANCE",$D271&lt;&gt;"TT_ADV",$O271&gt;=30),1,0))</f>
        <v/>
      </c>
      <c r="Y271" s="37">
        <f>IF($A271="","",IF($O271&lt;=0,"미연체",IF($O271&lt;=30,"1-30",IF($O271&lt;=90,"31-90",IF($O271&lt;=180,"91-180",IF($O271&lt;=365,"181-365","365+"))))))</f>
        <v/>
      </c>
      <c r="Z271" s="37">
        <f>IF($S271="통지 기한 임박 — 사람 결정",COUNTIF($S$5:$S271,"통지 기한 임박 — 사람 결정"),"")</f>
        <v/>
      </c>
    </row>
    <row r="272">
      <c r="A272" t="inlineStr">
        <is>
          <t>INV-2609-0037</t>
        </is>
      </c>
      <c r="B272" t="inlineStr">
        <is>
          <t>B134</t>
        </is>
      </c>
      <c r="C272" t="inlineStr">
        <is>
          <t>MEX</t>
        </is>
      </c>
      <c r="D272" t="inlineStr">
        <is>
          <t>OA</t>
        </is>
      </c>
      <c r="E272" t="inlineStr">
        <is>
          <t>USD</t>
        </is>
      </c>
      <c r="F272" t="inlineStr">
        <is>
          <t>Y</t>
        </is>
      </c>
      <c r="G272" s="32" t="n">
        <v>46271</v>
      </c>
      <c r="H272" s="32" t="n">
        <v>46331</v>
      </c>
      <c r="I272" s="82" t="n">
        <v>34260</v>
      </c>
      <c r="J272" s="82" t="n">
        <v>34260</v>
      </c>
      <c r="K272" t="inlineStr">
        <is>
          <t>N</t>
        </is>
      </c>
      <c r="L272" t="inlineStr">
        <is>
          <t>개별</t>
        </is>
      </c>
      <c r="N272" t="inlineStr">
        <is>
          <t>N</t>
        </is>
      </c>
      <c r="O272" s="37">
        <f>IF($A272="","",AsOf-$H272)</f>
        <v/>
      </c>
      <c r="P272" s="37">
        <f>IF($A272="","",IF($K272="Y","-",IF($O272&gt;=30,"D+30 최종통지·선적보류",IF($O272&gt;=15,"D+15 단호한 통지",IF($O272&gt;=7,"D+7 친절한 리마인더",IF(AND($O272&gt;=-3,$O272&lt;=-1),"D-3 사전 안내","모니터링"))))))</f>
        <v/>
      </c>
      <c r="Q272" s="83">
        <f>IF($A272="","",EDATE($H272,1))</f>
        <v/>
      </c>
      <c r="R272" s="37">
        <f>IF($A272="","",$Q272-AsOf)</f>
        <v/>
      </c>
      <c r="S272" s="37">
        <f>IF($A272="","",IF(OR($K272="Y",$F272&lt;&gt;"Y",$O272&lt;=0),"",IF($R272&lt;0,"통지 기한 경과 — 즉시 확인",IF($R272&lt;=NoticeWarnDays,"통지 기한 임박 — 사람 결정",""))))</f>
        <v/>
      </c>
      <c r="T272" s="83">
        <f>IF(OR($A272="",$F272&lt;&gt;"Y"),"",IF(IF($L272="",InsuranceType,$L272)="포괄",DATE(YEAR($G272),MONTH($G272)+1,20),WORKDAY($G272,10)))</f>
        <v/>
      </c>
      <c r="U272" s="83">
        <f>IF(OR($A272="",$M272=""),"",WORKDAY($M272,10))</f>
        <v/>
      </c>
      <c r="V272" s="37">
        <f>IF($A272="","",IF($N272="Y","사기 의심: 콜백 검증 전 대금 안내 중단",""))</f>
        <v/>
      </c>
      <c r="W272" s="37">
        <f>IF($A272="","",IF(AND($K272="N",$D272&lt;&gt;"LC_SIGHT",$D272&lt;&gt;"LC_USANCE",$D272&lt;&gt;"TT_ADV"),$O272,""))</f>
        <v/>
      </c>
      <c r="X272" s="37">
        <f>IF($A272="",0,IF(AND($K272="N",$D272&lt;&gt;"LC_SIGHT",$D272&lt;&gt;"LC_USANCE",$D272&lt;&gt;"TT_ADV",$O272&gt;=30),1,0))</f>
        <v/>
      </c>
      <c r="Y272" s="37">
        <f>IF($A272="","",IF($O272&lt;=0,"미연체",IF($O272&lt;=30,"1-30",IF($O272&lt;=90,"31-90",IF($O272&lt;=180,"91-180",IF($O272&lt;=365,"181-365","365+"))))))</f>
        <v/>
      </c>
      <c r="Z272" s="37">
        <f>IF($S272="통지 기한 임박 — 사람 결정",COUNTIF($S$5:$S272,"통지 기한 임박 — 사람 결정"),"")</f>
        <v/>
      </c>
    </row>
    <row r="273">
      <c r="A273" t="inlineStr">
        <is>
          <t>INV-2609-0067</t>
        </is>
      </c>
      <c r="B273" t="inlineStr">
        <is>
          <t>B135</t>
        </is>
      </c>
      <c r="C273" t="inlineStr">
        <is>
          <t>TUR</t>
        </is>
      </c>
      <c r="D273" t="inlineStr">
        <is>
          <t>OA</t>
        </is>
      </c>
      <c r="E273" t="inlineStr">
        <is>
          <t>USD</t>
        </is>
      </c>
      <c r="F273" t="inlineStr">
        <is>
          <t>Y</t>
        </is>
      </c>
      <c r="G273" s="32" t="n">
        <v>46277</v>
      </c>
      <c r="H273" s="32" t="n">
        <v>46307</v>
      </c>
      <c r="I273" s="82" t="n">
        <v>5520</v>
      </c>
      <c r="J273" s="82" t="n">
        <v>5520</v>
      </c>
      <c r="K273" t="inlineStr">
        <is>
          <t>N</t>
        </is>
      </c>
      <c r="L273" t="inlineStr">
        <is>
          <t>개별</t>
        </is>
      </c>
      <c r="N273" t="inlineStr">
        <is>
          <t>N</t>
        </is>
      </c>
      <c r="O273" s="37">
        <f>IF($A273="","",AsOf-$H273)</f>
        <v/>
      </c>
      <c r="P273" s="37">
        <f>IF($A273="","",IF($K273="Y","-",IF($O273&gt;=30,"D+30 최종통지·선적보류",IF($O273&gt;=15,"D+15 단호한 통지",IF($O273&gt;=7,"D+7 친절한 리마인더",IF(AND($O273&gt;=-3,$O273&lt;=-1),"D-3 사전 안내","모니터링"))))))</f>
        <v/>
      </c>
      <c r="Q273" s="83">
        <f>IF($A273="","",EDATE($H273,1))</f>
        <v/>
      </c>
      <c r="R273" s="37">
        <f>IF($A273="","",$Q273-AsOf)</f>
        <v/>
      </c>
      <c r="S273" s="37">
        <f>IF($A273="","",IF(OR($K273="Y",$F273&lt;&gt;"Y",$O273&lt;=0),"",IF($R273&lt;0,"통지 기한 경과 — 즉시 확인",IF($R273&lt;=NoticeWarnDays,"통지 기한 임박 — 사람 결정",""))))</f>
        <v/>
      </c>
      <c r="T273" s="83">
        <f>IF(OR($A273="",$F273&lt;&gt;"Y"),"",IF(IF($L273="",InsuranceType,$L273)="포괄",DATE(YEAR($G273),MONTH($G273)+1,20),WORKDAY($G273,10)))</f>
        <v/>
      </c>
      <c r="U273" s="83">
        <f>IF(OR($A273="",$M273=""),"",WORKDAY($M273,10))</f>
        <v/>
      </c>
      <c r="V273" s="37">
        <f>IF($A273="","",IF($N273="Y","사기 의심: 콜백 검증 전 대금 안내 중단",""))</f>
        <v/>
      </c>
      <c r="W273" s="37">
        <f>IF($A273="","",IF(AND($K273="N",$D273&lt;&gt;"LC_SIGHT",$D273&lt;&gt;"LC_USANCE",$D273&lt;&gt;"TT_ADV"),$O273,""))</f>
        <v/>
      </c>
      <c r="X273" s="37">
        <f>IF($A273="",0,IF(AND($K273="N",$D273&lt;&gt;"LC_SIGHT",$D273&lt;&gt;"LC_USANCE",$D273&lt;&gt;"TT_ADV",$O273&gt;=30),1,0))</f>
        <v/>
      </c>
      <c r="Y273" s="37">
        <f>IF($A273="","",IF($O273&lt;=0,"미연체",IF($O273&lt;=30,"1-30",IF($O273&lt;=90,"31-90",IF($O273&lt;=180,"91-180",IF($O273&lt;=365,"181-365","365+"))))))</f>
        <v/>
      </c>
      <c r="Z273" s="37">
        <f>IF($S273="통지 기한 임박 — 사람 결정",COUNTIF($S$5:$S273,"통지 기한 임박 — 사람 결정"),"")</f>
        <v/>
      </c>
    </row>
    <row r="274">
      <c r="A274" t="inlineStr">
        <is>
          <t>INV-2607-0167</t>
        </is>
      </c>
      <c r="B274" t="inlineStr">
        <is>
          <t>B138</t>
        </is>
      </c>
      <c r="C274" t="inlineStr">
        <is>
          <t>CHN</t>
        </is>
      </c>
      <c r="D274" t="inlineStr">
        <is>
          <t>OA</t>
        </is>
      </c>
      <c r="E274" t="inlineStr">
        <is>
          <t>CNY</t>
        </is>
      </c>
      <c r="F274" t="inlineStr">
        <is>
          <t>Y</t>
        </is>
      </c>
      <c r="G274" s="32" t="n">
        <v>46230</v>
      </c>
      <c r="H274" s="32" t="n">
        <v>46320</v>
      </c>
      <c r="I274" s="82" t="n">
        <v>35700</v>
      </c>
      <c r="J274" s="82" t="n">
        <v>5319.56</v>
      </c>
      <c r="K274" t="inlineStr">
        <is>
          <t>N</t>
        </is>
      </c>
      <c r="L274" t="inlineStr">
        <is>
          <t>개별</t>
        </is>
      </c>
      <c r="N274" t="inlineStr">
        <is>
          <t>N</t>
        </is>
      </c>
      <c r="O274" s="37">
        <f>IF($A274="","",AsOf-$H274)</f>
        <v/>
      </c>
      <c r="P274" s="37">
        <f>IF($A274="","",IF($K274="Y","-",IF($O274&gt;=30,"D+30 최종통지·선적보류",IF($O274&gt;=15,"D+15 단호한 통지",IF($O274&gt;=7,"D+7 친절한 리마인더",IF(AND($O274&gt;=-3,$O274&lt;=-1),"D-3 사전 안내","모니터링"))))))</f>
        <v/>
      </c>
      <c r="Q274" s="83">
        <f>IF($A274="","",EDATE($H274,1))</f>
        <v/>
      </c>
      <c r="R274" s="37">
        <f>IF($A274="","",$Q274-AsOf)</f>
        <v/>
      </c>
      <c r="S274" s="37">
        <f>IF($A274="","",IF(OR($K274="Y",$F274&lt;&gt;"Y",$O274&lt;=0),"",IF($R274&lt;0,"통지 기한 경과 — 즉시 확인",IF($R274&lt;=NoticeWarnDays,"통지 기한 임박 — 사람 결정",""))))</f>
        <v/>
      </c>
      <c r="T274" s="83">
        <f>IF(OR($A274="",$F274&lt;&gt;"Y"),"",IF(IF($L274="",InsuranceType,$L274)="포괄",DATE(YEAR($G274),MONTH($G274)+1,20),WORKDAY($G274,10)))</f>
        <v/>
      </c>
      <c r="U274" s="83">
        <f>IF(OR($A274="",$M274=""),"",WORKDAY($M274,10))</f>
        <v/>
      </c>
      <c r="V274" s="37">
        <f>IF($A274="","",IF($N274="Y","사기 의심: 콜백 검증 전 대금 안내 중단",""))</f>
        <v/>
      </c>
      <c r="W274" s="37">
        <f>IF($A274="","",IF(AND($K274="N",$D274&lt;&gt;"LC_SIGHT",$D274&lt;&gt;"LC_USANCE",$D274&lt;&gt;"TT_ADV"),$O274,""))</f>
        <v/>
      </c>
      <c r="X274" s="37">
        <f>IF($A274="",0,IF(AND($K274="N",$D274&lt;&gt;"LC_SIGHT",$D274&lt;&gt;"LC_USANCE",$D274&lt;&gt;"TT_ADV",$O274&gt;=30),1,0))</f>
        <v/>
      </c>
      <c r="Y274" s="37">
        <f>IF($A274="","",IF($O274&lt;=0,"미연체",IF($O274&lt;=30,"1-30",IF($O274&lt;=90,"31-90",IF($O274&lt;=180,"91-180",IF($O274&lt;=365,"181-365","365+"))))))</f>
        <v/>
      </c>
      <c r="Z274" s="37">
        <f>IF($S274="통지 기한 임박 — 사람 결정",COUNTIF($S$5:$S274,"통지 기한 임박 — 사람 결정"),"")</f>
        <v/>
      </c>
    </row>
    <row r="275">
      <c r="A275" t="inlineStr">
        <is>
          <t>INV-2609-0022</t>
        </is>
      </c>
      <c r="B275" t="inlineStr">
        <is>
          <t>B138</t>
        </is>
      </c>
      <c r="C275" t="inlineStr">
        <is>
          <t>CHN</t>
        </is>
      </c>
      <c r="D275" t="inlineStr">
        <is>
          <t>OA</t>
        </is>
      </c>
      <c r="E275" t="inlineStr">
        <is>
          <t>CNY</t>
        </is>
      </c>
      <c r="F275" t="inlineStr">
        <is>
          <t>Y</t>
        </is>
      </c>
      <c r="G275" s="32" t="n">
        <v>46268</v>
      </c>
      <c r="H275" s="32" t="n">
        <v>46358</v>
      </c>
      <c r="I275" s="82" t="n">
        <v>24100</v>
      </c>
      <c r="J275" s="82" t="n">
        <v>3591.08</v>
      </c>
      <c r="K275" t="inlineStr">
        <is>
          <t>N</t>
        </is>
      </c>
      <c r="L275" t="inlineStr">
        <is>
          <t>개별</t>
        </is>
      </c>
      <c r="N275" t="inlineStr">
        <is>
          <t>N</t>
        </is>
      </c>
      <c r="O275" s="37">
        <f>IF($A275="","",AsOf-$H275)</f>
        <v/>
      </c>
      <c r="P275" s="37">
        <f>IF($A275="","",IF($K275="Y","-",IF($O275&gt;=30,"D+30 최종통지·선적보류",IF($O275&gt;=15,"D+15 단호한 통지",IF($O275&gt;=7,"D+7 친절한 리마인더",IF(AND($O275&gt;=-3,$O275&lt;=-1),"D-3 사전 안내","모니터링"))))))</f>
        <v/>
      </c>
      <c r="Q275" s="83">
        <f>IF($A275="","",EDATE($H275,1))</f>
        <v/>
      </c>
      <c r="R275" s="37">
        <f>IF($A275="","",$Q275-AsOf)</f>
        <v/>
      </c>
      <c r="S275" s="37">
        <f>IF($A275="","",IF(OR($K275="Y",$F275&lt;&gt;"Y",$O275&lt;=0),"",IF($R275&lt;0,"통지 기한 경과 — 즉시 확인",IF($R275&lt;=NoticeWarnDays,"통지 기한 임박 — 사람 결정",""))))</f>
        <v/>
      </c>
      <c r="T275" s="83">
        <f>IF(OR($A275="",$F275&lt;&gt;"Y"),"",IF(IF($L275="",InsuranceType,$L275)="포괄",DATE(YEAR($G275),MONTH($G275)+1,20),WORKDAY($G275,10)))</f>
        <v/>
      </c>
      <c r="U275" s="83">
        <f>IF(OR($A275="",$M275=""),"",WORKDAY($M275,10))</f>
        <v/>
      </c>
      <c r="V275" s="37">
        <f>IF($A275="","",IF($N275="Y","사기 의심: 콜백 검증 전 대금 안내 중단",""))</f>
        <v/>
      </c>
      <c r="W275" s="37">
        <f>IF($A275="","",IF(AND($K275="N",$D275&lt;&gt;"LC_SIGHT",$D275&lt;&gt;"LC_USANCE",$D275&lt;&gt;"TT_ADV"),$O275,""))</f>
        <v/>
      </c>
      <c r="X275" s="37">
        <f>IF($A275="",0,IF(AND($K275="N",$D275&lt;&gt;"LC_SIGHT",$D275&lt;&gt;"LC_USANCE",$D275&lt;&gt;"TT_ADV",$O275&gt;=30),1,0))</f>
        <v/>
      </c>
      <c r="Y275" s="37">
        <f>IF($A275="","",IF($O275&lt;=0,"미연체",IF($O275&lt;=30,"1-30",IF($O275&lt;=90,"31-90",IF($O275&lt;=180,"91-180",IF($O275&lt;=365,"181-365","365+"))))))</f>
        <v/>
      </c>
      <c r="Z275" s="37">
        <f>IF($S275="통지 기한 임박 — 사람 결정",COUNTIF($S$5:$S275,"통지 기한 임박 — 사람 결정"),"")</f>
        <v/>
      </c>
    </row>
    <row r="276">
      <c r="A276" t="inlineStr">
        <is>
          <t>INV-2609-0039</t>
        </is>
      </c>
      <c r="B276" t="inlineStr">
        <is>
          <t>B139</t>
        </is>
      </c>
      <c r="C276" t="inlineStr">
        <is>
          <t>DEU</t>
        </is>
      </c>
      <c r="D276" t="inlineStr">
        <is>
          <t>DA</t>
        </is>
      </c>
      <c r="E276" t="inlineStr">
        <is>
          <t>EUR</t>
        </is>
      </c>
      <c r="F276" t="inlineStr">
        <is>
          <t>Y</t>
        </is>
      </c>
      <c r="G276" s="32" t="n">
        <v>46271</v>
      </c>
      <c r="H276" s="32" t="n">
        <v>46361</v>
      </c>
      <c r="I276" s="82" t="n">
        <v>7840</v>
      </c>
      <c r="J276" s="82" t="n">
        <v>8937.59</v>
      </c>
      <c r="K276" t="inlineStr">
        <is>
          <t>N</t>
        </is>
      </c>
      <c r="L276" t="inlineStr">
        <is>
          <t>개별</t>
        </is>
      </c>
      <c r="N276" t="inlineStr">
        <is>
          <t>N</t>
        </is>
      </c>
      <c r="O276" s="37">
        <f>IF($A276="","",AsOf-$H276)</f>
        <v/>
      </c>
      <c r="P276" s="37">
        <f>IF($A276="","",IF($K276="Y","-",IF($O276&gt;=30,"D+30 최종통지·선적보류",IF($O276&gt;=15,"D+15 단호한 통지",IF($O276&gt;=7,"D+7 친절한 리마인더",IF(AND($O276&gt;=-3,$O276&lt;=-1),"D-3 사전 안내","모니터링"))))))</f>
        <v/>
      </c>
      <c r="Q276" s="83">
        <f>IF($A276="","",EDATE($H276,1))</f>
        <v/>
      </c>
      <c r="R276" s="37">
        <f>IF($A276="","",$Q276-AsOf)</f>
        <v/>
      </c>
      <c r="S276" s="37">
        <f>IF($A276="","",IF(OR($K276="Y",$F276&lt;&gt;"Y",$O276&lt;=0),"",IF($R276&lt;0,"통지 기한 경과 — 즉시 확인",IF($R276&lt;=NoticeWarnDays,"통지 기한 임박 — 사람 결정",""))))</f>
        <v/>
      </c>
      <c r="T276" s="83">
        <f>IF(OR($A276="",$F276&lt;&gt;"Y"),"",IF(IF($L276="",InsuranceType,$L276)="포괄",DATE(YEAR($G276),MONTH($G276)+1,20),WORKDAY($G276,10)))</f>
        <v/>
      </c>
      <c r="U276" s="83">
        <f>IF(OR($A276="",$M276=""),"",WORKDAY($M276,10))</f>
        <v/>
      </c>
      <c r="V276" s="37">
        <f>IF($A276="","",IF($N276="Y","사기 의심: 콜백 검증 전 대금 안내 중단",""))</f>
        <v/>
      </c>
      <c r="W276" s="37">
        <f>IF($A276="","",IF(AND($K276="N",$D276&lt;&gt;"LC_SIGHT",$D276&lt;&gt;"LC_USANCE",$D276&lt;&gt;"TT_ADV"),$O276,""))</f>
        <v/>
      </c>
      <c r="X276" s="37">
        <f>IF($A276="",0,IF(AND($K276="N",$D276&lt;&gt;"LC_SIGHT",$D276&lt;&gt;"LC_USANCE",$D276&lt;&gt;"TT_ADV",$O276&gt;=30),1,0))</f>
        <v/>
      </c>
      <c r="Y276" s="37">
        <f>IF($A276="","",IF($O276&lt;=0,"미연체",IF($O276&lt;=30,"1-30",IF($O276&lt;=90,"31-90",IF($O276&lt;=180,"91-180",IF($O276&lt;=365,"181-365","365+"))))))</f>
        <v/>
      </c>
      <c r="Z276" s="37">
        <f>IF($S276="통지 기한 임박 — 사람 결정",COUNTIF($S$5:$S276,"통지 기한 임박 — 사람 결정"),"")</f>
        <v/>
      </c>
    </row>
    <row r="277">
      <c r="A277" t="inlineStr">
        <is>
          <t>INV-2609-0101</t>
        </is>
      </c>
      <c r="B277" t="inlineStr">
        <is>
          <t>B139</t>
        </is>
      </c>
      <c r="C277" t="inlineStr">
        <is>
          <t>DEU</t>
        </is>
      </c>
      <c r="D277" t="inlineStr">
        <is>
          <t>DA</t>
        </is>
      </c>
      <c r="E277" t="inlineStr">
        <is>
          <t>EUR</t>
        </is>
      </c>
      <c r="F277" t="inlineStr">
        <is>
          <t>Y</t>
        </is>
      </c>
      <c r="G277" s="32" t="n">
        <v>46284</v>
      </c>
      <c r="H277" s="32" t="n">
        <v>46374</v>
      </c>
      <c r="I277" s="82" t="n">
        <v>29890</v>
      </c>
      <c r="J277" s="82" t="n">
        <v>34074.57</v>
      </c>
      <c r="K277" t="inlineStr">
        <is>
          <t>N</t>
        </is>
      </c>
      <c r="L277" t="inlineStr">
        <is>
          <t>개별</t>
        </is>
      </c>
      <c r="N277" t="inlineStr">
        <is>
          <t>N</t>
        </is>
      </c>
      <c r="O277" s="37">
        <f>IF($A277="","",AsOf-$H277)</f>
        <v/>
      </c>
      <c r="P277" s="37">
        <f>IF($A277="","",IF($K277="Y","-",IF($O277&gt;=30,"D+30 최종통지·선적보류",IF($O277&gt;=15,"D+15 단호한 통지",IF($O277&gt;=7,"D+7 친절한 리마인더",IF(AND($O277&gt;=-3,$O277&lt;=-1),"D-3 사전 안내","모니터링"))))))</f>
        <v/>
      </c>
      <c r="Q277" s="83">
        <f>IF($A277="","",EDATE($H277,1))</f>
        <v/>
      </c>
      <c r="R277" s="37">
        <f>IF($A277="","",$Q277-AsOf)</f>
        <v/>
      </c>
      <c r="S277" s="37">
        <f>IF($A277="","",IF(OR($K277="Y",$F277&lt;&gt;"Y",$O277&lt;=0),"",IF($R277&lt;0,"통지 기한 경과 — 즉시 확인",IF($R277&lt;=NoticeWarnDays,"통지 기한 임박 — 사람 결정",""))))</f>
        <v/>
      </c>
      <c r="T277" s="83">
        <f>IF(OR($A277="",$F277&lt;&gt;"Y"),"",IF(IF($L277="",InsuranceType,$L277)="포괄",DATE(YEAR($G277),MONTH($G277)+1,20),WORKDAY($G277,10)))</f>
        <v/>
      </c>
      <c r="U277" s="83">
        <f>IF(OR($A277="",$M277=""),"",WORKDAY($M277,10))</f>
        <v/>
      </c>
      <c r="V277" s="37">
        <f>IF($A277="","",IF($N277="Y","사기 의심: 콜백 검증 전 대금 안내 중단",""))</f>
        <v/>
      </c>
      <c r="W277" s="37">
        <f>IF($A277="","",IF(AND($K277="N",$D277&lt;&gt;"LC_SIGHT",$D277&lt;&gt;"LC_USANCE",$D277&lt;&gt;"TT_ADV"),$O277,""))</f>
        <v/>
      </c>
      <c r="X277" s="37">
        <f>IF($A277="",0,IF(AND($K277="N",$D277&lt;&gt;"LC_SIGHT",$D277&lt;&gt;"LC_USANCE",$D277&lt;&gt;"TT_ADV",$O277&gt;=30),1,0))</f>
        <v/>
      </c>
      <c r="Y277" s="37">
        <f>IF($A277="","",IF($O277&lt;=0,"미연체",IF($O277&lt;=30,"1-30",IF($O277&lt;=90,"31-90",IF($O277&lt;=180,"91-180",IF($O277&lt;=365,"181-365","365+"))))))</f>
        <v/>
      </c>
      <c r="Z277" s="37">
        <f>IF($S277="통지 기한 임박 — 사람 결정",COUNTIF($S$5:$S277,"통지 기한 임박 — 사람 결정"),"")</f>
        <v/>
      </c>
    </row>
    <row r="278">
      <c r="A278" t="inlineStr">
        <is>
          <t>INV-2607-0031</t>
        </is>
      </c>
      <c r="B278" t="inlineStr">
        <is>
          <t>B140</t>
        </is>
      </c>
      <c r="C278" t="inlineStr">
        <is>
          <t>USA</t>
        </is>
      </c>
      <c r="D278" t="inlineStr">
        <is>
          <t>OA</t>
        </is>
      </c>
      <c r="E278" t="inlineStr">
        <is>
          <t>USD</t>
        </is>
      </c>
      <c r="F278" t="inlineStr">
        <is>
          <t>Y</t>
        </is>
      </c>
      <c r="G278" s="32" t="n">
        <v>46208</v>
      </c>
      <c r="H278" s="32" t="n">
        <v>46268</v>
      </c>
      <c r="I278" s="82" t="n">
        <v>2500</v>
      </c>
      <c r="J278" s="82" t="n">
        <v>2500</v>
      </c>
      <c r="K278" t="inlineStr">
        <is>
          <t>N</t>
        </is>
      </c>
      <c r="L278" t="inlineStr">
        <is>
          <t>개별</t>
        </is>
      </c>
      <c r="N278" t="inlineStr">
        <is>
          <t>N</t>
        </is>
      </c>
      <c r="O278" s="37">
        <f>IF($A278="","",AsOf-$H278)</f>
        <v/>
      </c>
      <c r="P278" s="37">
        <f>IF($A278="","",IF($K278="Y","-",IF($O278&gt;=30,"D+30 최종통지·선적보류",IF($O278&gt;=15,"D+15 단호한 통지",IF($O278&gt;=7,"D+7 친절한 리마인더",IF(AND($O278&gt;=-3,$O278&lt;=-1),"D-3 사전 안내","모니터링"))))))</f>
        <v/>
      </c>
      <c r="Q278" s="83">
        <f>IF($A278="","",EDATE($H278,1))</f>
        <v/>
      </c>
      <c r="R278" s="37">
        <f>IF($A278="","",$Q278-AsOf)</f>
        <v/>
      </c>
      <c r="S278" s="37">
        <f>IF($A278="","",IF(OR($K278="Y",$F278&lt;&gt;"Y",$O278&lt;=0),"",IF($R278&lt;0,"통지 기한 경과 — 즉시 확인",IF($R278&lt;=NoticeWarnDays,"통지 기한 임박 — 사람 결정",""))))</f>
        <v/>
      </c>
      <c r="T278" s="83">
        <f>IF(OR($A278="",$F278&lt;&gt;"Y"),"",IF(IF($L278="",InsuranceType,$L278)="포괄",DATE(YEAR($G278),MONTH($G278)+1,20),WORKDAY($G278,10)))</f>
        <v/>
      </c>
      <c r="U278" s="83">
        <f>IF(OR($A278="",$M278=""),"",WORKDAY($M278,10))</f>
        <v/>
      </c>
      <c r="V278" s="37">
        <f>IF($A278="","",IF($N278="Y","사기 의심: 콜백 검증 전 대금 안내 중단",""))</f>
        <v/>
      </c>
      <c r="W278" s="37">
        <f>IF($A278="","",IF(AND($K278="N",$D278&lt;&gt;"LC_SIGHT",$D278&lt;&gt;"LC_USANCE",$D278&lt;&gt;"TT_ADV"),$O278,""))</f>
        <v/>
      </c>
      <c r="X278" s="37">
        <f>IF($A278="",0,IF(AND($K278="N",$D278&lt;&gt;"LC_SIGHT",$D278&lt;&gt;"LC_USANCE",$D278&lt;&gt;"TT_ADV",$O278&gt;=30),1,0))</f>
        <v/>
      </c>
      <c r="Y278" s="37">
        <f>IF($A278="","",IF($O278&lt;=0,"미연체",IF($O278&lt;=30,"1-30",IF($O278&lt;=90,"31-90",IF($O278&lt;=180,"91-180",IF($O278&lt;=365,"181-365","365+"))))))</f>
        <v/>
      </c>
      <c r="Z278" s="37">
        <f>IF($S278="통지 기한 임박 — 사람 결정",COUNTIF($S$5:$S278,"통지 기한 임박 — 사람 결정"),"")</f>
        <v/>
      </c>
    </row>
    <row r="279">
      <c r="A279" t="inlineStr">
        <is>
          <t>INV-2607-0140</t>
        </is>
      </c>
      <c r="B279" t="inlineStr">
        <is>
          <t>B140</t>
        </is>
      </c>
      <c r="C279" t="inlineStr">
        <is>
          <t>USA</t>
        </is>
      </c>
      <c r="D279" t="inlineStr">
        <is>
          <t>OA</t>
        </is>
      </c>
      <c r="E279" t="inlineStr">
        <is>
          <t>USD</t>
        </is>
      </c>
      <c r="F279" t="inlineStr">
        <is>
          <t>Y</t>
        </is>
      </c>
      <c r="G279" s="32" t="n">
        <v>46225</v>
      </c>
      <c r="H279" s="32" t="n">
        <v>46285</v>
      </c>
      <c r="I279" s="82" t="n">
        <v>20790</v>
      </c>
      <c r="J279" s="82" t="n">
        <v>20790</v>
      </c>
      <c r="K279" t="inlineStr">
        <is>
          <t>N</t>
        </is>
      </c>
      <c r="L279" t="inlineStr">
        <is>
          <t>개별</t>
        </is>
      </c>
      <c r="N279" t="inlineStr">
        <is>
          <t>N</t>
        </is>
      </c>
      <c r="O279" s="37">
        <f>IF($A279="","",AsOf-$H279)</f>
        <v/>
      </c>
      <c r="P279" s="37">
        <f>IF($A279="","",IF($K279="Y","-",IF($O279&gt;=30,"D+30 최종통지·선적보류",IF($O279&gt;=15,"D+15 단호한 통지",IF($O279&gt;=7,"D+7 친절한 리마인더",IF(AND($O279&gt;=-3,$O279&lt;=-1),"D-3 사전 안내","모니터링"))))))</f>
        <v/>
      </c>
      <c r="Q279" s="83">
        <f>IF($A279="","",EDATE($H279,1))</f>
        <v/>
      </c>
      <c r="R279" s="37">
        <f>IF($A279="","",$Q279-AsOf)</f>
        <v/>
      </c>
      <c r="S279" s="37">
        <f>IF($A279="","",IF(OR($K279="Y",$F279&lt;&gt;"Y",$O279&lt;=0),"",IF($R279&lt;0,"통지 기한 경과 — 즉시 확인",IF($R279&lt;=NoticeWarnDays,"통지 기한 임박 — 사람 결정",""))))</f>
        <v/>
      </c>
      <c r="T279" s="83">
        <f>IF(OR($A279="",$F279&lt;&gt;"Y"),"",IF(IF($L279="",InsuranceType,$L279)="포괄",DATE(YEAR($G279),MONTH($G279)+1,20),WORKDAY($G279,10)))</f>
        <v/>
      </c>
      <c r="U279" s="83">
        <f>IF(OR($A279="",$M279=""),"",WORKDAY($M279,10))</f>
        <v/>
      </c>
      <c r="V279" s="37">
        <f>IF($A279="","",IF($N279="Y","사기 의심: 콜백 검증 전 대금 안내 중단",""))</f>
        <v/>
      </c>
      <c r="W279" s="37">
        <f>IF($A279="","",IF(AND($K279="N",$D279&lt;&gt;"LC_SIGHT",$D279&lt;&gt;"LC_USANCE",$D279&lt;&gt;"TT_ADV"),$O279,""))</f>
        <v/>
      </c>
      <c r="X279" s="37">
        <f>IF($A279="",0,IF(AND($K279="N",$D279&lt;&gt;"LC_SIGHT",$D279&lt;&gt;"LC_USANCE",$D279&lt;&gt;"TT_ADV",$O279&gt;=30),1,0))</f>
        <v/>
      </c>
      <c r="Y279" s="37">
        <f>IF($A279="","",IF($O279&lt;=0,"미연체",IF($O279&lt;=30,"1-30",IF($O279&lt;=90,"31-90",IF($O279&lt;=180,"91-180",IF($O279&lt;=365,"181-365","365+"))))))</f>
        <v/>
      </c>
      <c r="Z279" s="37">
        <f>IF($S279="통지 기한 임박 — 사람 결정",COUNTIF($S$5:$S279,"통지 기한 임박 — 사람 결정"),"")</f>
        <v/>
      </c>
    </row>
    <row r="280">
      <c r="A280" t="inlineStr">
        <is>
          <t>INV-2608-0031</t>
        </is>
      </c>
      <c r="B280" t="inlineStr">
        <is>
          <t>B140</t>
        </is>
      </c>
      <c r="C280" t="inlineStr">
        <is>
          <t>USA</t>
        </is>
      </c>
      <c r="D280" t="inlineStr">
        <is>
          <t>OA</t>
        </is>
      </c>
      <c r="E280" t="inlineStr">
        <is>
          <t>USD</t>
        </is>
      </c>
      <c r="F280" t="inlineStr">
        <is>
          <t>Y</t>
        </is>
      </c>
      <c r="G280" s="32" t="n">
        <v>46241</v>
      </c>
      <c r="H280" s="32" t="n">
        <v>46301</v>
      </c>
      <c r="I280" s="82" t="n">
        <v>11620</v>
      </c>
      <c r="J280" s="82" t="n">
        <v>11620</v>
      </c>
      <c r="K280" t="inlineStr">
        <is>
          <t>N</t>
        </is>
      </c>
      <c r="L280" t="inlineStr">
        <is>
          <t>개별</t>
        </is>
      </c>
      <c r="N280" t="inlineStr">
        <is>
          <t>N</t>
        </is>
      </c>
      <c r="O280" s="37">
        <f>IF($A280="","",AsOf-$H280)</f>
        <v/>
      </c>
      <c r="P280" s="37">
        <f>IF($A280="","",IF($K280="Y","-",IF($O280&gt;=30,"D+30 최종통지·선적보류",IF($O280&gt;=15,"D+15 단호한 통지",IF($O280&gt;=7,"D+7 친절한 리마인더",IF(AND($O280&gt;=-3,$O280&lt;=-1),"D-3 사전 안내","모니터링"))))))</f>
        <v/>
      </c>
      <c r="Q280" s="83">
        <f>IF($A280="","",EDATE($H280,1))</f>
        <v/>
      </c>
      <c r="R280" s="37">
        <f>IF($A280="","",$Q280-AsOf)</f>
        <v/>
      </c>
      <c r="S280" s="37">
        <f>IF($A280="","",IF(OR($K280="Y",$F280&lt;&gt;"Y",$O280&lt;=0),"",IF($R280&lt;0,"통지 기한 경과 — 즉시 확인",IF($R280&lt;=NoticeWarnDays,"통지 기한 임박 — 사람 결정",""))))</f>
        <v/>
      </c>
      <c r="T280" s="83">
        <f>IF(OR($A280="",$F280&lt;&gt;"Y"),"",IF(IF($L280="",InsuranceType,$L280)="포괄",DATE(YEAR($G280),MONTH($G280)+1,20),WORKDAY($G280,10)))</f>
        <v/>
      </c>
      <c r="U280" s="83">
        <f>IF(OR($A280="",$M280=""),"",WORKDAY($M280,10))</f>
        <v/>
      </c>
      <c r="V280" s="37">
        <f>IF($A280="","",IF($N280="Y","사기 의심: 콜백 검증 전 대금 안내 중단",""))</f>
        <v/>
      </c>
      <c r="W280" s="37">
        <f>IF($A280="","",IF(AND($K280="N",$D280&lt;&gt;"LC_SIGHT",$D280&lt;&gt;"LC_USANCE",$D280&lt;&gt;"TT_ADV"),$O280,""))</f>
        <v/>
      </c>
      <c r="X280" s="37">
        <f>IF($A280="",0,IF(AND($K280="N",$D280&lt;&gt;"LC_SIGHT",$D280&lt;&gt;"LC_USANCE",$D280&lt;&gt;"TT_ADV",$O280&gt;=30),1,0))</f>
        <v/>
      </c>
      <c r="Y280" s="37">
        <f>IF($A280="","",IF($O280&lt;=0,"미연체",IF($O280&lt;=30,"1-30",IF($O280&lt;=90,"31-90",IF($O280&lt;=180,"91-180",IF($O280&lt;=365,"181-365","365+"))))))</f>
        <v/>
      </c>
      <c r="Z280" s="37">
        <f>IF($S280="통지 기한 임박 — 사람 결정",COUNTIF($S$5:$S280,"통지 기한 임박 — 사람 결정"),"")</f>
        <v/>
      </c>
    </row>
    <row r="281">
      <c r="A281" t="inlineStr">
        <is>
          <t>INV-2608-0040</t>
        </is>
      </c>
      <c r="B281" t="inlineStr">
        <is>
          <t>B140</t>
        </is>
      </c>
      <c r="C281" t="inlineStr">
        <is>
          <t>USA</t>
        </is>
      </c>
      <c r="D281" t="inlineStr">
        <is>
          <t>OA</t>
        </is>
      </c>
      <c r="E281" t="inlineStr">
        <is>
          <t>USD</t>
        </is>
      </c>
      <c r="F281" t="inlineStr">
        <is>
          <t>Y</t>
        </is>
      </c>
      <c r="G281" s="32" t="n">
        <v>46243</v>
      </c>
      <c r="H281" s="32" t="n">
        <v>46303</v>
      </c>
      <c r="I281" s="82" t="n">
        <v>8580</v>
      </c>
      <c r="J281" s="82" t="n">
        <v>8580</v>
      </c>
      <c r="K281" t="inlineStr">
        <is>
          <t>N</t>
        </is>
      </c>
      <c r="L281" t="inlineStr">
        <is>
          <t>개별</t>
        </is>
      </c>
      <c r="N281" t="inlineStr">
        <is>
          <t>N</t>
        </is>
      </c>
      <c r="O281" s="37">
        <f>IF($A281="","",AsOf-$H281)</f>
        <v/>
      </c>
      <c r="P281" s="37">
        <f>IF($A281="","",IF($K281="Y","-",IF($O281&gt;=30,"D+30 최종통지·선적보류",IF($O281&gt;=15,"D+15 단호한 통지",IF($O281&gt;=7,"D+7 친절한 리마인더",IF(AND($O281&gt;=-3,$O281&lt;=-1),"D-3 사전 안내","모니터링"))))))</f>
        <v/>
      </c>
      <c r="Q281" s="83">
        <f>IF($A281="","",EDATE($H281,1))</f>
        <v/>
      </c>
      <c r="R281" s="37">
        <f>IF($A281="","",$Q281-AsOf)</f>
        <v/>
      </c>
      <c r="S281" s="37">
        <f>IF($A281="","",IF(OR($K281="Y",$F281&lt;&gt;"Y",$O281&lt;=0),"",IF($R281&lt;0,"통지 기한 경과 — 즉시 확인",IF($R281&lt;=NoticeWarnDays,"통지 기한 임박 — 사람 결정",""))))</f>
        <v/>
      </c>
      <c r="T281" s="83">
        <f>IF(OR($A281="",$F281&lt;&gt;"Y"),"",IF(IF($L281="",InsuranceType,$L281)="포괄",DATE(YEAR($G281),MONTH($G281)+1,20),WORKDAY($G281,10)))</f>
        <v/>
      </c>
      <c r="U281" s="83">
        <f>IF(OR($A281="",$M281=""),"",WORKDAY($M281,10))</f>
        <v/>
      </c>
      <c r="V281" s="37">
        <f>IF($A281="","",IF($N281="Y","사기 의심: 콜백 검증 전 대금 안내 중단",""))</f>
        <v/>
      </c>
      <c r="W281" s="37">
        <f>IF($A281="","",IF(AND($K281="N",$D281&lt;&gt;"LC_SIGHT",$D281&lt;&gt;"LC_USANCE",$D281&lt;&gt;"TT_ADV"),$O281,""))</f>
        <v/>
      </c>
      <c r="X281" s="37">
        <f>IF($A281="",0,IF(AND($K281="N",$D281&lt;&gt;"LC_SIGHT",$D281&lt;&gt;"LC_USANCE",$D281&lt;&gt;"TT_ADV",$O281&gt;=30),1,0))</f>
        <v/>
      </c>
      <c r="Y281" s="37">
        <f>IF($A281="","",IF($O281&lt;=0,"미연체",IF($O281&lt;=30,"1-30",IF($O281&lt;=90,"31-90",IF($O281&lt;=180,"91-180",IF($O281&lt;=365,"181-365","365+"))))))</f>
        <v/>
      </c>
      <c r="Z281" s="37">
        <f>IF($S281="통지 기한 임박 — 사람 결정",COUNTIF($S$5:$S281,"통지 기한 임박 — 사람 결정"),"")</f>
        <v/>
      </c>
    </row>
    <row r="282">
      <c r="A282" t="inlineStr">
        <is>
          <t>INV-2608-0076</t>
        </is>
      </c>
      <c r="B282" t="inlineStr">
        <is>
          <t>B140</t>
        </is>
      </c>
      <c r="C282" t="inlineStr">
        <is>
          <t>USA</t>
        </is>
      </c>
      <c r="D282" t="inlineStr">
        <is>
          <t>OA</t>
        </is>
      </c>
      <c r="E282" t="inlineStr">
        <is>
          <t>USD</t>
        </is>
      </c>
      <c r="F282" t="inlineStr">
        <is>
          <t>Y</t>
        </is>
      </c>
      <c r="G282" s="32" t="n">
        <v>46250</v>
      </c>
      <c r="H282" s="32" t="n">
        <v>46310</v>
      </c>
      <c r="I282" s="82" t="n">
        <v>15740</v>
      </c>
      <c r="J282" s="82" t="n">
        <v>15740</v>
      </c>
      <c r="K282" t="inlineStr">
        <is>
          <t>N</t>
        </is>
      </c>
      <c r="L282" t="inlineStr">
        <is>
          <t>개별</t>
        </is>
      </c>
      <c r="N282" t="inlineStr">
        <is>
          <t>N</t>
        </is>
      </c>
      <c r="O282" s="37">
        <f>IF($A282="","",AsOf-$H282)</f>
        <v/>
      </c>
      <c r="P282" s="37">
        <f>IF($A282="","",IF($K282="Y","-",IF($O282&gt;=30,"D+30 최종통지·선적보류",IF($O282&gt;=15,"D+15 단호한 통지",IF($O282&gt;=7,"D+7 친절한 리마인더",IF(AND($O282&gt;=-3,$O282&lt;=-1),"D-3 사전 안내","모니터링"))))))</f>
        <v/>
      </c>
      <c r="Q282" s="83">
        <f>IF($A282="","",EDATE($H282,1))</f>
        <v/>
      </c>
      <c r="R282" s="37">
        <f>IF($A282="","",$Q282-AsOf)</f>
        <v/>
      </c>
      <c r="S282" s="37">
        <f>IF($A282="","",IF(OR($K282="Y",$F282&lt;&gt;"Y",$O282&lt;=0),"",IF($R282&lt;0,"통지 기한 경과 — 즉시 확인",IF($R282&lt;=NoticeWarnDays,"통지 기한 임박 — 사람 결정",""))))</f>
        <v/>
      </c>
      <c r="T282" s="83">
        <f>IF(OR($A282="",$F282&lt;&gt;"Y"),"",IF(IF($L282="",InsuranceType,$L282)="포괄",DATE(YEAR($G282),MONTH($G282)+1,20),WORKDAY($G282,10)))</f>
        <v/>
      </c>
      <c r="U282" s="83">
        <f>IF(OR($A282="",$M282=""),"",WORKDAY($M282,10))</f>
        <v/>
      </c>
      <c r="V282" s="37">
        <f>IF($A282="","",IF($N282="Y","사기 의심: 콜백 검증 전 대금 안내 중단",""))</f>
        <v/>
      </c>
      <c r="W282" s="37">
        <f>IF($A282="","",IF(AND($K282="N",$D282&lt;&gt;"LC_SIGHT",$D282&lt;&gt;"LC_USANCE",$D282&lt;&gt;"TT_ADV"),$O282,""))</f>
        <v/>
      </c>
      <c r="X282" s="37">
        <f>IF($A282="",0,IF(AND($K282="N",$D282&lt;&gt;"LC_SIGHT",$D282&lt;&gt;"LC_USANCE",$D282&lt;&gt;"TT_ADV",$O282&gt;=30),1,0))</f>
        <v/>
      </c>
      <c r="Y282" s="37">
        <f>IF($A282="","",IF($O282&lt;=0,"미연체",IF($O282&lt;=30,"1-30",IF($O282&lt;=90,"31-90",IF($O282&lt;=180,"91-180",IF($O282&lt;=365,"181-365","365+"))))))</f>
        <v/>
      </c>
      <c r="Z282" s="37">
        <f>IF($S282="통지 기한 임박 — 사람 결정",COUNTIF($S$5:$S282,"통지 기한 임박 — 사람 결정"),"")</f>
        <v/>
      </c>
    </row>
    <row r="283">
      <c r="A283" t="inlineStr">
        <is>
          <t>INV-2608-0111</t>
        </is>
      </c>
      <c r="B283" t="inlineStr">
        <is>
          <t>B140</t>
        </is>
      </c>
      <c r="C283" t="inlineStr">
        <is>
          <t>USA</t>
        </is>
      </c>
      <c r="D283" t="inlineStr">
        <is>
          <t>OA</t>
        </is>
      </c>
      <c r="E283" t="inlineStr">
        <is>
          <t>USD</t>
        </is>
      </c>
      <c r="F283" t="inlineStr">
        <is>
          <t>Y</t>
        </is>
      </c>
      <c r="G283" s="32" t="n">
        <v>46256</v>
      </c>
      <c r="H283" s="32" t="n">
        <v>46316</v>
      </c>
      <c r="I283" s="82" t="n">
        <v>13760</v>
      </c>
      <c r="J283" s="82" t="n">
        <v>13760</v>
      </c>
      <c r="K283" t="inlineStr">
        <is>
          <t>N</t>
        </is>
      </c>
      <c r="L283" t="inlineStr">
        <is>
          <t>개별</t>
        </is>
      </c>
      <c r="N283" t="inlineStr">
        <is>
          <t>N</t>
        </is>
      </c>
      <c r="O283" s="37">
        <f>IF($A283="","",AsOf-$H283)</f>
        <v/>
      </c>
      <c r="P283" s="37">
        <f>IF($A283="","",IF($K283="Y","-",IF($O283&gt;=30,"D+30 최종통지·선적보류",IF($O283&gt;=15,"D+15 단호한 통지",IF($O283&gt;=7,"D+7 친절한 리마인더",IF(AND($O283&gt;=-3,$O283&lt;=-1),"D-3 사전 안내","모니터링"))))))</f>
        <v/>
      </c>
      <c r="Q283" s="83">
        <f>IF($A283="","",EDATE($H283,1))</f>
        <v/>
      </c>
      <c r="R283" s="37">
        <f>IF($A283="","",$Q283-AsOf)</f>
        <v/>
      </c>
      <c r="S283" s="37">
        <f>IF($A283="","",IF(OR($K283="Y",$F283&lt;&gt;"Y",$O283&lt;=0),"",IF($R283&lt;0,"통지 기한 경과 — 즉시 확인",IF($R283&lt;=NoticeWarnDays,"통지 기한 임박 — 사람 결정",""))))</f>
        <v/>
      </c>
      <c r="T283" s="83">
        <f>IF(OR($A283="",$F283&lt;&gt;"Y"),"",IF(IF($L283="",InsuranceType,$L283)="포괄",DATE(YEAR($G283),MONTH($G283)+1,20),WORKDAY($G283,10)))</f>
        <v/>
      </c>
      <c r="U283" s="83">
        <f>IF(OR($A283="",$M283=""),"",WORKDAY($M283,10))</f>
        <v/>
      </c>
      <c r="V283" s="37">
        <f>IF($A283="","",IF($N283="Y","사기 의심: 콜백 검증 전 대금 안내 중단",""))</f>
        <v/>
      </c>
      <c r="W283" s="37">
        <f>IF($A283="","",IF(AND($K283="N",$D283&lt;&gt;"LC_SIGHT",$D283&lt;&gt;"LC_USANCE",$D283&lt;&gt;"TT_ADV"),$O283,""))</f>
        <v/>
      </c>
      <c r="X283" s="37">
        <f>IF($A283="",0,IF(AND($K283="N",$D283&lt;&gt;"LC_SIGHT",$D283&lt;&gt;"LC_USANCE",$D283&lt;&gt;"TT_ADV",$O283&gt;=30),1,0))</f>
        <v/>
      </c>
      <c r="Y283" s="37">
        <f>IF($A283="","",IF($O283&lt;=0,"미연체",IF($O283&lt;=30,"1-30",IF($O283&lt;=90,"31-90",IF($O283&lt;=180,"91-180",IF($O283&lt;=365,"181-365","365+"))))))</f>
        <v/>
      </c>
      <c r="Z283" s="37">
        <f>IF($S283="통지 기한 임박 — 사람 결정",COUNTIF($S$5:$S283,"통지 기한 임박 — 사람 결정"),"")</f>
        <v/>
      </c>
    </row>
    <row r="284">
      <c r="A284" t="inlineStr">
        <is>
          <t>INV-2609-0029</t>
        </is>
      </c>
      <c r="B284" t="inlineStr">
        <is>
          <t>B140</t>
        </is>
      </c>
      <c r="C284" t="inlineStr">
        <is>
          <t>USA</t>
        </is>
      </c>
      <c r="D284" t="inlineStr">
        <is>
          <t>OA</t>
        </is>
      </c>
      <c r="E284" t="inlineStr">
        <is>
          <t>USD</t>
        </is>
      </c>
      <c r="F284" t="inlineStr">
        <is>
          <t>Y</t>
        </is>
      </c>
      <c r="G284" s="32" t="n">
        <v>46269</v>
      </c>
      <c r="H284" s="32" t="n">
        <v>46329</v>
      </c>
      <c r="I284" s="82" t="n">
        <v>19710</v>
      </c>
      <c r="J284" s="82" t="n">
        <v>19710</v>
      </c>
      <c r="K284" t="inlineStr">
        <is>
          <t>N</t>
        </is>
      </c>
      <c r="L284" t="inlineStr">
        <is>
          <t>개별</t>
        </is>
      </c>
      <c r="N284" t="inlineStr">
        <is>
          <t>N</t>
        </is>
      </c>
      <c r="O284" s="37">
        <f>IF($A284="","",AsOf-$H284)</f>
        <v/>
      </c>
      <c r="P284" s="37">
        <f>IF($A284="","",IF($K284="Y","-",IF($O284&gt;=30,"D+30 최종통지·선적보류",IF($O284&gt;=15,"D+15 단호한 통지",IF($O284&gt;=7,"D+7 친절한 리마인더",IF(AND($O284&gt;=-3,$O284&lt;=-1),"D-3 사전 안내","모니터링"))))))</f>
        <v/>
      </c>
      <c r="Q284" s="83">
        <f>IF($A284="","",EDATE($H284,1))</f>
        <v/>
      </c>
      <c r="R284" s="37">
        <f>IF($A284="","",$Q284-AsOf)</f>
        <v/>
      </c>
      <c r="S284" s="37">
        <f>IF($A284="","",IF(OR($K284="Y",$F284&lt;&gt;"Y",$O284&lt;=0),"",IF($R284&lt;0,"통지 기한 경과 — 즉시 확인",IF($R284&lt;=NoticeWarnDays,"통지 기한 임박 — 사람 결정",""))))</f>
        <v/>
      </c>
      <c r="T284" s="83">
        <f>IF(OR($A284="",$F284&lt;&gt;"Y"),"",IF(IF($L284="",InsuranceType,$L284)="포괄",DATE(YEAR($G284),MONTH($G284)+1,20),WORKDAY($G284,10)))</f>
        <v/>
      </c>
      <c r="U284" s="83">
        <f>IF(OR($A284="",$M284=""),"",WORKDAY($M284,10))</f>
        <v/>
      </c>
      <c r="V284" s="37">
        <f>IF($A284="","",IF($N284="Y","사기 의심: 콜백 검증 전 대금 안내 중단",""))</f>
        <v/>
      </c>
      <c r="W284" s="37">
        <f>IF($A284="","",IF(AND($K284="N",$D284&lt;&gt;"LC_SIGHT",$D284&lt;&gt;"LC_USANCE",$D284&lt;&gt;"TT_ADV"),$O284,""))</f>
        <v/>
      </c>
      <c r="X284" s="37">
        <f>IF($A284="",0,IF(AND($K284="N",$D284&lt;&gt;"LC_SIGHT",$D284&lt;&gt;"LC_USANCE",$D284&lt;&gt;"TT_ADV",$O284&gt;=30),1,0))</f>
        <v/>
      </c>
      <c r="Y284" s="37">
        <f>IF($A284="","",IF($O284&lt;=0,"미연체",IF($O284&lt;=30,"1-30",IF($O284&lt;=90,"31-90",IF($O284&lt;=180,"91-180",IF($O284&lt;=365,"181-365","365+"))))))</f>
        <v/>
      </c>
      <c r="Z284" s="37">
        <f>IF($S284="통지 기한 임박 — 사람 결정",COUNTIF($S$5:$S284,"통지 기한 임박 — 사람 결정"),"")</f>
        <v/>
      </c>
    </row>
    <row r="285">
      <c r="A285" t="inlineStr">
        <is>
          <t>INV-2609-0097</t>
        </is>
      </c>
      <c r="B285" t="inlineStr">
        <is>
          <t>B140</t>
        </is>
      </c>
      <c r="C285" t="inlineStr">
        <is>
          <t>USA</t>
        </is>
      </c>
      <c r="D285" t="inlineStr">
        <is>
          <t>OA</t>
        </is>
      </c>
      <c r="E285" t="inlineStr">
        <is>
          <t>USD</t>
        </is>
      </c>
      <c r="F285" t="inlineStr">
        <is>
          <t>Y</t>
        </is>
      </c>
      <c r="G285" s="32" t="n">
        <v>46283</v>
      </c>
      <c r="H285" s="32" t="n">
        <v>46343</v>
      </c>
      <c r="I285" s="82" t="n">
        <v>16400</v>
      </c>
      <c r="J285" s="82" t="n">
        <v>16400</v>
      </c>
      <c r="K285" t="inlineStr">
        <is>
          <t>N</t>
        </is>
      </c>
      <c r="L285" t="inlineStr">
        <is>
          <t>개별</t>
        </is>
      </c>
      <c r="N285" t="inlineStr">
        <is>
          <t>N</t>
        </is>
      </c>
      <c r="O285" s="37">
        <f>IF($A285="","",AsOf-$H285)</f>
        <v/>
      </c>
      <c r="P285" s="37">
        <f>IF($A285="","",IF($K285="Y","-",IF($O285&gt;=30,"D+30 최종통지·선적보류",IF($O285&gt;=15,"D+15 단호한 통지",IF($O285&gt;=7,"D+7 친절한 리마인더",IF(AND($O285&gt;=-3,$O285&lt;=-1),"D-3 사전 안내","모니터링"))))))</f>
        <v/>
      </c>
      <c r="Q285" s="83">
        <f>IF($A285="","",EDATE($H285,1))</f>
        <v/>
      </c>
      <c r="R285" s="37">
        <f>IF($A285="","",$Q285-AsOf)</f>
        <v/>
      </c>
      <c r="S285" s="37">
        <f>IF($A285="","",IF(OR($K285="Y",$F285&lt;&gt;"Y",$O285&lt;=0),"",IF($R285&lt;0,"통지 기한 경과 — 즉시 확인",IF($R285&lt;=NoticeWarnDays,"통지 기한 임박 — 사람 결정",""))))</f>
        <v/>
      </c>
      <c r="T285" s="83">
        <f>IF(OR($A285="",$F285&lt;&gt;"Y"),"",IF(IF($L285="",InsuranceType,$L285)="포괄",DATE(YEAR($G285),MONTH($G285)+1,20),WORKDAY($G285,10)))</f>
        <v/>
      </c>
      <c r="U285" s="83">
        <f>IF(OR($A285="",$M285=""),"",WORKDAY($M285,10))</f>
        <v/>
      </c>
      <c r="V285" s="37">
        <f>IF($A285="","",IF($N285="Y","사기 의심: 콜백 검증 전 대금 안내 중단",""))</f>
        <v/>
      </c>
      <c r="W285" s="37">
        <f>IF($A285="","",IF(AND($K285="N",$D285&lt;&gt;"LC_SIGHT",$D285&lt;&gt;"LC_USANCE",$D285&lt;&gt;"TT_ADV"),$O285,""))</f>
        <v/>
      </c>
      <c r="X285" s="37">
        <f>IF($A285="",0,IF(AND($K285="N",$D285&lt;&gt;"LC_SIGHT",$D285&lt;&gt;"LC_USANCE",$D285&lt;&gt;"TT_ADV",$O285&gt;=30),1,0))</f>
        <v/>
      </c>
      <c r="Y285" s="37">
        <f>IF($A285="","",IF($O285&lt;=0,"미연체",IF($O285&lt;=30,"1-30",IF($O285&lt;=90,"31-90",IF($O285&lt;=180,"91-180",IF($O285&lt;=365,"181-365","365+"))))))</f>
        <v/>
      </c>
      <c r="Z285" s="37">
        <f>IF($S285="통지 기한 임박 — 사람 결정",COUNTIF($S$5:$S285,"통지 기한 임박 — 사람 결정"),"")</f>
        <v/>
      </c>
    </row>
    <row r="286">
      <c r="A286" t="inlineStr">
        <is>
          <t>INV-2609-0131</t>
        </is>
      </c>
      <c r="B286" t="inlineStr">
        <is>
          <t>B140</t>
        </is>
      </c>
      <c r="C286" t="inlineStr">
        <is>
          <t>USA</t>
        </is>
      </c>
      <c r="D286" t="inlineStr">
        <is>
          <t>OA</t>
        </is>
      </c>
      <c r="E286" t="inlineStr">
        <is>
          <t>USD</t>
        </is>
      </c>
      <c r="F286" t="inlineStr">
        <is>
          <t>Y</t>
        </is>
      </c>
      <c r="G286" s="32" t="n">
        <v>46289</v>
      </c>
      <c r="H286" s="32" t="n">
        <v>46349</v>
      </c>
      <c r="I286" s="82" t="n">
        <v>12040</v>
      </c>
      <c r="J286" s="82" t="n">
        <v>12040</v>
      </c>
      <c r="K286" t="inlineStr">
        <is>
          <t>N</t>
        </is>
      </c>
      <c r="L286" t="inlineStr">
        <is>
          <t>개별</t>
        </is>
      </c>
      <c r="N286" t="inlineStr">
        <is>
          <t>N</t>
        </is>
      </c>
      <c r="O286" s="37">
        <f>IF($A286="","",AsOf-$H286)</f>
        <v/>
      </c>
      <c r="P286" s="37">
        <f>IF($A286="","",IF($K286="Y","-",IF($O286&gt;=30,"D+30 최종통지·선적보류",IF($O286&gt;=15,"D+15 단호한 통지",IF($O286&gt;=7,"D+7 친절한 리마인더",IF(AND($O286&gt;=-3,$O286&lt;=-1),"D-3 사전 안내","모니터링"))))))</f>
        <v/>
      </c>
      <c r="Q286" s="83">
        <f>IF($A286="","",EDATE($H286,1))</f>
        <v/>
      </c>
      <c r="R286" s="37">
        <f>IF($A286="","",$Q286-AsOf)</f>
        <v/>
      </c>
      <c r="S286" s="37">
        <f>IF($A286="","",IF(OR($K286="Y",$F286&lt;&gt;"Y",$O286&lt;=0),"",IF($R286&lt;0,"통지 기한 경과 — 즉시 확인",IF($R286&lt;=NoticeWarnDays,"통지 기한 임박 — 사람 결정",""))))</f>
        <v/>
      </c>
      <c r="T286" s="83">
        <f>IF(OR($A286="",$F286&lt;&gt;"Y"),"",IF(IF($L286="",InsuranceType,$L286)="포괄",DATE(YEAR($G286),MONTH($G286)+1,20),WORKDAY($G286,10)))</f>
        <v/>
      </c>
      <c r="U286" s="83">
        <f>IF(OR($A286="",$M286=""),"",WORKDAY($M286,10))</f>
        <v/>
      </c>
      <c r="V286" s="37">
        <f>IF($A286="","",IF($N286="Y","사기 의심: 콜백 검증 전 대금 안내 중단",""))</f>
        <v/>
      </c>
      <c r="W286" s="37">
        <f>IF($A286="","",IF(AND($K286="N",$D286&lt;&gt;"LC_SIGHT",$D286&lt;&gt;"LC_USANCE",$D286&lt;&gt;"TT_ADV"),$O286,""))</f>
        <v/>
      </c>
      <c r="X286" s="37">
        <f>IF($A286="",0,IF(AND($K286="N",$D286&lt;&gt;"LC_SIGHT",$D286&lt;&gt;"LC_USANCE",$D286&lt;&gt;"TT_ADV",$O286&gt;=30),1,0))</f>
        <v/>
      </c>
      <c r="Y286" s="37">
        <f>IF($A286="","",IF($O286&lt;=0,"미연체",IF($O286&lt;=30,"1-30",IF($O286&lt;=90,"31-90",IF($O286&lt;=180,"91-180",IF($O286&lt;=365,"181-365","365+"))))))</f>
        <v/>
      </c>
      <c r="Z286" s="37">
        <f>IF($S286="통지 기한 임박 — 사람 결정",COUNTIF($S$5:$S286,"통지 기한 임박 — 사람 결정"),"")</f>
        <v/>
      </c>
    </row>
    <row r="287">
      <c r="A287" t="inlineStr">
        <is>
          <t>INV-2609-0149</t>
        </is>
      </c>
      <c r="B287" t="inlineStr">
        <is>
          <t>B140</t>
        </is>
      </c>
      <c r="C287" t="inlineStr">
        <is>
          <t>USA</t>
        </is>
      </c>
      <c r="D287" t="inlineStr">
        <is>
          <t>OA</t>
        </is>
      </c>
      <c r="E287" t="inlineStr">
        <is>
          <t>USD</t>
        </is>
      </c>
      <c r="F287" t="inlineStr">
        <is>
          <t>Y</t>
        </is>
      </c>
      <c r="G287" s="32" t="n">
        <v>46292</v>
      </c>
      <c r="H287" s="32" t="n">
        <v>46352</v>
      </c>
      <c r="I287" s="82" t="n">
        <v>18210</v>
      </c>
      <c r="J287" s="82" t="n">
        <v>18210</v>
      </c>
      <c r="K287" t="inlineStr">
        <is>
          <t>N</t>
        </is>
      </c>
      <c r="L287" t="inlineStr">
        <is>
          <t>개별</t>
        </is>
      </c>
      <c r="N287" t="inlineStr">
        <is>
          <t>N</t>
        </is>
      </c>
      <c r="O287" s="37">
        <f>IF($A287="","",AsOf-$H287)</f>
        <v/>
      </c>
      <c r="P287" s="37">
        <f>IF($A287="","",IF($K287="Y","-",IF($O287&gt;=30,"D+30 최종통지·선적보류",IF($O287&gt;=15,"D+15 단호한 통지",IF($O287&gt;=7,"D+7 친절한 리마인더",IF(AND($O287&gt;=-3,$O287&lt;=-1),"D-3 사전 안내","모니터링"))))))</f>
        <v/>
      </c>
      <c r="Q287" s="83">
        <f>IF($A287="","",EDATE($H287,1))</f>
        <v/>
      </c>
      <c r="R287" s="37">
        <f>IF($A287="","",$Q287-AsOf)</f>
        <v/>
      </c>
      <c r="S287" s="37">
        <f>IF($A287="","",IF(OR($K287="Y",$F287&lt;&gt;"Y",$O287&lt;=0),"",IF($R287&lt;0,"통지 기한 경과 — 즉시 확인",IF($R287&lt;=NoticeWarnDays,"통지 기한 임박 — 사람 결정",""))))</f>
        <v/>
      </c>
      <c r="T287" s="83">
        <f>IF(OR($A287="",$F287&lt;&gt;"Y"),"",IF(IF($L287="",InsuranceType,$L287)="포괄",DATE(YEAR($G287),MONTH($G287)+1,20),WORKDAY($G287,10)))</f>
        <v/>
      </c>
      <c r="U287" s="83">
        <f>IF(OR($A287="",$M287=""),"",WORKDAY($M287,10))</f>
        <v/>
      </c>
      <c r="V287" s="37">
        <f>IF($A287="","",IF($N287="Y","사기 의심: 콜백 검증 전 대금 안내 중단",""))</f>
        <v/>
      </c>
      <c r="W287" s="37">
        <f>IF($A287="","",IF(AND($K287="N",$D287&lt;&gt;"LC_SIGHT",$D287&lt;&gt;"LC_USANCE",$D287&lt;&gt;"TT_ADV"),$O287,""))</f>
        <v/>
      </c>
      <c r="X287" s="37">
        <f>IF($A287="",0,IF(AND($K287="N",$D287&lt;&gt;"LC_SIGHT",$D287&lt;&gt;"LC_USANCE",$D287&lt;&gt;"TT_ADV",$O287&gt;=30),1,0))</f>
        <v/>
      </c>
      <c r="Y287" s="37">
        <f>IF($A287="","",IF($O287&lt;=0,"미연체",IF($O287&lt;=30,"1-30",IF($O287&lt;=90,"31-90",IF($O287&lt;=180,"91-180",IF($O287&lt;=365,"181-365","365+"))))))</f>
        <v/>
      </c>
      <c r="Z287" s="37">
        <f>IF($S287="통지 기한 임박 — 사람 결정",COUNTIF($S$5:$S287,"통지 기한 임박 — 사람 결정"),"")</f>
        <v/>
      </c>
    </row>
    <row r="288">
      <c r="A288" t="inlineStr">
        <is>
          <t>INV-2608-0065</t>
        </is>
      </c>
      <c r="B288" t="inlineStr">
        <is>
          <t>B141</t>
        </is>
      </c>
      <c r="C288" t="inlineStr">
        <is>
          <t>DEU</t>
        </is>
      </c>
      <c r="D288" t="inlineStr">
        <is>
          <t>DA</t>
        </is>
      </c>
      <c r="E288" t="inlineStr">
        <is>
          <t>EUR</t>
        </is>
      </c>
      <c r="F288" t="inlineStr">
        <is>
          <t>N</t>
        </is>
      </c>
      <c r="G288" s="32" t="n">
        <v>46248</v>
      </c>
      <c r="H288" s="32" t="n">
        <v>46308</v>
      </c>
      <c r="I288" s="82" t="n">
        <v>27290</v>
      </c>
      <c r="J288" s="82" t="n">
        <v>31110.57</v>
      </c>
      <c r="K288" t="inlineStr">
        <is>
          <t>N</t>
        </is>
      </c>
      <c r="N288" t="inlineStr">
        <is>
          <t>N</t>
        </is>
      </c>
      <c r="O288" s="37">
        <f>IF($A288="","",AsOf-$H288)</f>
        <v/>
      </c>
      <c r="P288" s="37">
        <f>IF($A288="","",IF($K288="Y","-",IF($O288&gt;=30,"D+30 최종통지·선적보류",IF($O288&gt;=15,"D+15 단호한 통지",IF($O288&gt;=7,"D+7 친절한 리마인더",IF(AND($O288&gt;=-3,$O288&lt;=-1),"D-3 사전 안내","모니터링"))))))</f>
        <v/>
      </c>
      <c r="Q288" s="83">
        <f>IF($A288="","",EDATE($H288,1))</f>
        <v/>
      </c>
      <c r="R288" s="37">
        <f>IF($A288="","",$Q288-AsOf)</f>
        <v/>
      </c>
      <c r="S288" s="37">
        <f>IF($A288="","",IF(OR($K288="Y",$F288&lt;&gt;"Y",$O288&lt;=0),"",IF($R288&lt;0,"통지 기한 경과 — 즉시 확인",IF($R288&lt;=NoticeWarnDays,"통지 기한 임박 — 사람 결정",""))))</f>
        <v/>
      </c>
      <c r="T288" s="83">
        <f>IF(OR($A288="",$F288&lt;&gt;"Y"),"",IF(IF($L288="",InsuranceType,$L288)="포괄",DATE(YEAR($G288),MONTH($G288)+1,20),WORKDAY($G288,10)))</f>
        <v/>
      </c>
      <c r="U288" s="83">
        <f>IF(OR($A288="",$M288=""),"",WORKDAY($M288,10))</f>
        <v/>
      </c>
      <c r="V288" s="37">
        <f>IF($A288="","",IF($N288="Y","사기 의심: 콜백 검증 전 대금 안내 중단",""))</f>
        <v/>
      </c>
      <c r="W288" s="37">
        <f>IF($A288="","",IF(AND($K288="N",$D288&lt;&gt;"LC_SIGHT",$D288&lt;&gt;"LC_USANCE",$D288&lt;&gt;"TT_ADV"),$O288,""))</f>
        <v/>
      </c>
      <c r="X288" s="37">
        <f>IF($A288="",0,IF(AND($K288="N",$D288&lt;&gt;"LC_SIGHT",$D288&lt;&gt;"LC_USANCE",$D288&lt;&gt;"TT_ADV",$O288&gt;=30),1,0))</f>
        <v/>
      </c>
      <c r="Y288" s="37">
        <f>IF($A288="","",IF($O288&lt;=0,"미연체",IF($O288&lt;=30,"1-30",IF($O288&lt;=90,"31-90",IF($O288&lt;=180,"91-180",IF($O288&lt;=365,"181-365","365+"))))))</f>
        <v/>
      </c>
      <c r="Z288" s="37">
        <f>IF($S288="통지 기한 임박 — 사람 결정",COUNTIF($S$5:$S288,"통지 기한 임박 — 사람 결정"),"")</f>
        <v/>
      </c>
    </row>
    <row r="289">
      <c r="A289" t="inlineStr">
        <is>
          <t>INV-2608-0077</t>
        </is>
      </c>
      <c r="B289" t="inlineStr">
        <is>
          <t>B141</t>
        </is>
      </c>
      <c r="C289" t="inlineStr">
        <is>
          <t>DEU</t>
        </is>
      </c>
      <c r="D289" t="inlineStr">
        <is>
          <t>DA</t>
        </is>
      </c>
      <c r="E289" t="inlineStr">
        <is>
          <t>EUR</t>
        </is>
      </c>
      <c r="F289" t="inlineStr">
        <is>
          <t>N</t>
        </is>
      </c>
      <c r="G289" s="32" t="n">
        <v>46250</v>
      </c>
      <c r="H289" s="32" t="n">
        <v>46310</v>
      </c>
      <c r="I289" s="82" t="n">
        <v>5450</v>
      </c>
      <c r="J289" s="82" t="n">
        <v>6212.99</v>
      </c>
      <c r="K289" t="inlineStr">
        <is>
          <t>N</t>
        </is>
      </c>
      <c r="N289" t="inlineStr">
        <is>
          <t>N</t>
        </is>
      </c>
      <c r="O289" s="37">
        <f>IF($A289="","",AsOf-$H289)</f>
        <v/>
      </c>
      <c r="P289" s="37">
        <f>IF($A289="","",IF($K289="Y","-",IF($O289&gt;=30,"D+30 최종통지·선적보류",IF($O289&gt;=15,"D+15 단호한 통지",IF($O289&gt;=7,"D+7 친절한 리마인더",IF(AND($O289&gt;=-3,$O289&lt;=-1),"D-3 사전 안내","모니터링"))))))</f>
        <v/>
      </c>
      <c r="Q289" s="83">
        <f>IF($A289="","",EDATE($H289,1))</f>
        <v/>
      </c>
      <c r="R289" s="37">
        <f>IF($A289="","",$Q289-AsOf)</f>
        <v/>
      </c>
      <c r="S289" s="37">
        <f>IF($A289="","",IF(OR($K289="Y",$F289&lt;&gt;"Y",$O289&lt;=0),"",IF($R289&lt;0,"통지 기한 경과 — 즉시 확인",IF($R289&lt;=NoticeWarnDays,"통지 기한 임박 — 사람 결정",""))))</f>
        <v/>
      </c>
      <c r="T289" s="83">
        <f>IF(OR($A289="",$F289&lt;&gt;"Y"),"",IF(IF($L289="",InsuranceType,$L289)="포괄",DATE(YEAR($G289),MONTH($G289)+1,20),WORKDAY($G289,10)))</f>
        <v/>
      </c>
      <c r="U289" s="83">
        <f>IF(OR($A289="",$M289=""),"",WORKDAY($M289,10))</f>
        <v/>
      </c>
      <c r="V289" s="37">
        <f>IF($A289="","",IF($N289="Y","사기 의심: 콜백 검증 전 대금 안내 중단",""))</f>
        <v/>
      </c>
      <c r="W289" s="37">
        <f>IF($A289="","",IF(AND($K289="N",$D289&lt;&gt;"LC_SIGHT",$D289&lt;&gt;"LC_USANCE",$D289&lt;&gt;"TT_ADV"),$O289,""))</f>
        <v/>
      </c>
      <c r="X289" s="37">
        <f>IF($A289="",0,IF(AND($K289="N",$D289&lt;&gt;"LC_SIGHT",$D289&lt;&gt;"LC_USANCE",$D289&lt;&gt;"TT_ADV",$O289&gt;=30),1,0))</f>
        <v/>
      </c>
      <c r="Y289" s="37">
        <f>IF($A289="","",IF($O289&lt;=0,"미연체",IF($O289&lt;=30,"1-30",IF($O289&lt;=90,"31-90",IF($O289&lt;=180,"91-180",IF($O289&lt;=365,"181-365","365+"))))))</f>
        <v/>
      </c>
      <c r="Z289" s="37">
        <f>IF($S289="통지 기한 임박 — 사람 결정",COUNTIF($S$5:$S289,"통지 기한 임박 — 사람 결정"),"")</f>
        <v/>
      </c>
    </row>
    <row r="290">
      <c r="A290" t="inlineStr">
        <is>
          <t>INV-2607-0095</t>
        </is>
      </c>
      <c r="B290" t="inlineStr">
        <is>
          <t>B144</t>
        </is>
      </c>
      <c r="C290" t="inlineStr">
        <is>
          <t>TUR</t>
        </is>
      </c>
      <c r="D290" t="inlineStr">
        <is>
          <t>OA</t>
        </is>
      </c>
      <c r="E290" t="inlineStr">
        <is>
          <t>USD</t>
        </is>
      </c>
      <c r="F290" t="inlineStr">
        <is>
          <t>N</t>
        </is>
      </c>
      <c r="G290" s="32" t="n">
        <v>46220</v>
      </c>
      <c r="H290" s="32" t="n">
        <v>46280</v>
      </c>
      <c r="I290" s="82" t="n">
        <v>1840</v>
      </c>
      <c r="J290" s="82" t="n">
        <v>1840</v>
      </c>
      <c r="K290" t="inlineStr">
        <is>
          <t>N</t>
        </is>
      </c>
      <c r="N290" t="inlineStr">
        <is>
          <t>N</t>
        </is>
      </c>
      <c r="O290" s="37">
        <f>IF($A290="","",AsOf-$H290)</f>
        <v/>
      </c>
      <c r="P290" s="37">
        <f>IF($A290="","",IF($K290="Y","-",IF($O290&gt;=30,"D+30 최종통지·선적보류",IF($O290&gt;=15,"D+15 단호한 통지",IF($O290&gt;=7,"D+7 친절한 리마인더",IF(AND($O290&gt;=-3,$O290&lt;=-1),"D-3 사전 안내","모니터링"))))))</f>
        <v/>
      </c>
      <c r="Q290" s="83">
        <f>IF($A290="","",EDATE($H290,1))</f>
        <v/>
      </c>
      <c r="R290" s="37">
        <f>IF($A290="","",$Q290-AsOf)</f>
        <v/>
      </c>
      <c r="S290" s="37">
        <f>IF($A290="","",IF(OR($K290="Y",$F290&lt;&gt;"Y",$O290&lt;=0),"",IF($R290&lt;0,"통지 기한 경과 — 즉시 확인",IF($R290&lt;=NoticeWarnDays,"통지 기한 임박 — 사람 결정",""))))</f>
        <v/>
      </c>
      <c r="T290" s="83">
        <f>IF(OR($A290="",$F290&lt;&gt;"Y"),"",IF(IF($L290="",InsuranceType,$L290)="포괄",DATE(YEAR($G290),MONTH($G290)+1,20),WORKDAY($G290,10)))</f>
        <v/>
      </c>
      <c r="U290" s="83">
        <f>IF(OR($A290="",$M290=""),"",WORKDAY($M290,10))</f>
        <v/>
      </c>
      <c r="V290" s="37">
        <f>IF($A290="","",IF($N290="Y","사기 의심: 콜백 검증 전 대금 안내 중단",""))</f>
        <v/>
      </c>
      <c r="W290" s="37">
        <f>IF($A290="","",IF(AND($K290="N",$D290&lt;&gt;"LC_SIGHT",$D290&lt;&gt;"LC_USANCE",$D290&lt;&gt;"TT_ADV"),$O290,""))</f>
        <v/>
      </c>
      <c r="X290" s="37">
        <f>IF($A290="",0,IF(AND($K290="N",$D290&lt;&gt;"LC_SIGHT",$D290&lt;&gt;"LC_USANCE",$D290&lt;&gt;"TT_ADV",$O290&gt;=30),1,0))</f>
        <v/>
      </c>
      <c r="Y290" s="37">
        <f>IF($A290="","",IF($O290&lt;=0,"미연체",IF($O290&lt;=30,"1-30",IF($O290&lt;=90,"31-90",IF($O290&lt;=180,"91-180",IF($O290&lt;=365,"181-365","365+"))))))</f>
        <v/>
      </c>
      <c r="Z290" s="37">
        <f>IF($S290="통지 기한 임박 — 사람 결정",COUNTIF($S$5:$S290,"통지 기한 임박 — 사람 결정"),"")</f>
        <v/>
      </c>
    </row>
    <row r="291">
      <c r="A291" t="inlineStr">
        <is>
          <t>INV-2608-0013</t>
        </is>
      </c>
      <c r="B291" t="inlineStr">
        <is>
          <t>B144</t>
        </is>
      </c>
      <c r="C291" t="inlineStr">
        <is>
          <t>TUR</t>
        </is>
      </c>
      <c r="D291" t="inlineStr">
        <is>
          <t>OA</t>
        </is>
      </c>
      <c r="E291" t="inlineStr">
        <is>
          <t>USD</t>
        </is>
      </c>
      <c r="F291" t="inlineStr">
        <is>
          <t>N</t>
        </is>
      </c>
      <c r="G291" s="32" t="n">
        <v>46236</v>
      </c>
      <c r="H291" s="32" t="n">
        <v>46296</v>
      </c>
      <c r="I291" s="82" t="n">
        <v>14020</v>
      </c>
      <c r="J291" s="82" t="n">
        <v>14020</v>
      </c>
      <c r="K291" t="inlineStr">
        <is>
          <t>N</t>
        </is>
      </c>
      <c r="N291" t="inlineStr">
        <is>
          <t>N</t>
        </is>
      </c>
      <c r="O291" s="37">
        <f>IF($A291="","",AsOf-$H291)</f>
        <v/>
      </c>
      <c r="P291" s="37">
        <f>IF($A291="","",IF($K291="Y","-",IF($O291&gt;=30,"D+30 최종통지·선적보류",IF($O291&gt;=15,"D+15 단호한 통지",IF($O291&gt;=7,"D+7 친절한 리마인더",IF(AND($O291&gt;=-3,$O291&lt;=-1),"D-3 사전 안내","모니터링"))))))</f>
        <v/>
      </c>
      <c r="Q291" s="83">
        <f>IF($A291="","",EDATE($H291,1))</f>
        <v/>
      </c>
      <c r="R291" s="37">
        <f>IF($A291="","",$Q291-AsOf)</f>
        <v/>
      </c>
      <c r="S291" s="37">
        <f>IF($A291="","",IF(OR($K291="Y",$F291&lt;&gt;"Y",$O291&lt;=0),"",IF($R291&lt;0,"통지 기한 경과 — 즉시 확인",IF($R291&lt;=NoticeWarnDays,"통지 기한 임박 — 사람 결정",""))))</f>
        <v/>
      </c>
      <c r="T291" s="83">
        <f>IF(OR($A291="",$F291&lt;&gt;"Y"),"",IF(IF($L291="",InsuranceType,$L291)="포괄",DATE(YEAR($G291),MONTH($G291)+1,20),WORKDAY($G291,10)))</f>
        <v/>
      </c>
      <c r="U291" s="83">
        <f>IF(OR($A291="",$M291=""),"",WORKDAY($M291,10))</f>
        <v/>
      </c>
      <c r="V291" s="37">
        <f>IF($A291="","",IF($N291="Y","사기 의심: 콜백 검증 전 대금 안내 중단",""))</f>
        <v/>
      </c>
      <c r="W291" s="37">
        <f>IF($A291="","",IF(AND($K291="N",$D291&lt;&gt;"LC_SIGHT",$D291&lt;&gt;"LC_USANCE",$D291&lt;&gt;"TT_ADV"),$O291,""))</f>
        <v/>
      </c>
      <c r="X291" s="37">
        <f>IF($A291="",0,IF(AND($K291="N",$D291&lt;&gt;"LC_SIGHT",$D291&lt;&gt;"LC_USANCE",$D291&lt;&gt;"TT_ADV",$O291&gt;=30),1,0))</f>
        <v/>
      </c>
      <c r="Y291" s="37">
        <f>IF($A291="","",IF($O291&lt;=0,"미연체",IF($O291&lt;=30,"1-30",IF($O291&lt;=90,"31-90",IF($O291&lt;=180,"91-180",IF($O291&lt;=365,"181-365","365+"))))))</f>
        <v/>
      </c>
      <c r="Z291" s="37">
        <f>IF($S291="통지 기한 임박 — 사람 결정",COUNTIF($S$5:$S291,"통지 기한 임박 — 사람 결정"),"")</f>
        <v/>
      </c>
    </row>
    <row r="292">
      <c r="A292" t="inlineStr">
        <is>
          <t>INV-2608-0084</t>
        </is>
      </c>
      <c r="B292" t="inlineStr">
        <is>
          <t>B144</t>
        </is>
      </c>
      <c r="C292" t="inlineStr">
        <is>
          <t>TUR</t>
        </is>
      </c>
      <c r="D292" t="inlineStr">
        <is>
          <t>OA</t>
        </is>
      </c>
      <c r="E292" t="inlineStr">
        <is>
          <t>USD</t>
        </is>
      </c>
      <c r="F292" t="inlineStr">
        <is>
          <t>N</t>
        </is>
      </c>
      <c r="G292" s="32" t="n">
        <v>46251</v>
      </c>
      <c r="H292" s="32" t="n">
        <v>46311</v>
      </c>
      <c r="I292" s="82" t="n">
        <v>7850</v>
      </c>
      <c r="J292" s="82" t="n">
        <v>7850</v>
      </c>
      <c r="K292" t="inlineStr">
        <is>
          <t>N</t>
        </is>
      </c>
      <c r="N292" t="inlineStr">
        <is>
          <t>N</t>
        </is>
      </c>
      <c r="O292" s="37">
        <f>IF($A292="","",AsOf-$H292)</f>
        <v/>
      </c>
      <c r="P292" s="37">
        <f>IF($A292="","",IF($K292="Y","-",IF($O292&gt;=30,"D+30 최종통지·선적보류",IF($O292&gt;=15,"D+15 단호한 통지",IF($O292&gt;=7,"D+7 친절한 리마인더",IF(AND($O292&gt;=-3,$O292&lt;=-1),"D-3 사전 안내","모니터링"))))))</f>
        <v/>
      </c>
      <c r="Q292" s="83">
        <f>IF($A292="","",EDATE($H292,1))</f>
        <v/>
      </c>
      <c r="R292" s="37">
        <f>IF($A292="","",$Q292-AsOf)</f>
        <v/>
      </c>
      <c r="S292" s="37">
        <f>IF($A292="","",IF(OR($K292="Y",$F292&lt;&gt;"Y",$O292&lt;=0),"",IF($R292&lt;0,"통지 기한 경과 — 즉시 확인",IF($R292&lt;=NoticeWarnDays,"통지 기한 임박 — 사람 결정",""))))</f>
        <v/>
      </c>
      <c r="T292" s="83">
        <f>IF(OR($A292="",$F292&lt;&gt;"Y"),"",IF(IF($L292="",InsuranceType,$L292)="포괄",DATE(YEAR($G292),MONTH($G292)+1,20),WORKDAY($G292,10)))</f>
        <v/>
      </c>
      <c r="U292" s="83">
        <f>IF(OR($A292="",$M292=""),"",WORKDAY($M292,10))</f>
        <v/>
      </c>
      <c r="V292" s="37">
        <f>IF($A292="","",IF($N292="Y","사기 의심: 콜백 검증 전 대금 안내 중단",""))</f>
        <v/>
      </c>
      <c r="W292" s="37">
        <f>IF($A292="","",IF(AND($K292="N",$D292&lt;&gt;"LC_SIGHT",$D292&lt;&gt;"LC_USANCE",$D292&lt;&gt;"TT_ADV"),$O292,""))</f>
        <v/>
      </c>
      <c r="X292" s="37">
        <f>IF($A292="",0,IF(AND($K292="N",$D292&lt;&gt;"LC_SIGHT",$D292&lt;&gt;"LC_USANCE",$D292&lt;&gt;"TT_ADV",$O292&gt;=30),1,0))</f>
        <v/>
      </c>
      <c r="Y292" s="37">
        <f>IF($A292="","",IF($O292&lt;=0,"미연체",IF($O292&lt;=30,"1-30",IF($O292&lt;=90,"31-90",IF($O292&lt;=180,"91-180",IF($O292&lt;=365,"181-365","365+"))))))</f>
        <v/>
      </c>
      <c r="Z292" s="37">
        <f>IF($S292="통지 기한 임박 — 사람 결정",COUNTIF($S$5:$S292,"통지 기한 임박 — 사람 결정"),"")</f>
        <v/>
      </c>
    </row>
    <row r="293">
      <c r="A293" t="inlineStr">
        <is>
          <t>INV-2608-0122</t>
        </is>
      </c>
      <c r="B293" t="inlineStr">
        <is>
          <t>B144</t>
        </is>
      </c>
      <c r="C293" t="inlineStr">
        <is>
          <t>TUR</t>
        </is>
      </c>
      <c r="D293" t="inlineStr">
        <is>
          <t>OA</t>
        </is>
      </c>
      <c r="E293" t="inlineStr">
        <is>
          <t>USD</t>
        </is>
      </c>
      <c r="F293" t="inlineStr">
        <is>
          <t>N</t>
        </is>
      </c>
      <c r="G293" s="32" t="n">
        <v>46258</v>
      </c>
      <c r="H293" s="32" t="n">
        <v>46318</v>
      </c>
      <c r="I293" s="82" t="n">
        <v>1330</v>
      </c>
      <c r="J293" s="82" t="n">
        <v>1330</v>
      </c>
      <c r="K293" t="inlineStr">
        <is>
          <t>N</t>
        </is>
      </c>
      <c r="N293" t="inlineStr">
        <is>
          <t>N</t>
        </is>
      </c>
      <c r="O293" s="37">
        <f>IF($A293="","",AsOf-$H293)</f>
        <v/>
      </c>
      <c r="P293" s="37">
        <f>IF($A293="","",IF($K293="Y","-",IF($O293&gt;=30,"D+30 최종통지·선적보류",IF($O293&gt;=15,"D+15 단호한 통지",IF($O293&gt;=7,"D+7 친절한 리마인더",IF(AND($O293&gt;=-3,$O293&lt;=-1),"D-3 사전 안내","모니터링"))))))</f>
        <v/>
      </c>
      <c r="Q293" s="83">
        <f>IF($A293="","",EDATE($H293,1))</f>
        <v/>
      </c>
      <c r="R293" s="37">
        <f>IF($A293="","",$Q293-AsOf)</f>
        <v/>
      </c>
      <c r="S293" s="37">
        <f>IF($A293="","",IF(OR($K293="Y",$F293&lt;&gt;"Y",$O293&lt;=0),"",IF($R293&lt;0,"통지 기한 경과 — 즉시 확인",IF($R293&lt;=NoticeWarnDays,"통지 기한 임박 — 사람 결정",""))))</f>
        <v/>
      </c>
      <c r="T293" s="83">
        <f>IF(OR($A293="",$F293&lt;&gt;"Y"),"",IF(IF($L293="",InsuranceType,$L293)="포괄",DATE(YEAR($G293),MONTH($G293)+1,20),WORKDAY($G293,10)))</f>
        <v/>
      </c>
      <c r="U293" s="83">
        <f>IF(OR($A293="",$M293=""),"",WORKDAY($M293,10))</f>
        <v/>
      </c>
      <c r="V293" s="37">
        <f>IF($A293="","",IF($N293="Y","사기 의심: 콜백 검증 전 대금 안내 중단",""))</f>
        <v/>
      </c>
      <c r="W293" s="37">
        <f>IF($A293="","",IF(AND($K293="N",$D293&lt;&gt;"LC_SIGHT",$D293&lt;&gt;"LC_USANCE",$D293&lt;&gt;"TT_ADV"),$O293,""))</f>
        <v/>
      </c>
      <c r="X293" s="37">
        <f>IF($A293="",0,IF(AND($K293="N",$D293&lt;&gt;"LC_SIGHT",$D293&lt;&gt;"LC_USANCE",$D293&lt;&gt;"TT_ADV",$O293&gt;=30),1,0))</f>
        <v/>
      </c>
      <c r="Y293" s="37">
        <f>IF($A293="","",IF($O293&lt;=0,"미연체",IF($O293&lt;=30,"1-30",IF($O293&lt;=90,"31-90",IF($O293&lt;=180,"91-180",IF($O293&lt;=365,"181-365","365+"))))))</f>
        <v/>
      </c>
      <c r="Z293" s="37">
        <f>IF($S293="통지 기한 임박 — 사람 결정",COUNTIF($S$5:$S293,"통지 기한 임박 — 사람 결정"),"")</f>
        <v/>
      </c>
    </row>
    <row r="294">
      <c r="A294" t="inlineStr">
        <is>
          <t>INV-2609-0032</t>
        </is>
      </c>
      <c r="B294" t="inlineStr">
        <is>
          <t>B146</t>
        </is>
      </c>
      <c r="C294" t="inlineStr">
        <is>
          <t>BRA</t>
        </is>
      </c>
      <c r="D294" t="inlineStr">
        <is>
          <t>OA</t>
        </is>
      </c>
      <c r="E294" t="inlineStr">
        <is>
          <t>USD</t>
        </is>
      </c>
      <c r="F294" t="inlineStr">
        <is>
          <t>N</t>
        </is>
      </c>
      <c r="G294" s="32" t="n">
        <v>46270</v>
      </c>
      <c r="H294" s="32" t="n">
        <v>46330</v>
      </c>
      <c r="I294" s="82" t="n">
        <v>4370</v>
      </c>
      <c r="J294" s="82" t="n">
        <v>4370</v>
      </c>
      <c r="K294" t="inlineStr">
        <is>
          <t>N</t>
        </is>
      </c>
      <c r="N294" t="inlineStr">
        <is>
          <t>N</t>
        </is>
      </c>
      <c r="O294" s="37">
        <f>IF($A294="","",AsOf-$H294)</f>
        <v/>
      </c>
      <c r="P294" s="37">
        <f>IF($A294="","",IF($K294="Y","-",IF($O294&gt;=30,"D+30 최종통지·선적보류",IF($O294&gt;=15,"D+15 단호한 통지",IF($O294&gt;=7,"D+7 친절한 리마인더",IF(AND($O294&gt;=-3,$O294&lt;=-1),"D-3 사전 안내","모니터링"))))))</f>
        <v/>
      </c>
      <c r="Q294" s="83">
        <f>IF($A294="","",EDATE($H294,1))</f>
        <v/>
      </c>
      <c r="R294" s="37">
        <f>IF($A294="","",$Q294-AsOf)</f>
        <v/>
      </c>
      <c r="S294" s="37">
        <f>IF($A294="","",IF(OR($K294="Y",$F294&lt;&gt;"Y",$O294&lt;=0),"",IF($R294&lt;0,"통지 기한 경과 — 즉시 확인",IF($R294&lt;=NoticeWarnDays,"통지 기한 임박 — 사람 결정",""))))</f>
        <v/>
      </c>
      <c r="T294" s="83">
        <f>IF(OR($A294="",$F294&lt;&gt;"Y"),"",IF(IF($L294="",InsuranceType,$L294)="포괄",DATE(YEAR($G294),MONTH($G294)+1,20),WORKDAY($G294,10)))</f>
        <v/>
      </c>
      <c r="U294" s="83">
        <f>IF(OR($A294="",$M294=""),"",WORKDAY($M294,10))</f>
        <v/>
      </c>
      <c r="V294" s="37">
        <f>IF($A294="","",IF($N294="Y","사기 의심: 콜백 검증 전 대금 안내 중단",""))</f>
        <v/>
      </c>
      <c r="W294" s="37">
        <f>IF($A294="","",IF(AND($K294="N",$D294&lt;&gt;"LC_SIGHT",$D294&lt;&gt;"LC_USANCE",$D294&lt;&gt;"TT_ADV"),$O294,""))</f>
        <v/>
      </c>
      <c r="X294" s="37">
        <f>IF($A294="",0,IF(AND($K294="N",$D294&lt;&gt;"LC_SIGHT",$D294&lt;&gt;"LC_USANCE",$D294&lt;&gt;"TT_ADV",$O294&gt;=30),1,0))</f>
        <v/>
      </c>
      <c r="Y294" s="37">
        <f>IF($A294="","",IF($O294&lt;=0,"미연체",IF($O294&lt;=30,"1-30",IF($O294&lt;=90,"31-90",IF($O294&lt;=180,"91-180",IF($O294&lt;=365,"181-365","365+"))))))</f>
        <v/>
      </c>
      <c r="Z294" s="37">
        <f>IF($S294="통지 기한 임박 — 사람 결정",COUNTIF($S$5:$S294,"통지 기한 임박 — 사람 결정"),"")</f>
        <v/>
      </c>
    </row>
    <row r="295">
      <c r="A295" t="inlineStr">
        <is>
          <t>INV-2609-0044</t>
        </is>
      </c>
      <c r="B295" t="inlineStr">
        <is>
          <t>B146</t>
        </is>
      </c>
      <c r="C295" t="inlineStr">
        <is>
          <t>BRA</t>
        </is>
      </c>
      <c r="D295" t="inlineStr">
        <is>
          <t>OA</t>
        </is>
      </c>
      <c r="E295" t="inlineStr">
        <is>
          <t>USD</t>
        </is>
      </c>
      <c r="F295" t="inlineStr">
        <is>
          <t>N</t>
        </is>
      </c>
      <c r="G295" s="32" t="n">
        <v>46272</v>
      </c>
      <c r="H295" s="32" t="n">
        <v>46332</v>
      </c>
      <c r="I295" s="82" t="n">
        <v>4200</v>
      </c>
      <c r="J295" s="82" t="n">
        <v>4200</v>
      </c>
      <c r="K295" t="inlineStr">
        <is>
          <t>N</t>
        </is>
      </c>
      <c r="N295" t="inlineStr">
        <is>
          <t>N</t>
        </is>
      </c>
      <c r="O295" s="37">
        <f>IF($A295="","",AsOf-$H295)</f>
        <v/>
      </c>
      <c r="P295" s="37">
        <f>IF($A295="","",IF($K295="Y","-",IF($O295&gt;=30,"D+30 최종통지·선적보류",IF($O295&gt;=15,"D+15 단호한 통지",IF($O295&gt;=7,"D+7 친절한 리마인더",IF(AND($O295&gt;=-3,$O295&lt;=-1),"D-3 사전 안내","모니터링"))))))</f>
        <v/>
      </c>
      <c r="Q295" s="83">
        <f>IF($A295="","",EDATE($H295,1))</f>
        <v/>
      </c>
      <c r="R295" s="37">
        <f>IF($A295="","",$Q295-AsOf)</f>
        <v/>
      </c>
      <c r="S295" s="37">
        <f>IF($A295="","",IF(OR($K295="Y",$F295&lt;&gt;"Y",$O295&lt;=0),"",IF($R295&lt;0,"통지 기한 경과 — 즉시 확인",IF($R295&lt;=NoticeWarnDays,"통지 기한 임박 — 사람 결정",""))))</f>
        <v/>
      </c>
      <c r="T295" s="83">
        <f>IF(OR($A295="",$F295&lt;&gt;"Y"),"",IF(IF($L295="",InsuranceType,$L295)="포괄",DATE(YEAR($G295),MONTH($G295)+1,20),WORKDAY($G295,10)))</f>
        <v/>
      </c>
      <c r="U295" s="83">
        <f>IF(OR($A295="",$M295=""),"",WORKDAY($M295,10))</f>
        <v/>
      </c>
      <c r="V295" s="37">
        <f>IF($A295="","",IF($N295="Y","사기 의심: 콜백 검증 전 대금 안내 중단",""))</f>
        <v/>
      </c>
      <c r="W295" s="37">
        <f>IF($A295="","",IF(AND($K295="N",$D295&lt;&gt;"LC_SIGHT",$D295&lt;&gt;"LC_USANCE",$D295&lt;&gt;"TT_ADV"),$O295,""))</f>
        <v/>
      </c>
      <c r="X295" s="37">
        <f>IF($A295="",0,IF(AND($K295="N",$D295&lt;&gt;"LC_SIGHT",$D295&lt;&gt;"LC_USANCE",$D295&lt;&gt;"TT_ADV",$O295&gt;=30),1,0))</f>
        <v/>
      </c>
      <c r="Y295" s="37">
        <f>IF($A295="","",IF($O295&lt;=0,"미연체",IF($O295&lt;=30,"1-30",IF($O295&lt;=90,"31-90",IF($O295&lt;=180,"91-180",IF($O295&lt;=365,"181-365","365+"))))))</f>
        <v/>
      </c>
      <c r="Z295" s="37">
        <f>IF($S295="통지 기한 임박 — 사람 결정",COUNTIF($S$5:$S295,"통지 기한 임박 — 사람 결정"),"")</f>
        <v/>
      </c>
    </row>
    <row r="296">
      <c r="A296" t="inlineStr">
        <is>
          <t>INV-2507-0065</t>
        </is>
      </c>
      <c r="B296" t="inlineStr">
        <is>
          <t>B147</t>
        </is>
      </c>
      <c r="C296" t="inlineStr">
        <is>
          <t>THA</t>
        </is>
      </c>
      <c r="D296" t="inlineStr">
        <is>
          <t>DA</t>
        </is>
      </c>
      <c r="E296" t="inlineStr">
        <is>
          <t>USD</t>
        </is>
      </c>
      <c r="F296" t="inlineStr">
        <is>
          <t>N</t>
        </is>
      </c>
      <c r="G296" s="32" t="n">
        <v>45854</v>
      </c>
      <c r="H296" s="32" t="n">
        <v>45914</v>
      </c>
      <c r="I296" s="82" t="n">
        <v>21250</v>
      </c>
      <c r="J296" s="82" t="n">
        <v>21250</v>
      </c>
      <c r="K296" t="inlineStr">
        <is>
          <t>N</t>
        </is>
      </c>
      <c r="N296" t="inlineStr">
        <is>
          <t>N</t>
        </is>
      </c>
      <c r="O296" s="37">
        <f>IF($A296="","",AsOf-$H296)</f>
        <v/>
      </c>
      <c r="P296" s="37">
        <f>IF($A296="","",IF($K296="Y","-",IF($O296&gt;=30,"D+30 최종통지·선적보류",IF($O296&gt;=15,"D+15 단호한 통지",IF($O296&gt;=7,"D+7 친절한 리마인더",IF(AND($O296&gt;=-3,$O296&lt;=-1),"D-3 사전 안내","모니터링"))))))</f>
        <v/>
      </c>
      <c r="Q296" s="83">
        <f>IF($A296="","",EDATE($H296,1))</f>
        <v/>
      </c>
      <c r="R296" s="37">
        <f>IF($A296="","",$Q296-AsOf)</f>
        <v/>
      </c>
      <c r="S296" s="37">
        <f>IF($A296="","",IF(OR($K296="Y",$F296&lt;&gt;"Y",$O296&lt;=0),"",IF($R296&lt;0,"통지 기한 경과 — 즉시 확인",IF($R296&lt;=NoticeWarnDays,"통지 기한 임박 — 사람 결정",""))))</f>
        <v/>
      </c>
      <c r="T296" s="83">
        <f>IF(OR($A296="",$F296&lt;&gt;"Y"),"",IF(IF($L296="",InsuranceType,$L296)="포괄",DATE(YEAR($G296),MONTH($G296)+1,20),WORKDAY($G296,10)))</f>
        <v/>
      </c>
      <c r="U296" s="83">
        <f>IF(OR($A296="",$M296=""),"",WORKDAY($M296,10))</f>
        <v/>
      </c>
      <c r="V296" s="37">
        <f>IF($A296="","",IF($N296="Y","사기 의심: 콜백 검증 전 대금 안내 중단",""))</f>
        <v/>
      </c>
      <c r="W296" s="37">
        <f>IF($A296="","",IF(AND($K296="N",$D296&lt;&gt;"LC_SIGHT",$D296&lt;&gt;"LC_USANCE",$D296&lt;&gt;"TT_ADV"),$O296,""))</f>
        <v/>
      </c>
      <c r="X296" s="37">
        <f>IF($A296="",0,IF(AND($K296="N",$D296&lt;&gt;"LC_SIGHT",$D296&lt;&gt;"LC_USANCE",$D296&lt;&gt;"TT_ADV",$O296&gt;=30),1,0))</f>
        <v/>
      </c>
      <c r="Y296" s="37">
        <f>IF($A296="","",IF($O296&lt;=0,"미연체",IF($O296&lt;=30,"1-30",IF($O296&lt;=90,"31-90",IF($O296&lt;=180,"91-180",IF($O296&lt;=365,"181-365","365+"))))))</f>
        <v/>
      </c>
      <c r="Z296" s="37">
        <f>IF($S296="통지 기한 임박 — 사람 결정",COUNTIF($S$5:$S296,"통지 기한 임박 — 사람 결정"),"")</f>
        <v/>
      </c>
    </row>
    <row r="297">
      <c r="A297" t="inlineStr">
        <is>
          <t>INV-2507-0073</t>
        </is>
      </c>
      <c r="B297" t="inlineStr">
        <is>
          <t>B147</t>
        </is>
      </c>
      <c r="C297" t="inlineStr">
        <is>
          <t>THA</t>
        </is>
      </c>
      <c r="D297" t="inlineStr">
        <is>
          <t>DA</t>
        </is>
      </c>
      <c r="E297" t="inlineStr">
        <is>
          <t>USD</t>
        </is>
      </c>
      <c r="F297" t="inlineStr">
        <is>
          <t>N</t>
        </is>
      </c>
      <c r="G297" s="32" t="n">
        <v>45856</v>
      </c>
      <c r="H297" s="32" t="n">
        <v>45916</v>
      </c>
      <c r="I297" s="82" t="n">
        <v>9290</v>
      </c>
      <c r="J297" s="82" t="n">
        <v>9290</v>
      </c>
      <c r="K297" t="inlineStr">
        <is>
          <t>N</t>
        </is>
      </c>
      <c r="N297" t="inlineStr">
        <is>
          <t>N</t>
        </is>
      </c>
      <c r="O297" s="37">
        <f>IF($A297="","",AsOf-$H297)</f>
        <v/>
      </c>
      <c r="P297" s="37">
        <f>IF($A297="","",IF($K297="Y","-",IF($O297&gt;=30,"D+30 최종통지·선적보류",IF($O297&gt;=15,"D+15 단호한 통지",IF($O297&gt;=7,"D+7 친절한 리마인더",IF(AND($O297&gt;=-3,$O297&lt;=-1),"D-3 사전 안내","모니터링"))))))</f>
        <v/>
      </c>
      <c r="Q297" s="83">
        <f>IF($A297="","",EDATE($H297,1))</f>
        <v/>
      </c>
      <c r="R297" s="37">
        <f>IF($A297="","",$Q297-AsOf)</f>
        <v/>
      </c>
      <c r="S297" s="37">
        <f>IF($A297="","",IF(OR($K297="Y",$F297&lt;&gt;"Y",$O297&lt;=0),"",IF($R297&lt;0,"통지 기한 경과 — 즉시 확인",IF($R297&lt;=NoticeWarnDays,"통지 기한 임박 — 사람 결정",""))))</f>
        <v/>
      </c>
      <c r="T297" s="83">
        <f>IF(OR($A297="",$F297&lt;&gt;"Y"),"",IF(IF($L297="",InsuranceType,$L297)="포괄",DATE(YEAR($G297),MONTH($G297)+1,20),WORKDAY($G297,10)))</f>
        <v/>
      </c>
      <c r="U297" s="83">
        <f>IF(OR($A297="",$M297=""),"",WORKDAY($M297,10))</f>
        <v/>
      </c>
      <c r="V297" s="37">
        <f>IF($A297="","",IF($N297="Y","사기 의심: 콜백 검증 전 대금 안내 중단",""))</f>
        <v/>
      </c>
      <c r="W297" s="37">
        <f>IF($A297="","",IF(AND($K297="N",$D297&lt;&gt;"LC_SIGHT",$D297&lt;&gt;"LC_USANCE",$D297&lt;&gt;"TT_ADV"),$O297,""))</f>
        <v/>
      </c>
      <c r="X297" s="37">
        <f>IF($A297="",0,IF(AND($K297="N",$D297&lt;&gt;"LC_SIGHT",$D297&lt;&gt;"LC_USANCE",$D297&lt;&gt;"TT_ADV",$O297&gt;=30),1,0))</f>
        <v/>
      </c>
      <c r="Y297" s="37">
        <f>IF($A297="","",IF($O297&lt;=0,"미연체",IF($O297&lt;=30,"1-30",IF($O297&lt;=90,"31-90",IF($O297&lt;=180,"91-180",IF($O297&lt;=365,"181-365","365+"))))))</f>
        <v/>
      </c>
      <c r="Z297" s="37">
        <f>IF($S297="통지 기한 임박 — 사람 결정",COUNTIF($S$5:$S297,"통지 기한 임박 — 사람 결정"),"")</f>
        <v/>
      </c>
    </row>
    <row r="298">
      <c r="A298" t="inlineStr">
        <is>
          <t>INV-2509-0005</t>
        </is>
      </c>
      <c r="B298" t="inlineStr">
        <is>
          <t>B147</t>
        </is>
      </c>
      <c r="C298" t="inlineStr">
        <is>
          <t>THA</t>
        </is>
      </c>
      <c r="D298" t="inlineStr">
        <is>
          <t>DA</t>
        </is>
      </c>
      <c r="E298" t="inlineStr">
        <is>
          <t>USD</t>
        </is>
      </c>
      <c r="F298" t="inlineStr">
        <is>
          <t>N</t>
        </is>
      </c>
      <c r="G298" s="32" t="n">
        <v>45901</v>
      </c>
      <c r="H298" s="32" t="n">
        <v>45961</v>
      </c>
      <c r="I298" s="82" t="n">
        <v>2980</v>
      </c>
      <c r="J298" s="82" t="n">
        <v>2980</v>
      </c>
      <c r="K298" t="inlineStr">
        <is>
          <t>N</t>
        </is>
      </c>
      <c r="N298" t="inlineStr">
        <is>
          <t>N</t>
        </is>
      </c>
      <c r="O298" s="37">
        <f>IF($A298="","",AsOf-$H298)</f>
        <v/>
      </c>
      <c r="P298" s="37">
        <f>IF($A298="","",IF($K298="Y","-",IF($O298&gt;=30,"D+30 최종통지·선적보류",IF($O298&gt;=15,"D+15 단호한 통지",IF($O298&gt;=7,"D+7 친절한 리마인더",IF(AND($O298&gt;=-3,$O298&lt;=-1),"D-3 사전 안내","모니터링"))))))</f>
        <v/>
      </c>
      <c r="Q298" s="83">
        <f>IF($A298="","",EDATE($H298,1))</f>
        <v/>
      </c>
      <c r="R298" s="37">
        <f>IF($A298="","",$Q298-AsOf)</f>
        <v/>
      </c>
      <c r="S298" s="37">
        <f>IF($A298="","",IF(OR($K298="Y",$F298&lt;&gt;"Y",$O298&lt;=0),"",IF($R298&lt;0,"통지 기한 경과 — 즉시 확인",IF($R298&lt;=NoticeWarnDays,"통지 기한 임박 — 사람 결정",""))))</f>
        <v/>
      </c>
      <c r="T298" s="83">
        <f>IF(OR($A298="",$F298&lt;&gt;"Y"),"",IF(IF($L298="",InsuranceType,$L298)="포괄",DATE(YEAR($G298),MONTH($G298)+1,20),WORKDAY($G298,10)))</f>
        <v/>
      </c>
      <c r="U298" s="83">
        <f>IF(OR($A298="",$M298=""),"",WORKDAY($M298,10))</f>
        <v/>
      </c>
      <c r="V298" s="37">
        <f>IF($A298="","",IF($N298="Y","사기 의심: 콜백 검증 전 대금 안내 중단",""))</f>
        <v/>
      </c>
      <c r="W298" s="37">
        <f>IF($A298="","",IF(AND($K298="N",$D298&lt;&gt;"LC_SIGHT",$D298&lt;&gt;"LC_USANCE",$D298&lt;&gt;"TT_ADV"),$O298,""))</f>
        <v/>
      </c>
      <c r="X298" s="37">
        <f>IF($A298="",0,IF(AND($K298="N",$D298&lt;&gt;"LC_SIGHT",$D298&lt;&gt;"LC_USANCE",$D298&lt;&gt;"TT_ADV",$O298&gt;=30),1,0))</f>
        <v/>
      </c>
      <c r="Y298" s="37">
        <f>IF($A298="","",IF($O298&lt;=0,"미연체",IF($O298&lt;=30,"1-30",IF($O298&lt;=90,"31-90",IF($O298&lt;=180,"91-180",IF($O298&lt;=365,"181-365","365+"))))))</f>
        <v/>
      </c>
      <c r="Z298" s="37">
        <f>IF($S298="통지 기한 임박 — 사람 결정",COUNTIF($S$5:$S298,"통지 기한 임박 — 사람 결정"),"")</f>
        <v/>
      </c>
    </row>
    <row r="299">
      <c r="A299" t="inlineStr">
        <is>
          <t>INV-2608-0008</t>
        </is>
      </c>
      <c r="B299" t="inlineStr">
        <is>
          <t>B148</t>
        </is>
      </c>
      <c r="C299" t="inlineStr">
        <is>
          <t>ARE</t>
        </is>
      </c>
      <c r="D299" t="inlineStr">
        <is>
          <t>OA</t>
        </is>
      </c>
      <c r="E299" t="inlineStr">
        <is>
          <t>USD</t>
        </is>
      </c>
      <c r="F299" t="inlineStr">
        <is>
          <t>N</t>
        </is>
      </c>
      <c r="G299" s="32" t="n">
        <v>46235</v>
      </c>
      <c r="H299" s="32" t="n">
        <v>46295</v>
      </c>
      <c r="I299" s="82" t="n">
        <v>36740</v>
      </c>
      <c r="J299" s="82" t="n">
        <v>36740</v>
      </c>
      <c r="K299" t="inlineStr">
        <is>
          <t>N</t>
        </is>
      </c>
      <c r="N299" t="inlineStr">
        <is>
          <t>N</t>
        </is>
      </c>
      <c r="O299" s="37">
        <f>IF($A299="","",AsOf-$H299)</f>
        <v/>
      </c>
      <c r="P299" s="37">
        <f>IF($A299="","",IF($K299="Y","-",IF($O299&gt;=30,"D+30 최종통지·선적보류",IF($O299&gt;=15,"D+15 단호한 통지",IF($O299&gt;=7,"D+7 친절한 리마인더",IF(AND($O299&gt;=-3,$O299&lt;=-1),"D-3 사전 안내","모니터링"))))))</f>
        <v/>
      </c>
      <c r="Q299" s="83">
        <f>IF($A299="","",EDATE($H299,1))</f>
        <v/>
      </c>
      <c r="R299" s="37">
        <f>IF($A299="","",$Q299-AsOf)</f>
        <v/>
      </c>
      <c r="S299" s="37">
        <f>IF($A299="","",IF(OR($K299="Y",$F299&lt;&gt;"Y",$O299&lt;=0),"",IF($R299&lt;0,"통지 기한 경과 — 즉시 확인",IF($R299&lt;=NoticeWarnDays,"통지 기한 임박 — 사람 결정",""))))</f>
        <v/>
      </c>
      <c r="T299" s="83">
        <f>IF(OR($A299="",$F299&lt;&gt;"Y"),"",IF(IF($L299="",InsuranceType,$L299)="포괄",DATE(YEAR($G299),MONTH($G299)+1,20),WORKDAY($G299,10)))</f>
        <v/>
      </c>
      <c r="U299" s="83">
        <f>IF(OR($A299="",$M299=""),"",WORKDAY($M299,10))</f>
        <v/>
      </c>
      <c r="V299" s="37">
        <f>IF($A299="","",IF($N299="Y","사기 의심: 콜백 검증 전 대금 안내 중단",""))</f>
        <v/>
      </c>
      <c r="W299" s="37">
        <f>IF($A299="","",IF(AND($K299="N",$D299&lt;&gt;"LC_SIGHT",$D299&lt;&gt;"LC_USANCE",$D299&lt;&gt;"TT_ADV"),$O299,""))</f>
        <v/>
      </c>
      <c r="X299" s="37">
        <f>IF($A299="",0,IF(AND($K299="N",$D299&lt;&gt;"LC_SIGHT",$D299&lt;&gt;"LC_USANCE",$D299&lt;&gt;"TT_ADV",$O299&gt;=30),1,0))</f>
        <v/>
      </c>
      <c r="Y299" s="37">
        <f>IF($A299="","",IF($O299&lt;=0,"미연체",IF($O299&lt;=30,"1-30",IF($O299&lt;=90,"31-90",IF($O299&lt;=180,"91-180",IF($O299&lt;=365,"181-365","365+"))))))</f>
        <v/>
      </c>
      <c r="Z299" s="37">
        <f>IF($S299="통지 기한 임박 — 사람 결정",COUNTIF($S$5:$S299,"통지 기한 임박 — 사람 결정"),"")</f>
        <v/>
      </c>
    </row>
    <row r="300">
      <c r="A300" t="inlineStr">
        <is>
          <t>INV-2608-0057</t>
        </is>
      </c>
      <c r="B300" t="inlineStr">
        <is>
          <t>B148</t>
        </is>
      </c>
      <c r="C300" t="inlineStr">
        <is>
          <t>ARE</t>
        </is>
      </c>
      <c r="D300" t="inlineStr">
        <is>
          <t>OA</t>
        </is>
      </c>
      <c r="E300" t="inlineStr">
        <is>
          <t>USD</t>
        </is>
      </c>
      <c r="F300" t="inlineStr">
        <is>
          <t>N</t>
        </is>
      </c>
      <c r="G300" s="32" t="n">
        <v>46246</v>
      </c>
      <c r="H300" s="32" t="n">
        <v>46306</v>
      </c>
      <c r="I300" s="82" t="n">
        <v>26980</v>
      </c>
      <c r="J300" s="82" t="n">
        <v>26980</v>
      </c>
      <c r="K300" t="inlineStr">
        <is>
          <t>N</t>
        </is>
      </c>
      <c r="N300" t="inlineStr">
        <is>
          <t>N</t>
        </is>
      </c>
      <c r="O300" s="37">
        <f>IF($A300="","",AsOf-$H300)</f>
        <v/>
      </c>
      <c r="P300" s="37">
        <f>IF($A300="","",IF($K300="Y","-",IF($O300&gt;=30,"D+30 최종통지·선적보류",IF($O300&gt;=15,"D+15 단호한 통지",IF($O300&gt;=7,"D+7 친절한 리마인더",IF(AND($O300&gt;=-3,$O300&lt;=-1),"D-3 사전 안내","모니터링"))))))</f>
        <v/>
      </c>
      <c r="Q300" s="83">
        <f>IF($A300="","",EDATE($H300,1))</f>
        <v/>
      </c>
      <c r="R300" s="37">
        <f>IF($A300="","",$Q300-AsOf)</f>
        <v/>
      </c>
      <c r="S300" s="37">
        <f>IF($A300="","",IF(OR($K300="Y",$F300&lt;&gt;"Y",$O300&lt;=0),"",IF($R300&lt;0,"통지 기한 경과 — 즉시 확인",IF($R300&lt;=NoticeWarnDays,"통지 기한 임박 — 사람 결정",""))))</f>
        <v/>
      </c>
      <c r="T300" s="83">
        <f>IF(OR($A300="",$F300&lt;&gt;"Y"),"",IF(IF($L300="",InsuranceType,$L300)="포괄",DATE(YEAR($G300),MONTH($G300)+1,20),WORKDAY($G300,10)))</f>
        <v/>
      </c>
      <c r="U300" s="83">
        <f>IF(OR($A300="",$M300=""),"",WORKDAY($M300,10))</f>
        <v/>
      </c>
      <c r="V300" s="37">
        <f>IF($A300="","",IF($N300="Y","사기 의심: 콜백 검증 전 대금 안내 중단",""))</f>
        <v/>
      </c>
      <c r="W300" s="37">
        <f>IF($A300="","",IF(AND($K300="N",$D300&lt;&gt;"LC_SIGHT",$D300&lt;&gt;"LC_USANCE",$D300&lt;&gt;"TT_ADV"),$O300,""))</f>
        <v/>
      </c>
      <c r="X300" s="37">
        <f>IF($A300="",0,IF(AND($K300="N",$D300&lt;&gt;"LC_SIGHT",$D300&lt;&gt;"LC_USANCE",$D300&lt;&gt;"TT_ADV",$O300&gt;=30),1,0))</f>
        <v/>
      </c>
      <c r="Y300" s="37">
        <f>IF($A300="","",IF($O300&lt;=0,"미연체",IF($O300&lt;=30,"1-30",IF($O300&lt;=90,"31-90",IF($O300&lt;=180,"91-180",IF($O300&lt;=365,"181-365","365+"))))))</f>
        <v/>
      </c>
      <c r="Z300" s="37">
        <f>IF($S300="통지 기한 임박 — 사람 결정",COUNTIF($S$5:$S300,"통지 기한 임박 — 사람 결정"),"")</f>
        <v/>
      </c>
    </row>
    <row r="301">
      <c r="A301" t="inlineStr">
        <is>
          <t>INV-2609-0040</t>
        </is>
      </c>
      <c r="B301" t="inlineStr">
        <is>
          <t>B148</t>
        </is>
      </c>
      <c r="C301" t="inlineStr">
        <is>
          <t>ARE</t>
        </is>
      </c>
      <c r="D301" t="inlineStr">
        <is>
          <t>OA</t>
        </is>
      </c>
      <c r="E301" t="inlineStr">
        <is>
          <t>USD</t>
        </is>
      </c>
      <c r="F301" t="inlineStr">
        <is>
          <t>N</t>
        </is>
      </c>
      <c r="G301" s="32" t="n">
        <v>46271</v>
      </c>
      <c r="H301" s="32" t="n">
        <v>46331</v>
      </c>
      <c r="I301" s="82" t="n">
        <v>18980</v>
      </c>
      <c r="J301" s="82" t="n">
        <v>18980</v>
      </c>
      <c r="K301" t="inlineStr">
        <is>
          <t>N</t>
        </is>
      </c>
      <c r="N301" t="inlineStr">
        <is>
          <t>N</t>
        </is>
      </c>
      <c r="O301" s="37">
        <f>IF($A301="","",AsOf-$H301)</f>
        <v/>
      </c>
      <c r="P301" s="37">
        <f>IF($A301="","",IF($K301="Y","-",IF($O301&gt;=30,"D+30 최종통지·선적보류",IF($O301&gt;=15,"D+15 단호한 통지",IF($O301&gt;=7,"D+7 친절한 리마인더",IF(AND($O301&gt;=-3,$O301&lt;=-1),"D-3 사전 안내","모니터링"))))))</f>
        <v/>
      </c>
      <c r="Q301" s="83">
        <f>IF($A301="","",EDATE($H301,1))</f>
        <v/>
      </c>
      <c r="R301" s="37">
        <f>IF($A301="","",$Q301-AsOf)</f>
        <v/>
      </c>
      <c r="S301" s="37">
        <f>IF($A301="","",IF(OR($K301="Y",$F301&lt;&gt;"Y",$O301&lt;=0),"",IF($R301&lt;0,"통지 기한 경과 — 즉시 확인",IF($R301&lt;=NoticeWarnDays,"통지 기한 임박 — 사람 결정",""))))</f>
        <v/>
      </c>
      <c r="T301" s="83">
        <f>IF(OR($A301="",$F301&lt;&gt;"Y"),"",IF(IF($L301="",InsuranceType,$L301)="포괄",DATE(YEAR($G301),MONTH($G301)+1,20),WORKDAY($G301,10)))</f>
        <v/>
      </c>
      <c r="U301" s="83">
        <f>IF(OR($A301="",$M301=""),"",WORKDAY($M301,10))</f>
        <v/>
      </c>
      <c r="V301" s="37">
        <f>IF($A301="","",IF($N301="Y","사기 의심: 콜백 검증 전 대금 안내 중단",""))</f>
        <v/>
      </c>
      <c r="W301" s="37">
        <f>IF($A301="","",IF(AND($K301="N",$D301&lt;&gt;"LC_SIGHT",$D301&lt;&gt;"LC_USANCE",$D301&lt;&gt;"TT_ADV"),$O301,""))</f>
        <v/>
      </c>
      <c r="X301" s="37">
        <f>IF($A301="",0,IF(AND($K301="N",$D301&lt;&gt;"LC_SIGHT",$D301&lt;&gt;"LC_USANCE",$D301&lt;&gt;"TT_ADV",$O301&gt;=30),1,0))</f>
        <v/>
      </c>
      <c r="Y301" s="37">
        <f>IF($A301="","",IF($O301&lt;=0,"미연체",IF($O301&lt;=30,"1-30",IF($O301&lt;=90,"31-90",IF($O301&lt;=180,"91-180",IF($O301&lt;=365,"181-365","365+"))))))</f>
        <v/>
      </c>
      <c r="Z301" s="37">
        <f>IF($S301="통지 기한 임박 — 사람 결정",COUNTIF($S$5:$S301,"통지 기한 임박 — 사람 결정"),"")</f>
        <v/>
      </c>
    </row>
    <row r="302">
      <c r="A302" t="inlineStr">
        <is>
          <t>INV-2609-0126</t>
        </is>
      </c>
      <c r="B302" t="inlineStr">
        <is>
          <t>B148</t>
        </is>
      </c>
      <c r="C302" t="inlineStr">
        <is>
          <t>ARE</t>
        </is>
      </c>
      <c r="D302" t="inlineStr">
        <is>
          <t>OA</t>
        </is>
      </c>
      <c r="E302" t="inlineStr">
        <is>
          <t>USD</t>
        </is>
      </c>
      <c r="F302" t="inlineStr">
        <is>
          <t>N</t>
        </is>
      </c>
      <c r="G302" s="32" t="n">
        <v>46288</v>
      </c>
      <c r="H302" s="32" t="n">
        <v>46348</v>
      </c>
      <c r="I302" s="82" t="n">
        <v>5490</v>
      </c>
      <c r="J302" s="82" t="n">
        <v>5490</v>
      </c>
      <c r="K302" t="inlineStr">
        <is>
          <t>N</t>
        </is>
      </c>
      <c r="N302" t="inlineStr">
        <is>
          <t>N</t>
        </is>
      </c>
      <c r="O302" s="37">
        <f>IF($A302="","",AsOf-$H302)</f>
        <v/>
      </c>
      <c r="P302" s="37">
        <f>IF($A302="","",IF($K302="Y","-",IF($O302&gt;=30,"D+30 최종통지·선적보류",IF($O302&gt;=15,"D+15 단호한 통지",IF($O302&gt;=7,"D+7 친절한 리마인더",IF(AND($O302&gt;=-3,$O302&lt;=-1),"D-3 사전 안내","모니터링"))))))</f>
        <v/>
      </c>
      <c r="Q302" s="83">
        <f>IF($A302="","",EDATE($H302,1))</f>
        <v/>
      </c>
      <c r="R302" s="37">
        <f>IF($A302="","",$Q302-AsOf)</f>
        <v/>
      </c>
      <c r="S302" s="37">
        <f>IF($A302="","",IF(OR($K302="Y",$F302&lt;&gt;"Y",$O302&lt;=0),"",IF($R302&lt;0,"통지 기한 경과 — 즉시 확인",IF($R302&lt;=NoticeWarnDays,"통지 기한 임박 — 사람 결정",""))))</f>
        <v/>
      </c>
      <c r="T302" s="83">
        <f>IF(OR($A302="",$F302&lt;&gt;"Y"),"",IF(IF($L302="",InsuranceType,$L302)="포괄",DATE(YEAR($G302),MONTH($G302)+1,20),WORKDAY($G302,10)))</f>
        <v/>
      </c>
      <c r="U302" s="83">
        <f>IF(OR($A302="",$M302=""),"",WORKDAY($M302,10))</f>
        <v/>
      </c>
      <c r="V302" s="37">
        <f>IF($A302="","",IF($N302="Y","사기 의심: 콜백 검증 전 대금 안내 중단",""))</f>
        <v/>
      </c>
      <c r="W302" s="37">
        <f>IF($A302="","",IF(AND($K302="N",$D302&lt;&gt;"LC_SIGHT",$D302&lt;&gt;"LC_USANCE",$D302&lt;&gt;"TT_ADV"),$O302,""))</f>
        <v/>
      </c>
      <c r="X302" s="37">
        <f>IF($A302="",0,IF(AND($K302="N",$D302&lt;&gt;"LC_SIGHT",$D302&lt;&gt;"LC_USANCE",$D302&lt;&gt;"TT_ADV",$O302&gt;=30),1,0))</f>
        <v/>
      </c>
      <c r="Y302" s="37">
        <f>IF($A302="","",IF($O302&lt;=0,"미연체",IF($O302&lt;=30,"1-30",IF($O302&lt;=90,"31-90",IF($O302&lt;=180,"91-180",IF($O302&lt;=365,"181-365","365+"))))))</f>
        <v/>
      </c>
      <c r="Z302" s="37">
        <f>IF($S302="통지 기한 임박 — 사람 결정",COUNTIF($S$5:$S302,"통지 기한 임박 — 사람 결정"),"")</f>
        <v/>
      </c>
    </row>
    <row r="303">
      <c r="A303" t="inlineStr">
        <is>
          <t>INV-2609-0127</t>
        </is>
      </c>
      <c r="B303" t="inlineStr">
        <is>
          <t>B149</t>
        </is>
      </c>
      <c r="C303" t="inlineStr">
        <is>
          <t>CHN</t>
        </is>
      </c>
      <c r="D303" t="inlineStr">
        <is>
          <t>TT_SPLIT_30_70</t>
        </is>
      </c>
      <c r="E303" t="inlineStr">
        <is>
          <t>USD</t>
        </is>
      </c>
      <c r="F303" t="inlineStr">
        <is>
          <t>Y</t>
        </is>
      </c>
      <c r="G303" s="32" t="n">
        <v>46288</v>
      </c>
      <c r="H303" s="32" t="n">
        <v>46318</v>
      </c>
      <c r="I303" s="82" t="n">
        <v>6146</v>
      </c>
      <c r="J303" s="82" t="n">
        <v>6146</v>
      </c>
      <c r="K303" t="inlineStr">
        <is>
          <t>N</t>
        </is>
      </c>
      <c r="L303" t="inlineStr">
        <is>
          <t>개별</t>
        </is>
      </c>
      <c r="N303" t="inlineStr">
        <is>
          <t>N</t>
        </is>
      </c>
      <c r="O303" s="37">
        <f>IF($A303="","",AsOf-$H303)</f>
        <v/>
      </c>
      <c r="P303" s="37">
        <f>IF($A303="","",IF($K303="Y","-",IF($O303&gt;=30,"D+30 최종통지·선적보류",IF($O303&gt;=15,"D+15 단호한 통지",IF($O303&gt;=7,"D+7 친절한 리마인더",IF(AND($O303&gt;=-3,$O303&lt;=-1),"D-3 사전 안내","모니터링"))))))</f>
        <v/>
      </c>
      <c r="Q303" s="83">
        <f>IF($A303="","",EDATE($H303,1))</f>
        <v/>
      </c>
      <c r="R303" s="37">
        <f>IF($A303="","",$Q303-AsOf)</f>
        <v/>
      </c>
      <c r="S303" s="37">
        <f>IF($A303="","",IF(OR($K303="Y",$F303&lt;&gt;"Y",$O303&lt;=0),"",IF($R303&lt;0,"통지 기한 경과 — 즉시 확인",IF($R303&lt;=NoticeWarnDays,"통지 기한 임박 — 사람 결정",""))))</f>
        <v/>
      </c>
      <c r="T303" s="83">
        <f>IF(OR($A303="",$F303&lt;&gt;"Y"),"",IF(IF($L303="",InsuranceType,$L303)="포괄",DATE(YEAR($G303),MONTH($G303)+1,20),WORKDAY($G303,10)))</f>
        <v/>
      </c>
      <c r="U303" s="83">
        <f>IF(OR($A303="",$M303=""),"",WORKDAY($M303,10))</f>
        <v/>
      </c>
      <c r="V303" s="37">
        <f>IF($A303="","",IF($N303="Y","사기 의심: 콜백 검증 전 대금 안내 중단",""))</f>
        <v/>
      </c>
      <c r="W303" s="37">
        <f>IF($A303="","",IF(AND($K303="N",$D303&lt;&gt;"LC_SIGHT",$D303&lt;&gt;"LC_USANCE",$D303&lt;&gt;"TT_ADV"),$O303,""))</f>
        <v/>
      </c>
      <c r="X303" s="37">
        <f>IF($A303="",0,IF(AND($K303="N",$D303&lt;&gt;"LC_SIGHT",$D303&lt;&gt;"LC_USANCE",$D303&lt;&gt;"TT_ADV",$O303&gt;=30),1,0))</f>
        <v/>
      </c>
      <c r="Y303" s="37">
        <f>IF($A303="","",IF($O303&lt;=0,"미연체",IF($O303&lt;=30,"1-30",IF($O303&lt;=90,"31-90",IF($O303&lt;=180,"91-180",IF($O303&lt;=365,"181-365","365+"))))))</f>
        <v/>
      </c>
      <c r="Z303" s="37">
        <f>IF($S303="통지 기한 임박 — 사람 결정",COUNTIF($S$5:$S303,"통지 기한 임박 — 사람 결정"),"")</f>
        <v/>
      </c>
    </row>
    <row r="304">
      <c r="A304" t="inlineStr">
        <is>
          <t>INV-2609-0052</t>
        </is>
      </c>
      <c r="B304" t="inlineStr">
        <is>
          <t>B149</t>
        </is>
      </c>
      <c r="C304" t="inlineStr">
        <is>
          <t>CHN</t>
        </is>
      </c>
      <c r="D304" t="inlineStr">
        <is>
          <t>OA</t>
        </is>
      </c>
      <c r="E304" t="inlineStr">
        <is>
          <t>USD</t>
        </is>
      </c>
      <c r="F304" t="inlineStr">
        <is>
          <t>Y</t>
        </is>
      </c>
      <c r="G304" s="32" t="n">
        <v>46274</v>
      </c>
      <c r="H304" s="32" t="n">
        <v>46364</v>
      </c>
      <c r="I304" s="82" t="n">
        <v>4820</v>
      </c>
      <c r="J304" s="82" t="n">
        <v>4820</v>
      </c>
      <c r="K304" t="inlineStr">
        <is>
          <t>N</t>
        </is>
      </c>
      <c r="L304" t="inlineStr">
        <is>
          <t>개별</t>
        </is>
      </c>
      <c r="N304" t="inlineStr">
        <is>
          <t>N</t>
        </is>
      </c>
      <c r="O304" s="37">
        <f>IF($A304="","",AsOf-$H304)</f>
        <v/>
      </c>
      <c r="P304" s="37">
        <f>IF($A304="","",IF($K304="Y","-",IF($O304&gt;=30,"D+30 최종통지·선적보류",IF($O304&gt;=15,"D+15 단호한 통지",IF($O304&gt;=7,"D+7 친절한 리마인더",IF(AND($O304&gt;=-3,$O304&lt;=-1),"D-3 사전 안내","모니터링"))))))</f>
        <v/>
      </c>
      <c r="Q304" s="83">
        <f>IF($A304="","",EDATE($H304,1))</f>
        <v/>
      </c>
      <c r="R304" s="37">
        <f>IF($A304="","",$Q304-AsOf)</f>
        <v/>
      </c>
      <c r="S304" s="37">
        <f>IF($A304="","",IF(OR($K304="Y",$F304&lt;&gt;"Y",$O304&lt;=0),"",IF($R304&lt;0,"통지 기한 경과 — 즉시 확인",IF($R304&lt;=NoticeWarnDays,"통지 기한 임박 — 사람 결정",""))))</f>
        <v/>
      </c>
      <c r="T304" s="83">
        <f>IF(OR($A304="",$F304&lt;&gt;"Y"),"",IF(IF($L304="",InsuranceType,$L304)="포괄",DATE(YEAR($G304),MONTH($G304)+1,20),WORKDAY($G304,10)))</f>
        <v/>
      </c>
      <c r="U304" s="83">
        <f>IF(OR($A304="",$M304=""),"",WORKDAY($M304,10))</f>
        <v/>
      </c>
      <c r="V304" s="37">
        <f>IF($A304="","",IF($N304="Y","사기 의심: 콜백 검증 전 대금 안내 중단",""))</f>
        <v/>
      </c>
      <c r="W304" s="37">
        <f>IF($A304="","",IF(AND($K304="N",$D304&lt;&gt;"LC_SIGHT",$D304&lt;&gt;"LC_USANCE",$D304&lt;&gt;"TT_ADV"),$O304,""))</f>
        <v/>
      </c>
      <c r="X304" s="37">
        <f>IF($A304="",0,IF(AND($K304="N",$D304&lt;&gt;"LC_SIGHT",$D304&lt;&gt;"LC_USANCE",$D304&lt;&gt;"TT_ADV",$O304&gt;=30),1,0))</f>
        <v/>
      </c>
      <c r="Y304" s="37">
        <f>IF($A304="","",IF($O304&lt;=0,"미연체",IF($O304&lt;=30,"1-30",IF($O304&lt;=90,"31-90",IF($O304&lt;=180,"91-180",IF($O304&lt;=365,"181-365","365+"))))))</f>
        <v/>
      </c>
      <c r="Z304" s="37">
        <f>IF($S304="통지 기한 임박 — 사람 결정",COUNTIF($S$5:$S304,"통지 기한 임박 — 사람 결정"),"")</f>
        <v/>
      </c>
    </row>
  </sheetData>
  <conditionalFormatting sqref="P5:P304">
    <cfRule type="expression" priority="1" dxfId="1">
      <formula>LEFT(P5,4)="D+30"</formula>
    </cfRule>
    <cfRule type="expression" priority="2" dxfId="2">
      <formula>LEFT(P5,4)="D+15"</formula>
    </cfRule>
    <cfRule type="expression" priority="3" dxfId="3">
      <formula>LEFT(P5,3)="D+7"</formula>
    </cfRule>
  </conditionalFormatting>
  <conditionalFormatting sqref="S5:S304">
    <cfRule type="expression" priority="4" dxfId="4">
      <formula>S5&lt;&gt;""</formula>
    </cfRule>
  </conditionalFormatting>
  <conditionalFormatting sqref="V5:V304">
    <cfRule type="expression" priority="5" dxfId="5">
      <formula>V5&lt;&gt;""</formula>
    </cfRule>
  </conditionalFormatting>
  <conditionalFormatting sqref="AH5:AH154">
    <cfRule type="expression" priority="6" dxfId="1">
      <formula>AH5="선적 보류"</formula>
    </cfRule>
  </conditionalFormatting>
  <dataValidations count="1">
    <dataValidation sqref="K5:K304 N5:N304" showDropDown="0" showInputMessage="0" showErrorMessage="0" allowBlank="1" type="list">
      <formula1>"N,Y"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14_ReportInput — 경영진 리포트(P4-1) 입력 표 5개(자동 집계)</t>
        </is>
      </c>
    </row>
    <row r="2">
      <c r="A2" s="10" t="inlineStr">
        <is>
          <t>이 시트의 표만 복사해 P4-1 [입력]에 붙여 넣는다. 바이어 실명·담당자 정보 없음(ID만). 숫자는 모두 이 표에서 — LLM이 새 숫자를 만들면 체크리스트 1번 위반</t>
        </is>
      </c>
    </row>
    <row r="4">
      <c r="A4" s="4" t="inlineStr">
        <is>
          <t>표1 포트폴리오 KPI</t>
        </is>
      </c>
    </row>
    <row r="5">
      <c r="A5" s="12" t="inlineStr">
        <is>
          <t>기준일</t>
        </is>
      </c>
      <c r="B5" s="79">
        <f>AsOf</f>
        <v/>
      </c>
    </row>
    <row r="6">
      <c r="A6" s="12" t="inlineStr">
        <is>
          <t>총 미결제 채권(USD)</t>
        </is>
      </c>
      <c r="B6" s="44">
        <f>SUM('02_Buyers'!$Z$2:$Z$151)</f>
        <v/>
      </c>
    </row>
    <row r="7">
      <c r="A7" s="12" t="inlineStr">
        <is>
          <t>총 미결제 채권(원, 1,360.0원/USD)</t>
        </is>
      </c>
      <c r="B7" s="44">
        <f>B6*USDKRW</f>
        <v/>
      </c>
    </row>
    <row r="8">
      <c r="A8" s="12" t="inlineStr">
        <is>
          <t>부보 비중(잔액)</t>
        </is>
      </c>
      <c r="B8" s="74">
        <f>IFERROR(SUMIFS('02_Buyers'!$Z$2:$Z$151,'02_Buyers'!$W$2:$W$151,"Y")/B6,0)</f>
        <v/>
      </c>
    </row>
    <row r="9">
      <c r="A9" s="12" t="inlineStr">
        <is>
          <t>등급별 바이어 수 S</t>
        </is>
      </c>
      <c r="B9" s="45">
        <f>COUNTIF('02_Buyers'!$AK$2:$AK$151,"S")</f>
        <v/>
      </c>
    </row>
    <row r="10">
      <c r="A10" s="12" t="inlineStr">
        <is>
          <t>등급별 바이어 수 A</t>
        </is>
      </c>
      <c r="B10" s="45">
        <f>COUNTIF('02_Buyers'!$AK$2:$AK$151,"A")</f>
        <v/>
      </c>
    </row>
    <row r="11">
      <c r="A11" s="12" t="inlineStr">
        <is>
          <t>등급별 바이어 수 B</t>
        </is>
      </c>
      <c r="B11" s="45">
        <f>COUNTIF('02_Buyers'!$AK$2:$AK$151,"B")</f>
        <v/>
      </c>
    </row>
    <row r="12">
      <c r="A12" s="12" t="inlineStr">
        <is>
          <t>등급별 바이어 수 C</t>
        </is>
      </c>
      <c r="B12" s="45">
        <f>COUNTIF('02_Buyers'!$AK$2:$AK$151,"C")</f>
        <v/>
      </c>
    </row>
    <row r="13">
      <c r="A13" s="12" t="inlineStr">
        <is>
          <t>C등급 잔액(USD)</t>
        </is>
      </c>
      <c r="B13" s="44">
        <f>SUMIFS('02_Buyers'!$Z$2:$Z$151,'02_Buyers'!$AK$2:$AK$151,"C")</f>
        <v/>
      </c>
    </row>
    <row r="14">
      <c r="A14" s="12" t="inlineStr">
        <is>
          <t>현행 한도 합계 — 한도 대상(USD)</t>
        </is>
      </c>
      <c r="B14" s="44">
        <f>SUMIFS('02_Buyers'!$AB$2:$AB$151,'02_Buyers'!$BA$2:$BA$151,"대상")</f>
        <v/>
      </c>
    </row>
    <row r="15">
      <c r="A15" s="12" t="inlineStr">
        <is>
          <t>제안 한도 합계 = 해 찾기 Σ L(USD)</t>
        </is>
      </c>
      <c r="B15" s="44">
        <f>TotalL</f>
        <v/>
      </c>
    </row>
    <row r="16">
      <c r="A16" s="12" t="inlineStr">
        <is>
          <t>감액 30% 이상(곳, 사람 승인)</t>
        </is>
      </c>
      <c r="B16" s="45">
        <f>COUNTIF('10_LimitLP'!$L$5:$L$154,"감액*")</f>
        <v/>
      </c>
    </row>
    <row r="17">
      <c r="A17" s="12" t="inlineStr">
        <is>
          <t>증액(곳, 전결권자 승인)</t>
        </is>
      </c>
      <c r="B17" s="45">
        <f>COUNTIF('10_LimitLP'!$L$5:$L$154,"증액*")</f>
        <v/>
      </c>
    </row>
    <row r="18">
      <c r="A18" s="12" t="inlineStr">
        <is>
          <t>① 총허용익스포저 여유(USD)</t>
        </is>
      </c>
      <c r="B18" s="44">
        <f>'10_LimitLP'!$X$5</f>
        <v/>
      </c>
    </row>
    <row r="19">
      <c r="A19" s="12" t="inlineStr">
        <is>
          <t>① 잠재가격(민감도 보고서 입력값)</t>
        </is>
      </c>
      <c r="B19" s="61">
        <f>'10_LimitLP'!$Z$5</f>
        <v/>
      </c>
    </row>
    <row r="20">
      <c r="A20" s="12" t="inlineStr">
        <is>
          <t>② EL 예산 사용률</t>
        </is>
      </c>
      <c r="B20" s="74">
        <f>IFERROR(ELuse/ELbudget,0)</f>
        <v/>
      </c>
    </row>
    <row r="21">
      <c r="A21" s="12" t="inlineStr">
        <is>
          <t>S0 예상손실(USD)</t>
        </is>
      </c>
      <c r="B21" s="44">
        <f>'11_Scenario'!$B$20</f>
        <v/>
      </c>
    </row>
    <row r="22">
      <c r="A22" s="12" t="inlineStr">
        <is>
          <t>S3 예상손실(USD)</t>
        </is>
      </c>
      <c r="B22" s="44">
        <f>'11_Scenario'!$E$20</f>
        <v/>
      </c>
    </row>
    <row r="23">
      <c r="A23" s="12" t="inlineStr">
        <is>
          <t>몬테카를로 P99(선택 시나리오, USD)</t>
        </is>
      </c>
      <c r="B23" s="44">
        <f>'11_Scenario'!$C$47</f>
        <v/>
      </c>
    </row>
    <row r="24">
      <c r="A24" s="12" t="inlineStr">
        <is>
          <t>D+30 건수</t>
        </is>
      </c>
      <c r="B24" s="45">
        <f>'13_EarlyWarning'!$AT$8</f>
        <v/>
      </c>
    </row>
    <row r="25">
      <c r="A25" s="12" t="inlineStr">
        <is>
          <t>D+30 금액(USD)</t>
        </is>
      </c>
      <c r="B25" s="44">
        <f>'13_EarlyWarning'!$AU$8</f>
        <v/>
      </c>
    </row>
    <row r="26">
      <c r="A26" s="12" t="inlineStr">
        <is>
          <t>선적 보류 바이어(곳)</t>
        </is>
      </c>
      <c r="B26" s="45">
        <f>'13_EarlyWarning'!$AT$15</f>
        <v/>
      </c>
    </row>
    <row r="27">
      <c r="A27" s="12" t="inlineStr">
        <is>
          <t>K-SURE 통지 임박(건)</t>
        </is>
      </c>
      <c r="B27" s="45">
        <f>'13_EarlyWarning'!$AT$12</f>
        <v/>
      </c>
    </row>
    <row r="28">
      <c r="A28" s="12" t="inlineStr">
        <is>
          <t>K-SURE 통지 경과(건)</t>
        </is>
      </c>
      <c r="B28" s="45">
        <f>'13_EarlyWarning'!$AT$13</f>
        <v/>
      </c>
    </row>
    <row r="30">
      <c r="A30" s="4" t="inlineStr">
        <is>
          <t>표2 주의 바이어 Top 5(pd_30d 순)</t>
        </is>
      </c>
    </row>
    <row r="31">
      <c r="A31" s="11" t="inlineStr">
        <is>
          <t>순위</t>
        </is>
      </c>
      <c r="B31" s="11" t="inlineStr">
        <is>
          <t>buyer_id</t>
        </is>
      </c>
      <c r="C31" s="11" t="inlineStr">
        <is>
          <t>국가</t>
        </is>
      </c>
      <c r="D31" s="11" t="inlineStr">
        <is>
          <t>등급</t>
        </is>
      </c>
      <c r="E31" s="11" t="inlineStr">
        <is>
          <t>pd_30d</t>
        </is>
      </c>
      <c r="F31" s="11" t="inlineStr">
        <is>
          <t>미결 잔액(USD)</t>
        </is>
      </c>
      <c r="G31" s="11" t="inlineStr">
        <is>
          <t>최장 연체일(비 L/C)</t>
        </is>
      </c>
      <c r="H31" s="11" t="inlineStr">
        <is>
          <t>경보</t>
        </is>
      </c>
      <c r="I31" s="11" t="inlineStr">
        <is>
          <t>상위 사유</t>
        </is>
      </c>
    </row>
    <row r="32">
      <c r="A32" s="12" t="n">
        <v>1</v>
      </c>
      <c r="B32" s="7">
        <f>IFERROR(INDEX('02_Buyers'!$A$2:$A$151,MATCH(LARGE('02_Buyers'!$BI$2:$BI$151,1),'02_Buyers'!$BI$2:$BI$151,0)),"")</f>
        <v/>
      </c>
      <c r="C32" s="7">
        <f>IFERROR(INDEX('02_Buyers'!$S$2:$S$151,MATCH(LARGE('02_Buyers'!$BI$2:$BI$151,1),'02_Buyers'!$BI$2:$BI$151,0)),"")</f>
        <v/>
      </c>
      <c r="D32" s="7">
        <f>IFERROR(INDEX('02_Buyers'!$AK$2:$AK$151,MATCH(LARGE('02_Buyers'!$BI$2:$BI$151,1),'02_Buyers'!$BI$2:$BI$151,0)),"")</f>
        <v/>
      </c>
      <c r="E32" s="61">
        <f>IFERROR(INDEX('02_Buyers'!$C$2:$C$151,MATCH(LARGE('02_Buyers'!$BI$2:$BI$151,1),'02_Buyers'!$BI$2:$BI$151,0)),"")</f>
        <v/>
      </c>
      <c r="F32" s="44">
        <f>IFERROR(INDEX('02_Buyers'!$Z$2:$Z$151,MATCH(LARGE('02_Buyers'!$BI$2:$BI$151,1),'02_Buyers'!$BI$2:$BI$151,0)),"")</f>
        <v/>
      </c>
      <c r="G32" s="45">
        <f>IFERROR(INDEX(ew_oldest,MATCH(LARGE('02_Buyers'!$BI$2:$BI$151,1),'02_Buyers'!$BI$2:$BI$151,0)),"")</f>
        <v/>
      </c>
      <c r="H32" s="7">
        <f>IFERROR(IF(INDEX(ew_ship_hold,MATCH(LARGE('02_Buyers'!$BI$2:$BI$151,1),'02_Buyers'!$BI$2:$BI$151,0))&lt;&gt;"",INDEX(ew_ship_hold,MATCH(LARGE('02_Buyers'!$BI$2:$BI$151,1),'02_Buyers'!$BI$2:$BI$151,0)),""),"")</f>
        <v/>
      </c>
      <c r="I32" s="7">
        <f>IFERROR(INDEX('02_Buyers'!$P$2:$P$151,MATCH(LARGE('02_Buyers'!$BI$2:$BI$151,1),'02_Buyers'!$BI$2:$BI$151,0)),"")</f>
        <v/>
      </c>
    </row>
    <row r="33">
      <c r="A33" s="12" t="n">
        <v>2</v>
      </c>
      <c r="B33" s="7">
        <f>IFERROR(INDEX('02_Buyers'!$A$2:$A$151,MATCH(LARGE('02_Buyers'!$BI$2:$BI$151,2),'02_Buyers'!$BI$2:$BI$151,0)),"")</f>
        <v/>
      </c>
      <c r="C33" s="7">
        <f>IFERROR(INDEX('02_Buyers'!$S$2:$S$151,MATCH(LARGE('02_Buyers'!$BI$2:$BI$151,2),'02_Buyers'!$BI$2:$BI$151,0)),"")</f>
        <v/>
      </c>
      <c r="D33" s="7">
        <f>IFERROR(INDEX('02_Buyers'!$AK$2:$AK$151,MATCH(LARGE('02_Buyers'!$BI$2:$BI$151,2),'02_Buyers'!$BI$2:$BI$151,0)),"")</f>
        <v/>
      </c>
      <c r="E33" s="61">
        <f>IFERROR(INDEX('02_Buyers'!$C$2:$C$151,MATCH(LARGE('02_Buyers'!$BI$2:$BI$151,2),'02_Buyers'!$BI$2:$BI$151,0)),"")</f>
        <v/>
      </c>
      <c r="F33" s="44">
        <f>IFERROR(INDEX('02_Buyers'!$Z$2:$Z$151,MATCH(LARGE('02_Buyers'!$BI$2:$BI$151,2),'02_Buyers'!$BI$2:$BI$151,0)),"")</f>
        <v/>
      </c>
      <c r="G33" s="45">
        <f>IFERROR(INDEX(ew_oldest,MATCH(LARGE('02_Buyers'!$BI$2:$BI$151,2),'02_Buyers'!$BI$2:$BI$151,0)),"")</f>
        <v/>
      </c>
      <c r="H33" s="7">
        <f>IFERROR(IF(INDEX(ew_ship_hold,MATCH(LARGE('02_Buyers'!$BI$2:$BI$151,2),'02_Buyers'!$BI$2:$BI$151,0))&lt;&gt;"",INDEX(ew_ship_hold,MATCH(LARGE('02_Buyers'!$BI$2:$BI$151,2),'02_Buyers'!$BI$2:$BI$151,0)),""),"")</f>
        <v/>
      </c>
      <c r="I33" s="7">
        <f>IFERROR(INDEX('02_Buyers'!$P$2:$P$151,MATCH(LARGE('02_Buyers'!$BI$2:$BI$151,2),'02_Buyers'!$BI$2:$BI$151,0)),"")</f>
        <v/>
      </c>
    </row>
    <row r="34">
      <c r="A34" s="12" t="n">
        <v>3</v>
      </c>
      <c r="B34" s="7">
        <f>IFERROR(INDEX('02_Buyers'!$A$2:$A$151,MATCH(LARGE('02_Buyers'!$BI$2:$BI$151,3),'02_Buyers'!$BI$2:$BI$151,0)),"")</f>
        <v/>
      </c>
      <c r="C34" s="7">
        <f>IFERROR(INDEX('02_Buyers'!$S$2:$S$151,MATCH(LARGE('02_Buyers'!$BI$2:$BI$151,3),'02_Buyers'!$BI$2:$BI$151,0)),"")</f>
        <v/>
      </c>
      <c r="D34" s="7">
        <f>IFERROR(INDEX('02_Buyers'!$AK$2:$AK$151,MATCH(LARGE('02_Buyers'!$BI$2:$BI$151,3),'02_Buyers'!$BI$2:$BI$151,0)),"")</f>
        <v/>
      </c>
      <c r="E34" s="61">
        <f>IFERROR(INDEX('02_Buyers'!$C$2:$C$151,MATCH(LARGE('02_Buyers'!$BI$2:$BI$151,3),'02_Buyers'!$BI$2:$BI$151,0)),"")</f>
        <v/>
      </c>
      <c r="F34" s="44">
        <f>IFERROR(INDEX('02_Buyers'!$Z$2:$Z$151,MATCH(LARGE('02_Buyers'!$BI$2:$BI$151,3),'02_Buyers'!$BI$2:$BI$151,0)),"")</f>
        <v/>
      </c>
      <c r="G34" s="45">
        <f>IFERROR(INDEX(ew_oldest,MATCH(LARGE('02_Buyers'!$BI$2:$BI$151,3),'02_Buyers'!$BI$2:$BI$151,0)),"")</f>
        <v/>
      </c>
      <c r="H34" s="7">
        <f>IFERROR(IF(INDEX(ew_ship_hold,MATCH(LARGE('02_Buyers'!$BI$2:$BI$151,3),'02_Buyers'!$BI$2:$BI$151,0))&lt;&gt;"",INDEX(ew_ship_hold,MATCH(LARGE('02_Buyers'!$BI$2:$BI$151,3),'02_Buyers'!$BI$2:$BI$151,0)),""),"")</f>
        <v/>
      </c>
      <c r="I34" s="7">
        <f>IFERROR(INDEX('02_Buyers'!$P$2:$P$151,MATCH(LARGE('02_Buyers'!$BI$2:$BI$151,3),'02_Buyers'!$BI$2:$BI$151,0)),"")</f>
        <v/>
      </c>
    </row>
    <row r="35">
      <c r="A35" s="12" t="n">
        <v>4</v>
      </c>
      <c r="B35" s="7">
        <f>IFERROR(INDEX('02_Buyers'!$A$2:$A$151,MATCH(LARGE('02_Buyers'!$BI$2:$BI$151,4),'02_Buyers'!$BI$2:$BI$151,0)),"")</f>
        <v/>
      </c>
      <c r="C35" s="7">
        <f>IFERROR(INDEX('02_Buyers'!$S$2:$S$151,MATCH(LARGE('02_Buyers'!$BI$2:$BI$151,4),'02_Buyers'!$BI$2:$BI$151,0)),"")</f>
        <v/>
      </c>
      <c r="D35" s="7">
        <f>IFERROR(INDEX('02_Buyers'!$AK$2:$AK$151,MATCH(LARGE('02_Buyers'!$BI$2:$BI$151,4),'02_Buyers'!$BI$2:$BI$151,0)),"")</f>
        <v/>
      </c>
      <c r="E35" s="61">
        <f>IFERROR(INDEX('02_Buyers'!$C$2:$C$151,MATCH(LARGE('02_Buyers'!$BI$2:$BI$151,4),'02_Buyers'!$BI$2:$BI$151,0)),"")</f>
        <v/>
      </c>
      <c r="F35" s="44">
        <f>IFERROR(INDEX('02_Buyers'!$Z$2:$Z$151,MATCH(LARGE('02_Buyers'!$BI$2:$BI$151,4),'02_Buyers'!$BI$2:$BI$151,0)),"")</f>
        <v/>
      </c>
      <c r="G35" s="45">
        <f>IFERROR(INDEX(ew_oldest,MATCH(LARGE('02_Buyers'!$BI$2:$BI$151,4),'02_Buyers'!$BI$2:$BI$151,0)),"")</f>
        <v/>
      </c>
      <c r="H35" s="7">
        <f>IFERROR(IF(INDEX(ew_ship_hold,MATCH(LARGE('02_Buyers'!$BI$2:$BI$151,4),'02_Buyers'!$BI$2:$BI$151,0))&lt;&gt;"",INDEX(ew_ship_hold,MATCH(LARGE('02_Buyers'!$BI$2:$BI$151,4),'02_Buyers'!$BI$2:$BI$151,0)),""),"")</f>
        <v/>
      </c>
      <c r="I35" s="7">
        <f>IFERROR(INDEX('02_Buyers'!$P$2:$P$151,MATCH(LARGE('02_Buyers'!$BI$2:$BI$151,4),'02_Buyers'!$BI$2:$BI$151,0)),"")</f>
        <v/>
      </c>
    </row>
    <row r="36">
      <c r="A36" s="12" t="n">
        <v>5</v>
      </c>
      <c r="B36" s="7">
        <f>IFERROR(INDEX('02_Buyers'!$A$2:$A$151,MATCH(LARGE('02_Buyers'!$BI$2:$BI$151,5),'02_Buyers'!$BI$2:$BI$151,0)),"")</f>
        <v/>
      </c>
      <c r="C36" s="7">
        <f>IFERROR(INDEX('02_Buyers'!$S$2:$S$151,MATCH(LARGE('02_Buyers'!$BI$2:$BI$151,5),'02_Buyers'!$BI$2:$BI$151,0)),"")</f>
        <v/>
      </c>
      <c r="D36" s="7">
        <f>IFERROR(INDEX('02_Buyers'!$AK$2:$AK$151,MATCH(LARGE('02_Buyers'!$BI$2:$BI$151,5),'02_Buyers'!$BI$2:$BI$151,0)),"")</f>
        <v/>
      </c>
      <c r="E36" s="61">
        <f>IFERROR(INDEX('02_Buyers'!$C$2:$C$151,MATCH(LARGE('02_Buyers'!$BI$2:$BI$151,5),'02_Buyers'!$BI$2:$BI$151,0)),"")</f>
        <v/>
      </c>
      <c r="F36" s="44">
        <f>IFERROR(INDEX('02_Buyers'!$Z$2:$Z$151,MATCH(LARGE('02_Buyers'!$BI$2:$BI$151,5),'02_Buyers'!$BI$2:$BI$151,0)),"")</f>
        <v/>
      </c>
      <c r="G36" s="45">
        <f>IFERROR(INDEX(ew_oldest,MATCH(LARGE('02_Buyers'!$BI$2:$BI$151,5),'02_Buyers'!$BI$2:$BI$151,0)),"")</f>
        <v/>
      </c>
      <c r="H36" s="7">
        <f>IFERROR(IF(INDEX(ew_ship_hold,MATCH(LARGE('02_Buyers'!$BI$2:$BI$151,5),'02_Buyers'!$BI$2:$BI$151,0))&lt;&gt;"",INDEX(ew_ship_hold,MATCH(LARGE('02_Buyers'!$BI$2:$BI$151,5),'02_Buyers'!$BI$2:$BI$151,0)),""),"")</f>
        <v/>
      </c>
      <c r="I36" s="7">
        <f>IFERROR(INDEX('02_Buyers'!$P$2:$P$151,MATCH(LARGE('02_Buyers'!$BI$2:$BI$151,5),'02_Buyers'!$BI$2:$BI$151,0)),"")</f>
        <v/>
      </c>
    </row>
    <row r="38">
      <c r="A38" s="4" t="inlineStr">
        <is>
          <t>표3 시나리오(가정 시나리오에서의 추정)</t>
        </is>
      </c>
    </row>
    <row r="39">
      <c r="A39" s="11" t="inlineStr">
        <is>
          <t>항목</t>
        </is>
      </c>
      <c r="B39" s="11" t="inlineStr">
        <is>
          <t>S0</t>
        </is>
      </c>
      <c r="C39" s="11" t="inlineStr">
        <is>
          <t>S1</t>
        </is>
      </c>
      <c r="D39" s="11" t="inlineStr">
        <is>
          <t>S2</t>
        </is>
      </c>
      <c r="E39" s="11" t="inlineStr">
        <is>
          <t>S3</t>
        </is>
      </c>
      <c r="F39" s="11" t="inlineStr">
        <is>
          <t>S4</t>
        </is>
      </c>
      <c r="G39" s="11" t="inlineStr">
        <is>
          <t>U1</t>
        </is>
      </c>
    </row>
    <row r="40">
      <c r="A40" s="12" t="inlineStr">
        <is>
          <t>예상손실 EL(USD)</t>
        </is>
      </c>
      <c r="B40" s="44">
        <f>'11_Scenario'!B20</f>
        <v/>
      </c>
      <c r="C40" s="44">
        <f>'11_Scenario'!C20</f>
        <v/>
      </c>
      <c r="D40" s="44">
        <f>'11_Scenario'!D20</f>
        <v/>
      </c>
      <c r="E40" s="44">
        <f>'11_Scenario'!E20</f>
        <v/>
      </c>
      <c r="F40" s="44">
        <f>'11_Scenario'!F20</f>
        <v/>
      </c>
      <c r="G40" s="44">
        <f>'11_Scenario'!G20</f>
        <v/>
      </c>
    </row>
    <row r="41">
      <c r="A41" s="12" t="inlineStr">
        <is>
          <t>S0 대비</t>
        </is>
      </c>
      <c r="B41" s="74">
        <f>'11_Scenario'!B21</f>
        <v/>
      </c>
      <c r="C41" s="74">
        <f>'11_Scenario'!C21</f>
        <v/>
      </c>
      <c r="D41" s="74">
        <f>'11_Scenario'!D21</f>
        <v/>
      </c>
      <c r="E41" s="74">
        <f>'11_Scenario'!E21</f>
        <v/>
      </c>
      <c r="F41" s="74">
        <f>'11_Scenario'!F21</f>
        <v/>
      </c>
      <c r="G41" s="74">
        <f>'11_Scenario'!G21</f>
        <v/>
      </c>
    </row>
    <row r="42">
      <c r="A42" s="12" t="inlineStr">
        <is>
          <t>잔액 원화 환산(원)</t>
        </is>
      </c>
      <c r="B42" s="44">
        <f>'11_Scenario'!B22</f>
        <v/>
      </c>
      <c r="C42" s="44">
        <f>'11_Scenario'!C22</f>
        <v/>
      </c>
      <c r="D42" s="44">
        <f>'11_Scenario'!D22</f>
        <v/>
      </c>
      <c r="E42" s="44">
        <f>'11_Scenario'!E22</f>
        <v/>
      </c>
      <c r="F42" s="44">
        <f>'11_Scenario'!F22</f>
        <v/>
      </c>
      <c r="G42" s="44">
        <f>'11_Scenario'!G22</f>
        <v/>
      </c>
    </row>
    <row r="43">
      <c r="A43" s="12" t="inlineStr">
        <is>
          <t>금융비용(USD)</t>
        </is>
      </c>
      <c r="B43" s="44">
        <f>'11_Scenario'!B23</f>
        <v/>
      </c>
      <c r="C43" s="44">
        <f>'11_Scenario'!C23</f>
        <v/>
      </c>
      <c r="D43" s="44">
        <f>'11_Scenario'!D23</f>
        <v/>
      </c>
      <c r="E43" s="44">
        <f>'11_Scenario'!E23</f>
        <v/>
      </c>
      <c r="F43" s="44">
        <f>'11_Scenario'!F23</f>
        <v/>
      </c>
      <c r="G43" s="44">
        <f>'11_Scenario'!G23</f>
        <v/>
      </c>
    </row>
    <row r="44">
      <c r="A44" s="12" t="inlineStr">
        <is>
          <t>몬테카를로(선택 시나리오) 평균 / P95 / P99</t>
        </is>
      </c>
      <c r="B44" s="44">
        <f>'11_Scenario'!$C$44</f>
        <v/>
      </c>
      <c r="C44" s="44">
        <f>'11_Scenario'!$C$46</f>
        <v/>
      </c>
      <c r="D44" s="44">
        <f>'11_Scenario'!$C$47</f>
        <v/>
      </c>
    </row>
    <row r="45">
      <c r="A45" s="12" t="inlineStr">
        <is>
          <t>2026 실제 원/달러 경로: USD 채권 원화 가치 변화(원)</t>
        </is>
      </c>
      <c r="B45" s="44">
        <f>'11_Scenario'!$B$34</f>
        <v/>
      </c>
    </row>
    <row r="47">
      <c r="A47" s="4" t="inlineStr">
        <is>
          <t>표4 한도 변경안(해 찾기 결과)</t>
        </is>
      </c>
    </row>
    <row r="48">
      <c r="A48" s="11" t="inlineStr">
        <is>
          <t>등급</t>
        </is>
      </c>
      <c r="B48" s="11" t="inlineStr">
        <is>
          <t>바이어 수</t>
        </is>
      </c>
      <c r="C48" s="11" t="inlineStr">
        <is>
          <t>현행 한도(USD)</t>
        </is>
      </c>
      <c r="D48" s="11" t="inlineStr">
        <is>
          <t>제안 한도(USD)</t>
        </is>
      </c>
      <c r="E48" s="11" t="inlineStr">
        <is>
          <t>변화(USD)</t>
        </is>
      </c>
    </row>
    <row r="49">
      <c r="A49" s="12" t="inlineStr">
        <is>
          <t>S</t>
        </is>
      </c>
      <c r="B49" s="45">
        <f>'10_LimitLP'!$U$38</f>
        <v/>
      </c>
      <c r="C49" s="44">
        <f>'10_LimitLP'!$V$38</f>
        <v/>
      </c>
      <c r="D49" s="44">
        <f>'10_LimitLP'!$W$38</f>
        <v/>
      </c>
      <c r="E49" s="44">
        <f>D49-C49</f>
        <v/>
      </c>
    </row>
    <row r="50">
      <c r="A50" s="12" t="inlineStr">
        <is>
          <t>A</t>
        </is>
      </c>
      <c r="B50" s="45">
        <f>'10_LimitLP'!$U$39</f>
        <v/>
      </c>
      <c r="C50" s="44">
        <f>'10_LimitLP'!$V$39</f>
        <v/>
      </c>
      <c r="D50" s="44">
        <f>'10_LimitLP'!$W$39</f>
        <v/>
      </c>
      <c r="E50" s="44">
        <f>D50-C50</f>
        <v/>
      </c>
    </row>
    <row r="51">
      <c r="A51" s="12" t="inlineStr">
        <is>
          <t>B</t>
        </is>
      </c>
      <c r="B51" s="45">
        <f>'10_LimitLP'!$U$40</f>
        <v/>
      </c>
      <c r="C51" s="44">
        <f>'10_LimitLP'!$V$40</f>
        <v/>
      </c>
      <c r="D51" s="44">
        <f>'10_LimitLP'!$W$40</f>
        <v/>
      </c>
      <c r="E51" s="44">
        <f>D51-C51</f>
        <v/>
      </c>
    </row>
    <row r="52">
      <c r="A52" s="12" t="inlineStr">
        <is>
          <t>C</t>
        </is>
      </c>
      <c r="B52" s="45">
        <f>'10_LimitLP'!$U$41</f>
        <v/>
      </c>
      <c r="C52" s="44">
        <f>'10_LimitLP'!$V$41</f>
        <v/>
      </c>
      <c r="D52" s="44">
        <f>'10_LimitLP'!$W$41</f>
        <v/>
      </c>
      <c r="E52" s="44">
        <f>D52-C52</f>
        <v/>
      </c>
    </row>
    <row r="54">
      <c r="A54" s="4" t="inlineStr">
        <is>
          <t>표5 기한 목록 — K-SURE 사고발생통지 임박(결제기일 + 1개월) · 선적 보류 바이어</t>
        </is>
      </c>
    </row>
    <row r="55">
      <c r="A55" s="11" t="inlineStr">
        <is>
          <t>순번</t>
        </is>
      </c>
      <c r="B55" s="11" t="inlineStr">
        <is>
          <t>invoice_id</t>
        </is>
      </c>
      <c r="C55" s="11" t="inlineStr">
        <is>
          <t>buyer_id</t>
        </is>
      </c>
      <c r="D55" s="11" t="inlineStr">
        <is>
          <t>결제기일</t>
        </is>
      </c>
      <c r="E55" s="11" t="inlineStr">
        <is>
          <t>통지 기한</t>
        </is>
      </c>
      <c r="F55" s="11" t="inlineStr">
        <is>
          <t>남은 일수</t>
        </is>
      </c>
      <c r="G55" s="11" t="inlineStr">
        <is>
          <t>잔액(USD)</t>
        </is>
      </c>
      <c r="H55" s="11" t="inlineStr"/>
      <c r="I55" s="11" t="inlineStr">
        <is>
          <t>선적 보류 바이어</t>
        </is>
      </c>
    </row>
    <row r="56">
      <c r="A56" s="12" t="n">
        <v>1</v>
      </c>
      <c r="B56" s="7">
        <f>IFERROR(INDEX(inv_id,MATCH(1,inv_imm_rank,0)),"")</f>
        <v/>
      </c>
      <c r="C56" s="7">
        <f>IFERROR(INDEX(inv_buyer,MATCH(1,inv_imm_rank,0)),"")</f>
        <v/>
      </c>
      <c r="D56" s="79">
        <f>IFERROR(INDEX(inv_due,MATCH(1,inv_imm_rank,0)),"")</f>
        <v/>
      </c>
      <c r="E56" s="79">
        <f>IFERROR(INDEX(inv_deadline,MATCH(1,inv_imm_rank,0)),"")</f>
        <v/>
      </c>
      <c r="F56" s="45">
        <f>IFERROR(INDEX(inv_daysleft,MATCH(1,inv_imm_rank,0)),"")</f>
        <v/>
      </c>
      <c r="G56" s="44">
        <f>IFERROR(INDEX(inv_usd,MATCH(1,inv_imm_rank,0)),"")</f>
        <v/>
      </c>
      <c r="I56" s="7">
        <f>IFERROR(INDEX(ew_buyer,MATCH(1,ew_hold_rank,0)),"")</f>
        <v/>
      </c>
    </row>
    <row r="57">
      <c r="A57" s="12" t="n">
        <v>2</v>
      </c>
      <c r="B57" s="7">
        <f>IFERROR(INDEX(inv_id,MATCH(2,inv_imm_rank,0)),"")</f>
        <v/>
      </c>
      <c r="C57" s="7">
        <f>IFERROR(INDEX(inv_buyer,MATCH(2,inv_imm_rank,0)),"")</f>
        <v/>
      </c>
      <c r="D57" s="79">
        <f>IFERROR(INDEX(inv_due,MATCH(2,inv_imm_rank,0)),"")</f>
        <v/>
      </c>
      <c r="E57" s="79">
        <f>IFERROR(INDEX(inv_deadline,MATCH(2,inv_imm_rank,0)),"")</f>
        <v/>
      </c>
      <c r="F57" s="45">
        <f>IFERROR(INDEX(inv_daysleft,MATCH(2,inv_imm_rank,0)),"")</f>
        <v/>
      </c>
      <c r="G57" s="44">
        <f>IFERROR(INDEX(inv_usd,MATCH(2,inv_imm_rank,0)),"")</f>
        <v/>
      </c>
      <c r="I57" s="7">
        <f>IFERROR(INDEX(ew_buyer,MATCH(2,ew_hold_rank,0)),"")</f>
        <v/>
      </c>
    </row>
    <row r="58">
      <c r="A58" s="12" t="n">
        <v>3</v>
      </c>
      <c r="B58" s="7">
        <f>IFERROR(INDEX(inv_id,MATCH(3,inv_imm_rank,0)),"")</f>
        <v/>
      </c>
      <c r="C58" s="7">
        <f>IFERROR(INDEX(inv_buyer,MATCH(3,inv_imm_rank,0)),"")</f>
        <v/>
      </c>
      <c r="D58" s="79">
        <f>IFERROR(INDEX(inv_due,MATCH(3,inv_imm_rank,0)),"")</f>
        <v/>
      </c>
      <c r="E58" s="79">
        <f>IFERROR(INDEX(inv_deadline,MATCH(3,inv_imm_rank,0)),"")</f>
        <v/>
      </c>
      <c r="F58" s="45">
        <f>IFERROR(INDEX(inv_daysleft,MATCH(3,inv_imm_rank,0)),"")</f>
        <v/>
      </c>
      <c r="G58" s="44">
        <f>IFERROR(INDEX(inv_usd,MATCH(3,inv_imm_rank,0)),"")</f>
        <v/>
      </c>
      <c r="I58" s="7">
        <f>IFERROR(INDEX(ew_buyer,MATCH(3,ew_hold_rank,0)),"")</f>
        <v/>
      </c>
    </row>
    <row r="59">
      <c r="A59" s="12" t="n">
        <v>4</v>
      </c>
      <c r="B59" s="7">
        <f>IFERROR(INDEX(inv_id,MATCH(4,inv_imm_rank,0)),"")</f>
        <v/>
      </c>
      <c r="C59" s="7">
        <f>IFERROR(INDEX(inv_buyer,MATCH(4,inv_imm_rank,0)),"")</f>
        <v/>
      </c>
      <c r="D59" s="79">
        <f>IFERROR(INDEX(inv_due,MATCH(4,inv_imm_rank,0)),"")</f>
        <v/>
      </c>
      <c r="E59" s="79">
        <f>IFERROR(INDEX(inv_deadline,MATCH(4,inv_imm_rank,0)),"")</f>
        <v/>
      </c>
      <c r="F59" s="45">
        <f>IFERROR(INDEX(inv_daysleft,MATCH(4,inv_imm_rank,0)),"")</f>
        <v/>
      </c>
      <c r="G59" s="44">
        <f>IFERROR(INDEX(inv_usd,MATCH(4,inv_imm_rank,0)),"")</f>
        <v/>
      </c>
      <c r="I59" s="7">
        <f>IFERROR(INDEX(ew_buyer,MATCH(4,ew_hold_rank,0)),"")</f>
        <v/>
      </c>
    </row>
    <row r="60">
      <c r="A60" s="12" t="n">
        <v>5</v>
      </c>
      <c r="B60" s="7">
        <f>IFERROR(INDEX(inv_id,MATCH(5,inv_imm_rank,0)),"")</f>
        <v/>
      </c>
      <c r="C60" s="7">
        <f>IFERROR(INDEX(inv_buyer,MATCH(5,inv_imm_rank,0)),"")</f>
        <v/>
      </c>
      <c r="D60" s="79">
        <f>IFERROR(INDEX(inv_due,MATCH(5,inv_imm_rank,0)),"")</f>
        <v/>
      </c>
      <c r="E60" s="79">
        <f>IFERROR(INDEX(inv_deadline,MATCH(5,inv_imm_rank,0)),"")</f>
        <v/>
      </c>
      <c r="F60" s="45">
        <f>IFERROR(INDEX(inv_daysleft,MATCH(5,inv_imm_rank,0)),"")</f>
        <v/>
      </c>
      <c r="G60" s="44">
        <f>IFERROR(INDEX(inv_usd,MATCH(5,inv_imm_rank,0)),"")</f>
        <v/>
      </c>
      <c r="I60" s="7">
        <f>IFERROR(INDEX(ew_buyer,MATCH(5,ew_hold_rank,0)),"")</f>
        <v/>
      </c>
    </row>
    <row r="61">
      <c r="A61" s="12" t="n">
        <v>6</v>
      </c>
      <c r="B61" s="7">
        <f>IFERROR(INDEX(inv_id,MATCH(6,inv_imm_rank,0)),"")</f>
        <v/>
      </c>
      <c r="C61" s="7">
        <f>IFERROR(INDEX(inv_buyer,MATCH(6,inv_imm_rank,0)),"")</f>
        <v/>
      </c>
      <c r="D61" s="79">
        <f>IFERROR(INDEX(inv_due,MATCH(6,inv_imm_rank,0)),"")</f>
        <v/>
      </c>
      <c r="E61" s="79">
        <f>IFERROR(INDEX(inv_deadline,MATCH(6,inv_imm_rank,0)),"")</f>
        <v/>
      </c>
      <c r="F61" s="45">
        <f>IFERROR(INDEX(inv_daysleft,MATCH(6,inv_imm_rank,0)),"")</f>
        <v/>
      </c>
      <c r="G61" s="44">
        <f>IFERROR(INDEX(inv_usd,MATCH(6,inv_imm_rank,0)),"")</f>
        <v/>
      </c>
      <c r="I61" s="7">
        <f>IFERROR(INDEX(ew_buyer,MATCH(6,ew_hold_rank,0)),"")</f>
        <v/>
      </c>
    </row>
    <row r="62">
      <c r="A62" s="12" t="n">
        <v>7</v>
      </c>
      <c r="B62" s="7">
        <f>IFERROR(INDEX(inv_id,MATCH(7,inv_imm_rank,0)),"")</f>
        <v/>
      </c>
      <c r="C62" s="7">
        <f>IFERROR(INDEX(inv_buyer,MATCH(7,inv_imm_rank,0)),"")</f>
        <v/>
      </c>
      <c r="D62" s="79">
        <f>IFERROR(INDEX(inv_due,MATCH(7,inv_imm_rank,0)),"")</f>
        <v/>
      </c>
      <c r="E62" s="79">
        <f>IFERROR(INDEX(inv_deadline,MATCH(7,inv_imm_rank,0)),"")</f>
        <v/>
      </c>
      <c r="F62" s="45">
        <f>IFERROR(INDEX(inv_daysleft,MATCH(7,inv_imm_rank,0)),"")</f>
        <v/>
      </c>
      <c r="G62" s="44">
        <f>IFERROR(INDEX(inv_usd,MATCH(7,inv_imm_rank,0)),"")</f>
        <v/>
      </c>
      <c r="I62" s="7">
        <f>IFERROR(INDEX(ew_buyer,MATCH(7,ew_hold_rank,0)),"")</f>
        <v/>
      </c>
    </row>
    <row r="63">
      <c r="A63" s="12" t="n">
        <v>8</v>
      </c>
      <c r="B63" s="7">
        <f>IFERROR(INDEX(inv_id,MATCH(8,inv_imm_rank,0)),"")</f>
        <v/>
      </c>
      <c r="C63" s="7">
        <f>IFERROR(INDEX(inv_buyer,MATCH(8,inv_imm_rank,0)),"")</f>
        <v/>
      </c>
      <c r="D63" s="79">
        <f>IFERROR(INDEX(inv_due,MATCH(8,inv_imm_rank,0)),"")</f>
        <v/>
      </c>
      <c r="E63" s="79">
        <f>IFERROR(INDEX(inv_deadline,MATCH(8,inv_imm_rank,0)),"")</f>
        <v/>
      </c>
      <c r="F63" s="45">
        <f>IFERROR(INDEX(inv_daysleft,MATCH(8,inv_imm_rank,0)),"")</f>
        <v/>
      </c>
      <c r="G63" s="44">
        <f>IFERROR(INDEX(inv_usd,MATCH(8,inv_imm_rank,0)),"")</f>
        <v/>
      </c>
      <c r="I63" s="7">
        <f>IFERROR(INDEX(ew_buyer,MATCH(8,ew_hold_rank,0)),"")</f>
        <v/>
      </c>
    </row>
    <row r="64">
      <c r="A64" s="12" t="n">
        <v>9</v>
      </c>
      <c r="B64" s="7">
        <f>IFERROR(INDEX(inv_id,MATCH(9,inv_imm_rank,0)),"")</f>
        <v/>
      </c>
      <c r="C64" s="7">
        <f>IFERROR(INDEX(inv_buyer,MATCH(9,inv_imm_rank,0)),"")</f>
        <v/>
      </c>
      <c r="D64" s="79">
        <f>IFERROR(INDEX(inv_due,MATCH(9,inv_imm_rank,0)),"")</f>
        <v/>
      </c>
      <c r="E64" s="79">
        <f>IFERROR(INDEX(inv_deadline,MATCH(9,inv_imm_rank,0)),"")</f>
        <v/>
      </c>
      <c r="F64" s="45">
        <f>IFERROR(INDEX(inv_daysleft,MATCH(9,inv_imm_rank,0)),"")</f>
        <v/>
      </c>
      <c r="G64" s="44">
        <f>IFERROR(INDEX(inv_usd,MATCH(9,inv_imm_rank,0)),"")</f>
        <v/>
      </c>
      <c r="I64" s="7">
        <f>IFERROR(INDEX(ew_buyer,MATCH(9,ew_hold_rank,0)),"")</f>
        <v/>
      </c>
    </row>
    <row r="65">
      <c r="A65" s="12" t="n">
        <v>10</v>
      </c>
      <c r="B65" s="7">
        <f>IFERROR(INDEX(inv_id,MATCH(10,inv_imm_rank,0)),"")</f>
        <v/>
      </c>
      <c r="C65" s="7">
        <f>IFERROR(INDEX(inv_buyer,MATCH(10,inv_imm_rank,0)),"")</f>
        <v/>
      </c>
      <c r="D65" s="79">
        <f>IFERROR(INDEX(inv_due,MATCH(10,inv_imm_rank,0)),"")</f>
        <v/>
      </c>
      <c r="E65" s="79">
        <f>IFERROR(INDEX(inv_deadline,MATCH(10,inv_imm_rank,0)),"")</f>
        <v/>
      </c>
      <c r="F65" s="45">
        <f>IFERROR(INDEX(inv_daysleft,MATCH(10,inv_imm_rank,0)),"")</f>
        <v/>
      </c>
      <c r="G65" s="44">
        <f>IFERROR(INDEX(inv_usd,MATCH(10,inv_imm_rank,0)),"")</f>
        <v/>
      </c>
      <c r="I65" s="7">
        <f>IFERROR(INDEX(ew_buyer,MATCH(10,ew_hold_rank,0)),"")</f>
        <v/>
      </c>
    </row>
    <row r="67">
      <c r="A67" s="49" t="inlineStr">
        <is>
          <t>선적 보류 바이어가 10곳을 넘으면 13_EarlyWarning AH열(필터 '선적 보류')에서 전체를 본다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1" customWidth="1" min="3" max="3"/>
    <col width="14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15_Bond — 공공조달 보증 EAD 타임라인(🔵, 03 Part2 §4.10 · G02 §2.6)</t>
        </is>
      </c>
    </row>
    <row r="2">
      <c r="A2" s="10" t="inlineStr">
        <is>
          <t>EL_bond = Σ 보증 EAD_t × [P(정당) × LGD_정당 + P(부당) × LGD_부당] × 기간_t/12 · LGD_정당 ≈ 100%(보험이 있어도 수출자가 상환) · LGD_부당 = 1 − 부보율(무보험 100%)</t>
        </is>
      </c>
    </row>
    <row r="3">
      <c r="A3" s="10" t="inlineStr">
        <is>
          <t>청구확률·부보율 90%·구간 길이 = [교육용 가정](G02). 검산: MDB·부당청구 부보 → EL ≈ USD 3,436 · 무보험 → 약 USD 4,433</t>
        </is>
      </c>
    </row>
    <row r="4">
      <c r="A4" s="12" t="inlineStr">
        <is>
          <t>계약금액(USD)</t>
        </is>
      </c>
      <c r="B4" s="85" t="n">
        <v>1000000</v>
      </c>
      <c r="D4" s="11" t="inlineStr">
        <is>
          <t>수익자 유형</t>
        </is>
      </c>
      <c r="E4" s="11" t="inlineStr">
        <is>
          <t>P(정당)/년</t>
        </is>
      </c>
      <c r="F4" s="11" t="inlineStr">
        <is>
          <t>P(부당)/년</t>
        </is>
      </c>
    </row>
    <row r="5">
      <c r="A5" s="12" t="inlineStr">
        <is>
          <t>수익자 유형</t>
        </is>
      </c>
      <c r="B5" s="6" t="inlineStr">
        <is>
          <t>MDB</t>
        </is>
      </c>
      <c r="D5" s="12" t="inlineStr">
        <is>
          <t>UN</t>
        </is>
      </c>
      <c r="E5" s="77" t="n">
        <v>0.01</v>
      </c>
      <c r="F5" s="77" t="n">
        <v>0.002</v>
      </c>
    </row>
    <row r="6">
      <c r="A6" s="12" t="inlineStr">
        <is>
          <t>부당청구 부보(Y/N)</t>
        </is>
      </c>
      <c r="B6" s="6" t="inlineStr">
        <is>
          <t>Y</t>
        </is>
      </c>
      <c r="D6" s="12" t="inlineStr">
        <is>
          <t>MDB</t>
        </is>
      </c>
      <c r="E6" s="77" t="n">
        <v>0.015</v>
      </c>
      <c r="F6" s="77" t="n">
        <v>0.005</v>
      </c>
    </row>
    <row r="7">
      <c r="A7" s="12" t="inlineStr">
        <is>
          <t>부보율</t>
        </is>
      </c>
      <c r="B7" s="86" t="n">
        <v>0.9</v>
      </c>
      <c r="D7" s="12" t="inlineStr">
        <is>
          <t>개도국 정부</t>
        </is>
      </c>
      <c r="E7" s="77" t="n">
        <v>0.025</v>
      </c>
      <c r="F7" s="77" t="n">
        <v>0.02</v>
      </c>
    </row>
    <row r="8">
      <c r="D8" s="12" t="inlineStr">
        <is>
          <t>선진국 정부</t>
        </is>
      </c>
      <c r="E8" s="77" t="n">
        <v>0.01</v>
      </c>
      <c r="F8" s="77" t="n">
        <v>0.001</v>
      </c>
    </row>
    <row r="11">
      <c r="A11" s="11" t="inlineStr">
        <is>
          <t>단계</t>
        </is>
      </c>
      <c r="B11" s="11" t="inlineStr">
        <is>
          <t>기간</t>
        </is>
      </c>
      <c r="C11" s="11" t="inlineStr">
        <is>
          <t>개월</t>
        </is>
      </c>
      <c r="D11" s="11" t="inlineStr">
        <is>
          <t>보증 익스포저</t>
        </is>
      </c>
      <c r="E11" s="11" t="inlineStr">
        <is>
          <t>채권 익스포저</t>
        </is>
      </c>
      <c r="F11" s="11" t="inlineStr">
        <is>
          <t>합계 EAD</t>
        </is>
      </c>
      <c r="G11" s="11" t="inlineStr">
        <is>
          <t>보증 USD·월</t>
        </is>
      </c>
    </row>
    <row r="12">
      <c r="A12" s="12" t="inlineStr">
        <is>
          <t>입찰</t>
        </is>
      </c>
      <c r="B12" s="7" t="inlineStr">
        <is>
          <t>M-3~M0</t>
        </is>
      </c>
      <c r="C12" s="52" t="n">
        <v>3</v>
      </c>
      <c r="D12" s="85" t="n">
        <v>20000</v>
      </c>
      <c r="E12" s="85" t="n">
        <v>0</v>
      </c>
      <c r="F12" s="44">
        <f>D12+E12</f>
        <v/>
      </c>
      <c r="G12" s="44">
        <f>C12*D12</f>
        <v/>
      </c>
    </row>
    <row r="13">
      <c r="A13" s="12" t="inlineStr">
        <is>
          <t>계약·선급</t>
        </is>
      </c>
      <c r="B13" s="7" t="inlineStr">
        <is>
          <t>M0~M1</t>
        </is>
      </c>
      <c r="C13" s="52" t="n">
        <v>1</v>
      </c>
      <c r="D13" s="85" t="n">
        <v>200000</v>
      </c>
      <c r="E13" s="85" t="n">
        <v>0</v>
      </c>
      <c r="F13" s="44">
        <f>D13+E13</f>
        <v/>
      </c>
      <c r="G13" s="44">
        <f>C13*D13</f>
        <v/>
      </c>
    </row>
    <row r="14">
      <c r="A14" s="12" t="inlineStr">
        <is>
          <t>제작</t>
        </is>
      </c>
      <c r="B14" s="7" t="inlineStr">
        <is>
          <t>M1~M6</t>
        </is>
      </c>
      <c r="C14" s="52" t="n">
        <v>5</v>
      </c>
      <c r="D14" s="85" t="n">
        <v>200000</v>
      </c>
      <c r="E14" s="85" t="n">
        <v>0</v>
      </c>
      <c r="F14" s="44">
        <f>D14+E14</f>
        <v/>
      </c>
      <c r="G14" s="44">
        <f>C14*D14</f>
        <v/>
      </c>
    </row>
    <row r="15">
      <c r="A15" s="12" t="inlineStr">
        <is>
          <t>선적</t>
        </is>
      </c>
      <c r="B15" s="7" t="inlineStr">
        <is>
          <t>M6~M7</t>
        </is>
      </c>
      <c r="C15" s="52" t="n">
        <v>1</v>
      </c>
      <c r="D15" s="85" t="n">
        <v>100000</v>
      </c>
      <c r="E15" s="85" t="n">
        <v>0</v>
      </c>
      <c r="F15" s="44">
        <f>D15+E15</f>
        <v/>
      </c>
      <c r="G15" s="44">
        <f>C15*D15</f>
        <v/>
      </c>
    </row>
    <row r="16">
      <c r="A16" s="12" t="inlineStr">
        <is>
          <t>인수 후</t>
        </is>
      </c>
      <c r="B16" s="7" t="inlineStr">
        <is>
          <t>M7~M8</t>
        </is>
      </c>
      <c r="C16" s="52" t="n">
        <v>1</v>
      </c>
      <c r="D16" s="85" t="n">
        <v>100000</v>
      </c>
      <c r="E16" s="85" t="n">
        <v>100000</v>
      </c>
      <c r="F16" s="44">
        <f>D16+E16</f>
        <v/>
      </c>
      <c r="G16" s="44">
        <f>C16*D16</f>
        <v/>
      </c>
    </row>
    <row r="17">
      <c r="A17" s="12" t="inlineStr">
        <is>
          <t>하자보증</t>
        </is>
      </c>
      <c r="B17" s="7" t="inlineStr">
        <is>
          <t>M8~M20</t>
        </is>
      </c>
      <c r="C17" s="52" t="n">
        <v>12</v>
      </c>
      <c r="D17" s="85" t="n">
        <v>100000</v>
      </c>
      <c r="E17" s="85" t="n">
        <v>0</v>
      </c>
      <c r="F17" s="44">
        <f>D17+E17</f>
        <v/>
      </c>
      <c r="G17" s="44">
        <f>C17*D17</f>
        <v/>
      </c>
    </row>
    <row r="18">
      <c r="A18" s="2" t="inlineStr">
        <is>
          <t>합계</t>
        </is>
      </c>
      <c r="G18" s="76">
        <f>SUM(G12:G17)</f>
        <v/>
      </c>
    </row>
    <row r="20">
      <c r="A20" s="12" t="inlineStr">
        <is>
          <t>P(정당)/년</t>
        </is>
      </c>
      <c r="B20" s="74">
        <f>INDEX($E$5:$E$8,MATCH($B$5,$D$5:$D$8,0))</f>
        <v/>
      </c>
    </row>
    <row r="21">
      <c r="A21" s="12" t="inlineStr">
        <is>
          <t>P(부당)/년</t>
        </is>
      </c>
      <c r="B21" s="74">
        <f>INDEX($F$5:$F$8,MATCH($B$5,$D$5:$D$8,0))</f>
        <v/>
      </c>
    </row>
    <row r="22">
      <c r="A22" s="12" t="inlineStr">
        <is>
          <t>LGD_부당</t>
        </is>
      </c>
      <c r="B22" s="67">
        <f>IF($B$6="Y",1-$B$7,1)</f>
        <v/>
      </c>
    </row>
    <row r="23">
      <c r="A23" s="12" t="inlineStr">
        <is>
          <t>연 손실률</t>
        </is>
      </c>
      <c r="B23" s="50">
        <f>B20*1+B21*B22</f>
        <v/>
      </c>
    </row>
    <row r="24">
      <c r="A24" s="12" t="inlineStr">
        <is>
          <t>보증 노출 USD·년</t>
        </is>
      </c>
      <c r="B24" s="44">
        <f>G18/12</f>
        <v/>
      </c>
    </row>
    <row r="25">
      <c r="A25" s="12" t="inlineStr">
        <is>
          <t>EL_bond(USD)</t>
        </is>
      </c>
      <c r="B25" s="64">
        <f>B24*B23</f>
        <v/>
      </c>
      <c r="C25" s="48" t="n">
        <v>3436</v>
      </c>
      <c r="D25" s="7">
        <f>IF(AND($B$5="MDB",$B$6="Y"),IF(ABS(B25-C25)&lt;1,"✔ 검산 일치","✘"),"(MDB·Y일 때 검산)")</f>
        <v/>
      </c>
    </row>
    <row r="27">
      <c r="A27" s="4" t="inlineStr">
        <is>
          <t>UNICEF 조건 비교(L/C 없이 서류 수령 후 30일 내 100%, 지연이자 없음)</t>
        </is>
      </c>
    </row>
    <row r="28">
      <c r="A28" s="12" t="inlineStr">
        <is>
          <t>선적 후 채권 EAD — WB 조건(잔금 10%)</t>
        </is>
      </c>
      <c r="B28" s="44">
        <f>E16</f>
        <v/>
      </c>
    </row>
    <row r="29">
      <c r="A29" s="12" t="inlineStr">
        <is>
          <t>선적 후 채권 EAD — UNICEF 조건(100% 후불)</t>
        </is>
      </c>
      <c r="B29" s="44">
        <f>B4</f>
        <v/>
      </c>
    </row>
    <row r="30">
      <c r="A30" s="49" t="inlineStr">
        <is>
          <t>→ 같은 매출, 다른 EAD 곡선</t>
        </is>
      </c>
    </row>
    <row r="31">
      <c r="A31" s="49" t="inlineStr">
        <is>
          <t>빈 틀: 회사 보증 목록은 채운 판(data/checkpoints/d4_limit_model.xlsx)에 있다 — 조달 트랙은 그 파일을 쓴다</t>
        </is>
      </c>
    </row>
    <row r="32">
      <c r="A32" s="4" t="inlineStr">
        <is>
          <t>회사 보증 목록(bonds_public) — 12개월 EL(정당 + 부당, 남은 기간 반영)</t>
        </is>
      </c>
    </row>
    <row r="33">
      <c r="A33" s="11" t="inlineStr">
        <is>
          <t>contract_id</t>
        </is>
      </c>
      <c r="B33" s="11" t="inlineStr">
        <is>
          <t>buyer_id</t>
        </is>
      </c>
      <c r="C33" s="11" t="inlineStr">
        <is>
          <t>buyer_type</t>
        </is>
      </c>
      <c r="D33" s="11" t="inlineStr">
        <is>
          <t>bond_type</t>
        </is>
      </c>
      <c r="E33" s="11" t="inlineStr">
        <is>
          <t>bond_amount</t>
        </is>
      </c>
      <c r="F33" s="11" t="inlineStr">
        <is>
          <t>issue_date</t>
        </is>
      </c>
      <c r="G33" s="11" t="inlineStr">
        <is>
          <t>expiry_date</t>
        </is>
      </c>
      <c r="H33" s="11" t="inlineStr">
        <is>
          <t>ksure_cover</t>
        </is>
      </c>
      <c r="I33" s="11" t="inlineStr">
        <is>
          <t>cover_ratio</t>
        </is>
      </c>
      <c r="J33" s="11" t="inlineStr">
        <is>
          <t>p_fair_call_annual</t>
        </is>
      </c>
      <c r="K33" s="11" t="inlineStr">
        <is>
          <t>p_unfair_call_annual</t>
        </is>
      </c>
      <c r="L33" s="11" t="inlineStr">
        <is>
          <t>남은 개월</t>
        </is>
      </c>
      <c r="M33" s="11" t="inlineStr">
        <is>
          <t>12개월 EL(USD)</t>
        </is>
      </c>
    </row>
    <row r="34">
      <c r="L34" s="58">
        <f>IF($A34="","",MAX(0,($G34-AsOf)/30.4375))</f>
        <v/>
      </c>
      <c r="M34" s="55">
        <f>IF($A34="","",IF($G34&lt;=AsOf,0,$E34*($J34+$K34*IF($H34="Y",1-$I34,1))*MIN(12,$L34)/12))</f>
        <v/>
      </c>
    </row>
    <row r="35">
      <c r="L35" s="58">
        <f>IF($A35="","",MAX(0,($G35-AsOf)/30.4375))</f>
        <v/>
      </c>
      <c r="M35" s="55">
        <f>IF($A35="","",IF($G35&lt;=AsOf,0,$E35*($J35+$K35*IF($H35="Y",1-$I35,1))*MIN(12,$L35)/12))</f>
        <v/>
      </c>
    </row>
    <row r="36">
      <c r="L36" s="58">
        <f>IF($A36="","",MAX(0,($G36-AsOf)/30.4375))</f>
        <v/>
      </c>
      <c r="M36" s="55">
        <f>IF($A36="","",IF($G36&lt;=AsOf,0,$E36*($J36+$K36*IF($H36="Y",1-$I36,1))*MIN(12,$L36)/12))</f>
        <v/>
      </c>
    </row>
    <row r="37">
      <c r="L37" s="58">
        <f>IF($A37="","",MAX(0,($G37-AsOf)/30.4375))</f>
        <v/>
      </c>
      <c r="M37" s="55">
        <f>IF($A37="","",IF($G37&lt;=AsOf,0,$E37*($J37+$K37*IF($H37="Y",1-$I37,1))*MIN(12,$L37)/12))</f>
        <v/>
      </c>
    </row>
    <row r="38">
      <c r="L38" s="58">
        <f>IF($A38="","",MAX(0,($G38-AsOf)/30.4375))</f>
        <v/>
      </c>
      <c r="M38" s="55">
        <f>IF($A38="","",IF($G38&lt;=AsOf,0,$E38*($J38+$K38*IF($H38="Y",1-$I38,1))*MIN(12,$L38)/12))</f>
        <v/>
      </c>
    </row>
    <row r="39">
      <c r="L39" s="58">
        <f>IF($A39="","",MAX(0,($G39-AsOf)/30.4375))</f>
        <v/>
      </c>
      <c r="M39" s="55">
        <f>IF($A39="","",IF($G39&lt;=AsOf,0,$E39*($J39+$K39*IF($H39="Y",1-$I39,1))*MIN(12,$L39)/12))</f>
        <v/>
      </c>
    </row>
    <row r="40">
      <c r="L40" s="58">
        <f>IF($A40="","",MAX(0,($G40-AsOf)/30.4375))</f>
        <v/>
      </c>
      <c r="M40" s="55">
        <f>IF($A40="","",IF($G40&lt;=AsOf,0,$E40*($J40+$K40*IF($H40="Y",1-$I40,1))*MIN(12,$L40)/12))</f>
        <v/>
      </c>
    </row>
    <row r="41">
      <c r="L41" s="58">
        <f>IF($A41="","",MAX(0,($G41-AsOf)/30.4375))</f>
        <v/>
      </c>
      <c r="M41" s="55">
        <f>IF($A41="","",IF($G41&lt;=AsOf,0,$E41*($J41+$K41*IF($H41="Y",1-$I41,1))*MIN(12,$L41)/12))</f>
        <v/>
      </c>
    </row>
    <row r="42">
      <c r="L42" s="58">
        <f>IF($A42="","",MAX(0,($G42-AsOf)/30.4375))</f>
        <v/>
      </c>
      <c r="M42" s="55">
        <f>IF($A42="","",IF($G42&lt;=AsOf,0,$E42*($J42+$K42*IF($H42="Y",1-$I42,1))*MIN(12,$L42)/12))</f>
        <v/>
      </c>
    </row>
    <row r="43">
      <c r="L43" s="58">
        <f>IF($A43="","",MAX(0,($G43-AsOf)/30.4375))</f>
        <v/>
      </c>
      <c r="M43" s="55">
        <f>IF($A43="","",IF($G43&lt;=AsOf,0,$E43*($J43+$K43*IF($H43="Y",1-$I43,1))*MIN(12,$L43)/12))</f>
        <v/>
      </c>
    </row>
    <row r="44">
      <c r="L44" s="58">
        <f>IF($A44="","",MAX(0,($G44-AsOf)/30.4375))</f>
        <v/>
      </c>
      <c r="M44" s="55">
        <f>IF($A44="","",IF($G44&lt;=AsOf,0,$E44*($J44+$K44*IF($H44="Y",1-$I44,1))*MIN(12,$L44)/12))</f>
        <v/>
      </c>
    </row>
    <row r="45">
      <c r="L45" s="58">
        <f>IF($A45="","",MAX(0,($G45-AsOf)/30.4375))</f>
        <v/>
      </c>
      <c r="M45" s="55">
        <f>IF($A45="","",IF($G45&lt;=AsOf,0,$E45*($J45+$K45*IF($H45="Y",1-$I45,1))*MIN(12,$L45)/12))</f>
        <v/>
      </c>
    </row>
    <row r="46">
      <c r="L46" s="58">
        <f>IF($A46="","",MAX(0,($G46-AsOf)/30.4375))</f>
        <v/>
      </c>
      <c r="M46" s="55">
        <f>IF($A46="","",IF($G46&lt;=AsOf,0,$E46*($J46+$K46*IF($H46="Y",1-$I46,1))*MIN(12,$L46)/12))</f>
        <v/>
      </c>
    </row>
    <row r="47">
      <c r="A47" s="2" t="inlineStr">
        <is>
          <t>합계</t>
        </is>
      </c>
      <c r="M47" s="64">
        <f>SUM(M34:M46)</f>
        <v/>
      </c>
    </row>
  </sheetData>
  <dataValidations count="2">
    <dataValidation sqref="B5" showDropDown="0" showInputMessage="0" showErrorMessage="0" allowBlank="0" type="list">
      <formula1>"UN,MDB,개도국 정부,선진국 정부"</formula1>
    </dataValidation>
    <dataValidation sqref="B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22" customWidth="1" min="4" max="4"/>
    <col width="14" customWidth="1" min="5" max="5"/>
    <col width="12" customWidth="1" min="6" max="6"/>
    <col width="28" customWidth="1" min="7" max="7"/>
  </cols>
  <sheetData>
    <row r="1">
      <c r="A1" s="1" t="inlineStr">
        <is>
          <t>16_Compare — Excel 해 찾기 vs PuLP(🟣)</t>
        </is>
      </c>
    </row>
    <row r="2">
      <c r="A2" s="10" t="inlineStr">
        <is>
          <t>바이어별 L은 대안 최적해(같은 coef의 동점 그룹) 때문에 다를 수 있다 — 목적함수(차이 &lt; 0.01%)·걸린 제약·잠재가격으로 비교한다</t>
        </is>
      </c>
    </row>
    <row r="3">
      <c r="A3" s="10" t="inlineStr">
        <is>
          <t>PuLP 해는 10_LimitLP P열(L_ref)에 붙여 넣는다(노트북 4절 출력 lp_limits_pulp.csv의 L_pulp 열)</t>
        </is>
      </c>
    </row>
    <row r="4">
      <c r="A4" s="12" t="inlineStr">
        <is>
          <t>목적함수 Excel(Obj)</t>
        </is>
      </c>
      <c r="B4" s="55">
        <f>Obj</f>
        <v/>
      </c>
    </row>
    <row r="5">
      <c r="A5" s="12" t="inlineStr">
        <is>
          <t>목적함수 PuLP(Σ coef × L_ref)</t>
        </is>
      </c>
      <c r="B5" s="55">
        <f>IF(COUNT(L_ref)=0,"",SUMPRODUCT(coef,L_ref))</f>
        <v/>
      </c>
    </row>
    <row r="6">
      <c r="A6" s="12" t="inlineStr">
        <is>
          <t>상대 차이</t>
        </is>
      </c>
      <c r="B6" s="87">
        <f>IF(B5="","",ABS(B4-B5)/MAX(1,ABS(B5)))</f>
        <v/>
      </c>
    </row>
    <row r="7">
      <c r="A7" s="12" t="inlineStr">
        <is>
          <t>판정(&lt; 0.01%)</t>
        </is>
      </c>
      <c r="B7" s="31">
        <f>IF(B6="","PuLP 해를 붙여 넣으면 판정",IF(B6&lt;0.0001,"✔ 같은 최적값","✘ 확인 — 제약·계수·버전"))</f>
        <v/>
      </c>
    </row>
    <row r="8">
      <c r="A8" s="12" t="inlineStr">
        <is>
          <t>Σ L Excel</t>
        </is>
      </c>
      <c r="B8" s="44">
        <f>SUM(L)</f>
        <v/>
      </c>
    </row>
    <row r="9">
      <c r="A9" s="12" t="inlineStr">
        <is>
          <t>Σ L_ref</t>
        </is>
      </c>
      <c r="B9" s="44">
        <f>IF(COUNT(L_ref)=0,"",SUM(L_ref))</f>
        <v/>
      </c>
    </row>
    <row r="10">
      <c r="A10" s="12" t="inlineStr">
        <is>
          <t>|L − L_ref| &gt; 1인 바이어 수</t>
        </is>
      </c>
      <c r="B10" s="45">
        <f>IF(COUNT(L_ref)=0,"",SUMPRODUCT((ABS(L-L_ref)&gt;1)*1))</f>
        <v/>
      </c>
    </row>
    <row r="11">
      <c r="A11" s="12" t="inlineStr">
        <is>
          <t>그중 동점 그룹(같은 coef 2곳 이상)</t>
        </is>
      </c>
      <c r="B11" s="45">
        <f>IF(COUNT(L_ref)=0,"",SUMPRODUCT((ABS(L-L_ref)&gt;1)*('10_LimitLP'!$R$5:$R$154&gt;1)))</f>
        <v/>
      </c>
    </row>
    <row r="13">
      <c r="A13" s="11" t="inlineStr">
        <is>
          <t>제약</t>
        </is>
      </c>
      <c r="B13" s="11" t="inlineStr">
        <is>
          <t>여유(Excel)</t>
        </is>
      </c>
      <c r="C13" s="11" t="inlineStr">
        <is>
          <t>잠재가격 Excel(민감도 보고서 입력)</t>
        </is>
      </c>
      <c r="D13" s="11" t="inlineStr">
        <is>
          <t>잠재가격 PuLP(참고)</t>
        </is>
      </c>
      <c r="E13" s="11" t="inlineStr">
        <is>
          <t>같음?</t>
        </is>
      </c>
    </row>
    <row r="14">
      <c r="A14" s="12" t="inlineStr">
        <is>
          <t>total_cap</t>
        </is>
      </c>
      <c r="B14" s="44">
        <f>'10_LimitLP'!$X$5</f>
        <v/>
      </c>
      <c r="C14" s="61">
        <f>IF('10_LimitLP'!$Z$5="","",'10_LimitLP'!$Z$5)</f>
        <v/>
      </c>
      <c r="D14" s="69" t="n"/>
      <c r="E14" s="7">
        <f>IF(OR(C14="",D14=""),"",IF(ABS(C14-D14)&lt;0.001,"✔","✘"))</f>
        <v/>
      </c>
    </row>
    <row r="15">
      <c r="A15" s="12" t="inlineStr">
        <is>
          <t>el_budget</t>
        </is>
      </c>
      <c r="B15" s="44">
        <f>'10_LimitLP'!$X$6</f>
        <v/>
      </c>
      <c r="C15" s="61">
        <f>IF('10_LimitLP'!$Z$6="","",'10_LimitLP'!$Z$6)</f>
        <v/>
      </c>
      <c r="D15" s="69" t="n"/>
      <c r="E15" s="7">
        <f>IF(OR(C15="",D15=""),"",IF(ABS(C15-D15)&lt;0.001,"✔","✘"))</f>
        <v/>
      </c>
    </row>
    <row r="16">
      <c r="A16" s="12" t="inlineStr">
        <is>
          <t>b_share</t>
        </is>
      </c>
      <c r="B16" s="44">
        <f>'10_LimitLP'!$X$7</f>
        <v/>
      </c>
      <c r="C16" s="61">
        <f>IF('10_LimitLP'!$Z$7="","",'10_LimitLP'!$Z$7)</f>
        <v/>
      </c>
      <c r="D16" s="69" t="n"/>
      <c r="E16" s="7">
        <f>IF(OR(C16="",D16=""),"",IF(ABS(C16-D16)&lt;0.001,"✔","✘"))</f>
        <v/>
      </c>
    </row>
    <row r="17">
      <c r="A17" s="12" t="inlineStr">
        <is>
          <t>ctry_USA</t>
        </is>
      </c>
      <c r="B17" s="44">
        <f>'10_LimitLP'!$AA$12</f>
        <v/>
      </c>
      <c r="C17" s="61">
        <f>IF('10_LimitLP'!$AC$12="","",'10_LimitLP'!$AC$12)</f>
        <v/>
      </c>
      <c r="D17" s="69" t="n"/>
      <c r="E17" s="7">
        <f>IF(OR(C17="",D17=""),"",IF(ABS(C17-D17)&lt;0.001,"✔","✘"))</f>
        <v/>
      </c>
    </row>
    <row r="18">
      <c r="A18" s="12" t="inlineStr">
        <is>
          <t>ctry_MEX</t>
        </is>
      </c>
      <c r="B18" s="44">
        <f>'10_LimitLP'!$AA$13</f>
        <v/>
      </c>
      <c r="C18" s="61">
        <f>IF('10_LimitLP'!$AC$13="","",'10_LimitLP'!$AC$13)</f>
        <v/>
      </c>
      <c r="D18" s="69" t="n"/>
      <c r="E18" s="7">
        <f>IF(OR(C18="",D18=""),"",IF(ABS(C18-D18)&lt;0.001,"✔","✘"))</f>
        <v/>
      </c>
    </row>
    <row r="19">
      <c r="A19" s="12" t="inlineStr">
        <is>
          <t>ctry_BRA</t>
        </is>
      </c>
      <c r="B19" s="44">
        <f>'10_LimitLP'!$AA$14</f>
        <v/>
      </c>
      <c r="C19" s="61">
        <f>IF('10_LimitLP'!$AC$14="","",'10_LimitLP'!$AC$14)</f>
        <v/>
      </c>
      <c r="D19" s="69" t="n"/>
      <c r="E19" s="7">
        <f>IF(OR(C19="",D19=""),"",IF(ABS(C19-D19)&lt;0.001,"✔","✘"))</f>
        <v/>
      </c>
    </row>
    <row r="20">
      <c r="A20" s="12" t="inlineStr">
        <is>
          <t>ctry_DEU</t>
        </is>
      </c>
      <c r="B20" s="44">
        <f>'10_LimitLP'!$AA$15</f>
        <v/>
      </c>
      <c r="C20" s="61">
        <f>IF('10_LimitLP'!$AC$15="","",'10_LimitLP'!$AC$15)</f>
        <v/>
      </c>
      <c r="D20" s="69" t="n"/>
      <c r="E20" s="7">
        <f>IF(OR(C20="",D20=""),"",IF(ABS(C20-D20)&lt;0.001,"✔","✘"))</f>
        <v/>
      </c>
    </row>
    <row r="21">
      <c r="A21" s="12" t="inlineStr">
        <is>
          <t>ctry_NLD</t>
        </is>
      </c>
      <c r="B21" s="44">
        <f>'10_LimitLP'!$AA$16</f>
        <v/>
      </c>
      <c r="C21" s="61">
        <f>IF('10_LimitLP'!$AC$16="","",'10_LimitLP'!$AC$16)</f>
        <v/>
      </c>
      <c r="D21" s="69" t="n"/>
      <c r="E21" s="7">
        <f>IF(OR(C21="",D21=""),"",IF(ABS(C21-D21)&lt;0.001,"✔","✘"))</f>
        <v/>
      </c>
    </row>
    <row r="22">
      <c r="A22" s="12" t="inlineStr">
        <is>
          <t>ctry_GBR</t>
        </is>
      </c>
      <c r="B22" s="44">
        <f>'10_LimitLP'!$AA$17</f>
        <v/>
      </c>
      <c r="C22" s="61">
        <f>IF('10_LimitLP'!$AC$17="","",'10_LimitLP'!$AC$17)</f>
        <v/>
      </c>
      <c r="D22" s="69" t="n"/>
      <c r="E22" s="7">
        <f>IF(OR(C22="",D22=""),"",IF(ABS(C22-D22)&lt;0.001,"✔","✘"))</f>
        <v/>
      </c>
    </row>
    <row r="23">
      <c r="A23" s="12" t="inlineStr">
        <is>
          <t>ctry_POL</t>
        </is>
      </c>
      <c r="B23" s="44">
        <f>'10_LimitLP'!$AA$18</f>
        <v/>
      </c>
      <c r="C23" s="61">
        <f>IF('10_LimitLP'!$AC$18="","",'10_LimitLP'!$AC$18)</f>
        <v/>
      </c>
      <c r="D23" s="69" t="n"/>
      <c r="E23" s="7">
        <f>IF(OR(C23="",D23=""),"",IF(ABS(C23-D23)&lt;0.001,"✔","✘"))</f>
        <v/>
      </c>
    </row>
    <row r="24">
      <c r="A24" s="12" t="inlineStr">
        <is>
          <t>ctry_TUR</t>
        </is>
      </c>
      <c r="B24" s="44">
        <f>'10_LimitLP'!$AA$19</f>
        <v/>
      </c>
      <c r="C24" s="61">
        <f>IF('10_LimitLP'!$AC$19="","",'10_LimitLP'!$AC$19)</f>
        <v/>
      </c>
      <c r="D24" s="69" t="n"/>
      <c r="E24" s="7">
        <f>IF(OR(C24="",D24=""),"",IF(ABS(C24-D24)&lt;0.001,"✔","✘"))</f>
        <v/>
      </c>
    </row>
    <row r="25">
      <c r="A25" s="12" t="inlineStr">
        <is>
          <t>ctry_CHN</t>
        </is>
      </c>
      <c r="B25" s="44">
        <f>'10_LimitLP'!$AA$20</f>
        <v/>
      </c>
      <c r="C25" s="61">
        <f>IF('10_LimitLP'!$AC$20="","",'10_LimitLP'!$AC$20)</f>
        <v/>
      </c>
      <c r="D25" s="69" t="n"/>
      <c r="E25" s="7">
        <f>IF(OR(C25="",D25=""),"",IF(ABS(C25-D25)&lt;0.001,"✔","✘"))</f>
        <v/>
      </c>
    </row>
    <row r="26">
      <c r="A26" s="12" t="inlineStr">
        <is>
          <t>ctry_JPN</t>
        </is>
      </c>
      <c r="B26" s="44">
        <f>'10_LimitLP'!$AA$21</f>
        <v/>
      </c>
      <c r="C26" s="61">
        <f>IF('10_LimitLP'!$AC$21="","",'10_LimitLP'!$AC$21)</f>
        <v/>
      </c>
      <c r="D26" s="69" t="n"/>
      <c r="E26" s="7">
        <f>IF(OR(C26="",D26=""),"",IF(ABS(C26-D26)&lt;0.001,"✔","✘"))</f>
        <v/>
      </c>
    </row>
    <row r="27">
      <c r="A27" s="12" t="inlineStr">
        <is>
          <t>ctry_TWN</t>
        </is>
      </c>
      <c r="B27" s="44">
        <f>'10_LimitLP'!$AA$22</f>
        <v/>
      </c>
      <c r="C27" s="61">
        <f>IF('10_LimitLP'!$AC$22="","",'10_LimitLP'!$AC$22)</f>
        <v/>
      </c>
      <c r="D27" s="69" t="n"/>
      <c r="E27" s="7">
        <f>IF(OR(C27="",D27=""),"",IF(ABS(C27-D27)&lt;0.001,"✔","✘"))</f>
        <v/>
      </c>
    </row>
    <row r="28">
      <c r="A28" s="12" t="inlineStr">
        <is>
          <t>ctry_VNM</t>
        </is>
      </c>
      <c r="B28" s="44">
        <f>'10_LimitLP'!$AA$23</f>
        <v/>
      </c>
      <c r="C28" s="61">
        <f>IF('10_LimitLP'!$AC$23="","",'10_LimitLP'!$AC$23)</f>
        <v/>
      </c>
      <c r="D28" s="69" t="n"/>
      <c r="E28" s="7">
        <f>IF(OR(C28="",D28=""),"",IF(ABS(C28-D28)&lt;0.001,"✔","✘"))</f>
        <v/>
      </c>
    </row>
    <row r="29">
      <c r="A29" s="12" t="inlineStr">
        <is>
          <t>ctry_IND</t>
        </is>
      </c>
      <c r="B29" s="44">
        <f>'10_LimitLP'!$AA$24</f>
        <v/>
      </c>
      <c r="C29" s="61">
        <f>IF('10_LimitLP'!$AC$24="","",'10_LimitLP'!$AC$24)</f>
        <v/>
      </c>
      <c r="D29" s="69" t="n"/>
      <c r="E29" s="7">
        <f>IF(OR(C29="",D29=""),"",IF(ABS(C29-D29)&lt;0.001,"✔","✘"))</f>
        <v/>
      </c>
    </row>
    <row r="30">
      <c r="A30" s="12" t="inlineStr">
        <is>
          <t>ctry_IDN</t>
        </is>
      </c>
      <c r="B30" s="44">
        <f>'10_LimitLP'!$AA$25</f>
        <v/>
      </c>
      <c r="C30" s="61">
        <f>IF('10_LimitLP'!$AC$25="","",'10_LimitLP'!$AC$25)</f>
        <v/>
      </c>
      <c r="D30" s="69" t="n"/>
      <c r="E30" s="7">
        <f>IF(OR(C30="",D30=""),"",IF(ABS(C30-D30)&lt;0.001,"✔","✘"))</f>
        <v/>
      </c>
    </row>
    <row r="31">
      <c r="A31" s="12" t="inlineStr">
        <is>
          <t>ctry_THA</t>
        </is>
      </c>
      <c r="B31" s="44">
        <f>'10_LimitLP'!$AA$26</f>
        <v/>
      </c>
      <c r="C31" s="61">
        <f>IF('10_LimitLP'!$AC$26="","",'10_LimitLP'!$AC$26)</f>
        <v/>
      </c>
      <c r="D31" s="69" t="n"/>
      <c r="E31" s="7">
        <f>IF(OR(C31="",D31=""),"",IF(ABS(C31-D31)&lt;0.001,"✔","✘"))</f>
        <v/>
      </c>
    </row>
    <row r="32">
      <c r="A32" s="12" t="inlineStr">
        <is>
          <t>ctry_MYS</t>
        </is>
      </c>
      <c r="B32" s="44">
        <f>'10_LimitLP'!$AA$27</f>
        <v/>
      </c>
      <c r="C32" s="61">
        <f>IF('10_LimitLP'!$AC$27="","",'10_LimitLP'!$AC$27)</f>
        <v/>
      </c>
      <c r="D32" s="69" t="n"/>
      <c r="E32" s="7">
        <f>IF(OR(C32="",D32=""),"",IF(ABS(C32-D32)&lt;0.001,"✔","✘"))</f>
        <v/>
      </c>
    </row>
    <row r="33">
      <c r="A33" s="12" t="inlineStr">
        <is>
          <t>ctry_ARE</t>
        </is>
      </c>
      <c r="B33" s="44">
        <f>'10_LimitLP'!$AA$28</f>
        <v/>
      </c>
      <c r="C33" s="61">
        <f>IF('10_LimitLP'!$AC$28="","",'10_LimitLP'!$AC$28)</f>
        <v/>
      </c>
      <c r="D33" s="69" t="n"/>
      <c r="E33" s="7">
        <f>IF(OR(C33="",D33=""),"",IF(ABS(C33-D33)&lt;0.001,"✔","✘"))</f>
        <v/>
      </c>
    </row>
    <row r="34">
      <c r="A34" s="12" t="inlineStr">
        <is>
          <t>ctry_SAU</t>
        </is>
      </c>
      <c r="B34" s="44">
        <f>'10_LimitLP'!$AA$29</f>
        <v/>
      </c>
      <c r="C34" s="61">
        <f>IF('10_LimitLP'!$AC$29="","",'10_LimitLP'!$AC$29)</f>
        <v/>
      </c>
      <c r="D34" s="69" t="n"/>
      <c r="E34" s="7">
        <f>IF(OR(C34="",D34=""),"",IF(ABS(C34-D34)&lt;0.001,"✔","✘"))</f>
        <v/>
      </c>
    </row>
    <row r="35">
      <c r="A35" s="12" t="inlineStr">
        <is>
          <t>ctry_EGY</t>
        </is>
      </c>
      <c r="B35" s="44">
        <f>'10_LimitLP'!$AA$30</f>
        <v/>
      </c>
      <c r="C35" s="61">
        <f>IF('10_LimitLP'!$AC$30="","",'10_LimitLP'!$AC$30)</f>
        <v/>
      </c>
      <c r="D35" s="69" t="n"/>
      <c r="E35" s="7">
        <f>IF(OR(C35="",D35=""),"",IF(ABS(C35-D35)&lt;0.001,"✔","✘"))</f>
        <v/>
      </c>
    </row>
    <row r="36">
      <c r="A36" s="12" t="inlineStr">
        <is>
          <t>ctry_NGA</t>
        </is>
      </c>
      <c r="B36" s="44">
        <f>'10_LimitLP'!$AA$31</f>
        <v/>
      </c>
      <c r="C36" s="61">
        <f>IF('10_LimitLP'!$AC$31="","",'10_LimitLP'!$AC$31)</f>
        <v/>
      </c>
      <c r="D36" s="69" t="n"/>
      <c r="E36" s="7">
        <f>IF(OR(C36="",D36=""),"",IF(ABS(C36-D36)&lt;0.001,"✔","✘"))</f>
        <v/>
      </c>
    </row>
    <row r="39">
      <c r="A39" s="11" t="inlineStr">
        <is>
          <t>buyer_id</t>
        </is>
      </c>
      <c r="B39" s="11" t="inlineStr">
        <is>
          <t>coef</t>
        </is>
      </c>
      <c r="C39" s="11" t="inlineStr">
        <is>
          <t>동점 그룹</t>
        </is>
      </c>
      <c r="D39" s="11" t="inlineStr">
        <is>
          <t>L Excel</t>
        </is>
      </c>
      <c r="E39" s="11" t="inlineStr">
        <is>
          <t>L_ref</t>
        </is>
      </c>
      <c r="F39" s="11" t="inlineStr">
        <is>
          <t>차이</t>
        </is>
      </c>
      <c r="G39" s="11" t="inlineStr">
        <is>
          <t>메모</t>
        </is>
      </c>
    </row>
    <row r="40">
      <c r="A40" s="7">
        <f>'10_LimitLP'!A5</f>
        <v/>
      </c>
      <c r="B40" s="61">
        <f>'10_LimitLP'!G5</f>
        <v/>
      </c>
      <c r="C40" s="45">
        <f>'10_LimitLP'!R5</f>
        <v/>
      </c>
      <c r="D40" s="44">
        <f>'10_LimitLP'!F5</f>
        <v/>
      </c>
      <c r="E40" s="44">
        <f>IF('10_LimitLP'!P5="","",'10_LimitLP'!P5)</f>
        <v/>
      </c>
      <c r="F40" s="44">
        <f>IF(E40="","",D40-E40)</f>
        <v/>
      </c>
      <c r="G40" s="7">
        <f>IF(OR(F40="",ABS(F40)&lt;=1),"",IF(C40&gt;1,"동점 그룹 안 배분 차이(정상)","확인 필요"))</f>
        <v/>
      </c>
    </row>
    <row r="41">
      <c r="A41" s="7">
        <f>'10_LimitLP'!A6</f>
        <v/>
      </c>
      <c r="B41" s="61">
        <f>'10_LimitLP'!G6</f>
        <v/>
      </c>
      <c r="C41" s="45">
        <f>'10_LimitLP'!R6</f>
        <v/>
      </c>
      <c r="D41" s="44">
        <f>'10_LimitLP'!F6</f>
        <v/>
      </c>
      <c r="E41" s="44">
        <f>IF('10_LimitLP'!P6="","",'10_LimitLP'!P6)</f>
        <v/>
      </c>
      <c r="F41" s="44">
        <f>IF(E41="","",D41-E41)</f>
        <v/>
      </c>
      <c r="G41" s="7">
        <f>IF(OR(F41="",ABS(F41)&lt;=1),"",IF(C41&gt;1,"동점 그룹 안 배분 차이(정상)","확인 필요"))</f>
        <v/>
      </c>
    </row>
    <row r="42">
      <c r="A42" s="7">
        <f>'10_LimitLP'!A7</f>
        <v/>
      </c>
      <c r="B42" s="61">
        <f>'10_LimitLP'!G7</f>
        <v/>
      </c>
      <c r="C42" s="45">
        <f>'10_LimitLP'!R7</f>
        <v/>
      </c>
      <c r="D42" s="44">
        <f>'10_LimitLP'!F7</f>
        <v/>
      </c>
      <c r="E42" s="44">
        <f>IF('10_LimitLP'!P7="","",'10_LimitLP'!P7)</f>
        <v/>
      </c>
      <c r="F42" s="44">
        <f>IF(E42="","",D42-E42)</f>
        <v/>
      </c>
      <c r="G42" s="7">
        <f>IF(OR(F42="",ABS(F42)&lt;=1),"",IF(C42&gt;1,"동점 그룹 안 배분 차이(정상)","확인 필요"))</f>
        <v/>
      </c>
    </row>
    <row r="43">
      <c r="A43" s="7">
        <f>'10_LimitLP'!A8</f>
        <v/>
      </c>
      <c r="B43" s="61">
        <f>'10_LimitLP'!G8</f>
        <v/>
      </c>
      <c r="C43" s="45">
        <f>'10_LimitLP'!R8</f>
        <v/>
      </c>
      <c r="D43" s="44">
        <f>'10_LimitLP'!F8</f>
        <v/>
      </c>
      <c r="E43" s="44">
        <f>IF('10_LimitLP'!P8="","",'10_LimitLP'!P8)</f>
        <v/>
      </c>
      <c r="F43" s="44">
        <f>IF(E43="","",D43-E43)</f>
        <v/>
      </c>
      <c r="G43" s="7">
        <f>IF(OR(F43="",ABS(F43)&lt;=1),"",IF(C43&gt;1,"동점 그룹 안 배분 차이(정상)","확인 필요"))</f>
        <v/>
      </c>
    </row>
    <row r="44">
      <c r="A44" s="7">
        <f>'10_LimitLP'!A9</f>
        <v/>
      </c>
      <c r="B44" s="61">
        <f>'10_LimitLP'!G9</f>
        <v/>
      </c>
      <c r="C44" s="45">
        <f>'10_LimitLP'!R9</f>
        <v/>
      </c>
      <c r="D44" s="44">
        <f>'10_LimitLP'!F9</f>
        <v/>
      </c>
      <c r="E44" s="44">
        <f>IF('10_LimitLP'!P9="","",'10_LimitLP'!P9)</f>
        <v/>
      </c>
      <c r="F44" s="44">
        <f>IF(E44="","",D44-E44)</f>
        <v/>
      </c>
      <c r="G44" s="7">
        <f>IF(OR(F44="",ABS(F44)&lt;=1),"",IF(C44&gt;1,"동점 그룹 안 배분 차이(정상)","확인 필요"))</f>
        <v/>
      </c>
    </row>
    <row r="45">
      <c r="A45" s="7">
        <f>'10_LimitLP'!A10</f>
        <v/>
      </c>
      <c r="B45" s="61">
        <f>'10_LimitLP'!G10</f>
        <v/>
      </c>
      <c r="C45" s="45">
        <f>'10_LimitLP'!R10</f>
        <v/>
      </c>
      <c r="D45" s="44">
        <f>'10_LimitLP'!F10</f>
        <v/>
      </c>
      <c r="E45" s="44">
        <f>IF('10_LimitLP'!P10="","",'10_LimitLP'!P10)</f>
        <v/>
      </c>
      <c r="F45" s="44">
        <f>IF(E45="","",D45-E45)</f>
        <v/>
      </c>
      <c r="G45" s="7">
        <f>IF(OR(F45="",ABS(F45)&lt;=1),"",IF(C45&gt;1,"동점 그룹 안 배분 차이(정상)","확인 필요"))</f>
        <v/>
      </c>
    </row>
    <row r="46">
      <c r="A46" s="7">
        <f>'10_LimitLP'!A11</f>
        <v/>
      </c>
      <c r="B46" s="61">
        <f>'10_LimitLP'!G11</f>
        <v/>
      </c>
      <c r="C46" s="45">
        <f>'10_LimitLP'!R11</f>
        <v/>
      </c>
      <c r="D46" s="44">
        <f>'10_LimitLP'!F11</f>
        <v/>
      </c>
      <c r="E46" s="44">
        <f>IF('10_LimitLP'!P11="","",'10_LimitLP'!P11)</f>
        <v/>
      </c>
      <c r="F46" s="44">
        <f>IF(E46="","",D46-E46)</f>
        <v/>
      </c>
      <c r="G46" s="7">
        <f>IF(OR(F46="",ABS(F46)&lt;=1),"",IF(C46&gt;1,"동점 그룹 안 배분 차이(정상)","확인 필요"))</f>
        <v/>
      </c>
    </row>
    <row r="47">
      <c r="A47" s="7">
        <f>'10_LimitLP'!A12</f>
        <v/>
      </c>
      <c r="B47" s="61">
        <f>'10_LimitLP'!G12</f>
        <v/>
      </c>
      <c r="C47" s="45">
        <f>'10_LimitLP'!R12</f>
        <v/>
      </c>
      <c r="D47" s="44">
        <f>'10_LimitLP'!F12</f>
        <v/>
      </c>
      <c r="E47" s="44">
        <f>IF('10_LimitLP'!P12="","",'10_LimitLP'!P12)</f>
        <v/>
      </c>
      <c r="F47" s="44">
        <f>IF(E47="","",D47-E47)</f>
        <v/>
      </c>
      <c r="G47" s="7">
        <f>IF(OR(F47="",ABS(F47)&lt;=1),"",IF(C47&gt;1,"동점 그룹 안 배분 차이(정상)","확인 필요"))</f>
        <v/>
      </c>
    </row>
    <row r="48">
      <c r="A48" s="7">
        <f>'10_LimitLP'!A13</f>
        <v/>
      </c>
      <c r="B48" s="61">
        <f>'10_LimitLP'!G13</f>
        <v/>
      </c>
      <c r="C48" s="45">
        <f>'10_LimitLP'!R13</f>
        <v/>
      </c>
      <c r="D48" s="44">
        <f>'10_LimitLP'!F13</f>
        <v/>
      </c>
      <c r="E48" s="44">
        <f>IF('10_LimitLP'!P13="","",'10_LimitLP'!P13)</f>
        <v/>
      </c>
      <c r="F48" s="44">
        <f>IF(E48="","",D48-E48)</f>
        <v/>
      </c>
      <c r="G48" s="7">
        <f>IF(OR(F48="",ABS(F48)&lt;=1),"",IF(C48&gt;1,"동점 그룹 안 배분 차이(정상)","확인 필요"))</f>
        <v/>
      </c>
    </row>
    <row r="49">
      <c r="A49" s="7">
        <f>'10_LimitLP'!A14</f>
        <v/>
      </c>
      <c r="B49" s="61">
        <f>'10_LimitLP'!G14</f>
        <v/>
      </c>
      <c r="C49" s="45">
        <f>'10_LimitLP'!R14</f>
        <v/>
      </c>
      <c r="D49" s="44">
        <f>'10_LimitLP'!F14</f>
        <v/>
      </c>
      <c r="E49" s="44">
        <f>IF('10_LimitLP'!P14="","",'10_LimitLP'!P14)</f>
        <v/>
      </c>
      <c r="F49" s="44">
        <f>IF(E49="","",D49-E49)</f>
        <v/>
      </c>
      <c r="G49" s="7">
        <f>IF(OR(F49="",ABS(F49)&lt;=1),"",IF(C49&gt;1,"동점 그룹 안 배분 차이(정상)","확인 필요"))</f>
        <v/>
      </c>
    </row>
    <row r="50">
      <c r="A50" s="7">
        <f>'10_LimitLP'!A15</f>
        <v/>
      </c>
      <c r="B50" s="61">
        <f>'10_LimitLP'!G15</f>
        <v/>
      </c>
      <c r="C50" s="45">
        <f>'10_LimitLP'!R15</f>
        <v/>
      </c>
      <c r="D50" s="44">
        <f>'10_LimitLP'!F15</f>
        <v/>
      </c>
      <c r="E50" s="44">
        <f>IF('10_LimitLP'!P15="","",'10_LimitLP'!P15)</f>
        <v/>
      </c>
      <c r="F50" s="44">
        <f>IF(E50="","",D50-E50)</f>
        <v/>
      </c>
      <c r="G50" s="7">
        <f>IF(OR(F50="",ABS(F50)&lt;=1),"",IF(C50&gt;1,"동점 그룹 안 배분 차이(정상)","확인 필요"))</f>
        <v/>
      </c>
    </row>
    <row r="51">
      <c r="A51" s="7">
        <f>'10_LimitLP'!A16</f>
        <v/>
      </c>
      <c r="B51" s="61">
        <f>'10_LimitLP'!G16</f>
        <v/>
      </c>
      <c r="C51" s="45">
        <f>'10_LimitLP'!R16</f>
        <v/>
      </c>
      <c r="D51" s="44">
        <f>'10_LimitLP'!F16</f>
        <v/>
      </c>
      <c r="E51" s="44">
        <f>IF('10_LimitLP'!P16="","",'10_LimitLP'!P16)</f>
        <v/>
      </c>
      <c r="F51" s="44">
        <f>IF(E51="","",D51-E51)</f>
        <v/>
      </c>
      <c r="G51" s="7">
        <f>IF(OR(F51="",ABS(F51)&lt;=1),"",IF(C51&gt;1,"동점 그룹 안 배분 차이(정상)","확인 필요"))</f>
        <v/>
      </c>
    </row>
    <row r="52">
      <c r="A52" s="7">
        <f>'10_LimitLP'!A17</f>
        <v/>
      </c>
      <c r="B52" s="61">
        <f>'10_LimitLP'!G17</f>
        <v/>
      </c>
      <c r="C52" s="45">
        <f>'10_LimitLP'!R17</f>
        <v/>
      </c>
      <c r="D52" s="44">
        <f>'10_LimitLP'!F17</f>
        <v/>
      </c>
      <c r="E52" s="44">
        <f>IF('10_LimitLP'!P17="","",'10_LimitLP'!P17)</f>
        <v/>
      </c>
      <c r="F52" s="44">
        <f>IF(E52="","",D52-E52)</f>
        <v/>
      </c>
      <c r="G52" s="7">
        <f>IF(OR(F52="",ABS(F52)&lt;=1),"",IF(C52&gt;1,"동점 그룹 안 배분 차이(정상)","확인 필요"))</f>
        <v/>
      </c>
    </row>
    <row r="53">
      <c r="A53" s="7">
        <f>'10_LimitLP'!A18</f>
        <v/>
      </c>
      <c r="B53" s="61">
        <f>'10_LimitLP'!G18</f>
        <v/>
      </c>
      <c r="C53" s="45">
        <f>'10_LimitLP'!R18</f>
        <v/>
      </c>
      <c r="D53" s="44">
        <f>'10_LimitLP'!F18</f>
        <v/>
      </c>
      <c r="E53" s="44">
        <f>IF('10_LimitLP'!P18="","",'10_LimitLP'!P18)</f>
        <v/>
      </c>
      <c r="F53" s="44">
        <f>IF(E53="","",D53-E53)</f>
        <v/>
      </c>
      <c r="G53" s="7">
        <f>IF(OR(F53="",ABS(F53)&lt;=1),"",IF(C53&gt;1,"동점 그룹 안 배분 차이(정상)","확인 필요"))</f>
        <v/>
      </c>
    </row>
    <row r="54">
      <c r="A54" s="7">
        <f>'10_LimitLP'!A19</f>
        <v/>
      </c>
      <c r="B54" s="61">
        <f>'10_LimitLP'!G19</f>
        <v/>
      </c>
      <c r="C54" s="45">
        <f>'10_LimitLP'!R19</f>
        <v/>
      </c>
      <c r="D54" s="44">
        <f>'10_LimitLP'!F19</f>
        <v/>
      </c>
      <c r="E54" s="44">
        <f>IF('10_LimitLP'!P19="","",'10_LimitLP'!P19)</f>
        <v/>
      </c>
      <c r="F54" s="44">
        <f>IF(E54="","",D54-E54)</f>
        <v/>
      </c>
      <c r="G54" s="7">
        <f>IF(OR(F54="",ABS(F54)&lt;=1),"",IF(C54&gt;1,"동점 그룹 안 배분 차이(정상)","확인 필요"))</f>
        <v/>
      </c>
    </row>
    <row r="55">
      <c r="A55" s="7">
        <f>'10_LimitLP'!A20</f>
        <v/>
      </c>
      <c r="B55" s="61">
        <f>'10_LimitLP'!G20</f>
        <v/>
      </c>
      <c r="C55" s="45">
        <f>'10_LimitLP'!R20</f>
        <v/>
      </c>
      <c r="D55" s="44">
        <f>'10_LimitLP'!F20</f>
        <v/>
      </c>
      <c r="E55" s="44">
        <f>IF('10_LimitLP'!P20="","",'10_LimitLP'!P20)</f>
        <v/>
      </c>
      <c r="F55" s="44">
        <f>IF(E55="","",D55-E55)</f>
        <v/>
      </c>
      <c r="G55" s="7">
        <f>IF(OR(F55="",ABS(F55)&lt;=1),"",IF(C55&gt;1,"동점 그룹 안 배분 차이(정상)","확인 필요"))</f>
        <v/>
      </c>
    </row>
    <row r="56">
      <c r="A56" s="7">
        <f>'10_LimitLP'!A21</f>
        <v/>
      </c>
      <c r="B56" s="61">
        <f>'10_LimitLP'!G21</f>
        <v/>
      </c>
      <c r="C56" s="45">
        <f>'10_LimitLP'!R21</f>
        <v/>
      </c>
      <c r="D56" s="44">
        <f>'10_LimitLP'!F21</f>
        <v/>
      </c>
      <c r="E56" s="44">
        <f>IF('10_LimitLP'!P21="","",'10_LimitLP'!P21)</f>
        <v/>
      </c>
      <c r="F56" s="44">
        <f>IF(E56="","",D56-E56)</f>
        <v/>
      </c>
      <c r="G56" s="7">
        <f>IF(OR(F56="",ABS(F56)&lt;=1),"",IF(C56&gt;1,"동점 그룹 안 배분 차이(정상)","확인 필요"))</f>
        <v/>
      </c>
    </row>
    <row r="57">
      <c r="A57" s="7">
        <f>'10_LimitLP'!A22</f>
        <v/>
      </c>
      <c r="B57" s="61">
        <f>'10_LimitLP'!G22</f>
        <v/>
      </c>
      <c r="C57" s="45">
        <f>'10_LimitLP'!R22</f>
        <v/>
      </c>
      <c r="D57" s="44">
        <f>'10_LimitLP'!F22</f>
        <v/>
      </c>
      <c r="E57" s="44">
        <f>IF('10_LimitLP'!P22="","",'10_LimitLP'!P22)</f>
        <v/>
      </c>
      <c r="F57" s="44">
        <f>IF(E57="","",D57-E57)</f>
        <v/>
      </c>
      <c r="G57" s="7">
        <f>IF(OR(F57="",ABS(F57)&lt;=1),"",IF(C57&gt;1,"동점 그룹 안 배분 차이(정상)","확인 필요"))</f>
        <v/>
      </c>
    </row>
    <row r="58">
      <c r="A58" s="7">
        <f>'10_LimitLP'!A23</f>
        <v/>
      </c>
      <c r="B58" s="61">
        <f>'10_LimitLP'!G23</f>
        <v/>
      </c>
      <c r="C58" s="45">
        <f>'10_LimitLP'!R23</f>
        <v/>
      </c>
      <c r="D58" s="44">
        <f>'10_LimitLP'!F23</f>
        <v/>
      </c>
      <c r="E58" s="44">
        <f>IF('10_LimitLP'!P23="","",'10_LimitLP'!P23)</f>
        <v/>
      </c>
      <c r="F58" s="44">
        <f>IF(E58="","",D58-E58)</f>
        <v/>
      </c>
      <c r="G58" s="7">
        <f>IF(OR(F58="",ABS(F58)&lt;=1),"",IF(C58&gt;1,"동점 그룹 안 배분 차이(정상)","확인 필요"))</f>
        <v/>
      </c>
    </row>
    <row r="59">
      <c r="A59" s="7">
        <f>'10_LimitLP'!A24</f>
        <v/>
      </c>
      <c r="B59" s="61">
        <f>'10_LimitLP'!G24</f>
        <v/>
      </c>
      <c r="C59" s="45">
        <f>'10_LimitLP'!R24</f>
        <v/>
      </c>
      <c r="D59" s="44">
        <f>'10_LimitLP'!F24</f>
        <v/>
      </c>
      <c r="E59" s="44">
        <f>IF('10_LimitLP'!P24="","",'10_LimitLP'!P24)</f>
        <v/>
      </c>
      <c r="F59" s="44">
        <f>IF(E59="","",D59-E59)</f>
        <v/>
      </c>
      <c r="G59" s="7">
        <f>IF(OR(F59="",ABS(F59)&lt;=1),"",IF(C59&gt;1,"동점 그룹 안 배분 차이(정상)","확인 필요"))</f>
        <v/>
      </c>
    </row>
    <row r="60">
      <c r="A60" s="7">
        <f>'10_LimitLP'!A25</f>
        <v/>
      </c>
      <c r="B60" s="61">
        <f>'10_LimitLP'!G25</f>
        <v/>
      </c>
      <c r="C60" s="45">
        <f>'10_LimitLP'!R25</f>
        <v/>
      </c>
      <c r="D60" s="44">
        <f>'10_LimitLP'!F25</f>
        <v/>
      </c>
      <c r="E60" s="44">
        <f>IF('10_LimitLP'!P25="","",'10_LimitLP'!P25)</f>
        <v/>
      </c>
      <c r="F60" s="44">
        <f>IF(E60="","",D60-E60)</f>
        <v/>
      </c>
      <c r="G60" s="7">
        <f>IF(OR(F60="",ABS(F60)&lt;=1),"",IF(C60&gt;1,"동점 그룹 안 배분 차이(정상)","확인 필요"))</f>
        <v/>
      </c>
    </row>
    <row r="61">
      <c r="A61" s="7">
        <f>'10_LimitLP'!A26</f>
        <v/>
      </c>
      <c r="B61" s="61">
        <f>'10_LimitLP'!G26</f>
        <v/>
      </c>
      <c r="C61" s="45">
        <f>'10_LimitLP'!R26</f>
        <v/>
      </c>
      <c r="D61" s="44">
        <f>'10_LimitLP'!F26</f>
        <v/>
      </c>
      <c r="E61" s="44">
        <f>IF('10_LimitLP'!P26="","",'10_LimitLP'!P26)</f>
        <v/>
      </c>
      <c r="F61" s="44">
        <f>IF(E61="","",D61-E61)</f>
        <v/>
      </c>
      <c r="G61" s="7">
        <f>IF(OR(F61="",ABS(F61)&lt;=1),"",IF(C61&gt;1,"동점 그룹 안 배분 차이(정상)","확인 필요"))</f>
        <v/>
      </c>
    </row>
    <row r="62">
      <c r="A62" s="7">
        <f>'10_LimitLP'!A27</f>
        <v/>
      </c>
      <c r="B62" s="61">
        <f>'10_LimitLP'!G27</f>
        <v/>
      </c>
      <c r="C62" s="45">
        <f>'10_LimitLP'!R27</f>
        <v/>
      </c>
      <c r="D62" s="44">
        <f>'10_LimitLP'!F27</f>
        <v/>
      </c>
      <c r="E62" s="44">
        <f>IF('10_LimitLP'!P27="","",'10_LimitLP'!P27)</f>
        <v/>
      </c>
      <c r="F62" s="44">
        <f>IF(E62="","",D62-E62)</f>
        <v/>
      </c>
      <c r="G62" s="7">
        <f>IF(OR(F62="",ABS(F62)&lt;=1),"",IF(C62&gt;1,"동점 그룹 안 배분 차이(정상)","확인 필요"))</f>
        <v/>
      </c>
    </row>
    <row r="63">
      <c r="A63" s="7">
        <f>'10_LimitLP'!A28</f>
        <v/>
      </c>
      <c r="B63" s="61">
        <f>'10_LimitLP'!G28</f>
        <v/>
      </c>
      <c r="C63" s="45">
        <f>'10_LimitLP'!R28</f>
        <v/>
      </c>
      <c r="D63" s="44">
        <f>'10_LimitLP'!F28</f>
        <v/>
      </c>
      <c r="E63" s="44">
        <f>IF('10_LimitLP'!P28="","",'10_LimitLP'!P28)</f>
        <v/>
      </c>
      <c r="F63" s="44">
        <f>IF(E63="","",D63-E63)</f>
        <v/>
      </c>
      <c r="G63" s="7">
        <f>IF(OR(F63="",ABS(F63)&lt;=1),"",IF(C63&gt;1,"동점 그룹 안 배분 차이(정상)","확인 필요"))</f>
        <v/>
      </c>
    </row>
    <row r="64">
      <c r="A64" s="7">
        <f>'10_LimitLP'!A29</f>
        <v/>
      </c>
      <c r="B64" s="61">
        <f>'10_LimitLP'!G29</f>
        <v/>
      </c>
      <c r="C64" s="45">
        <f>'10_LimitLP'!R29</f>
        <v/>
      </c>
      <c r="D64" s="44">
        <f>'10_LimitLP'!F29</f>
        <v/>
      </c>
      <c r="E64" s="44">
        <f>IF('10_LimitLP'!P29="","",'10_LimitLP'!P29)</f>
        <v/>
      </c>
      <c r="F64" s="44">
        <f>IF(E64="","",D64-E64)</f>
        <v/>
      </c>
      <c r="G64" s="7">
        <f>IF(OR(F64="",ABS(F64)&lt;=1),"",IF(C64&gt;1,"동점 그룹 안 배분 차이(정상)","확인 필요"))</f>
        <v/>
      </c>
    </row>
    <row r="65">
      <c r="A65" s="7">
        <f>'10_LimitLP'!A30</f>
        <v/>
      </c>
      <c r="B65" s="61">
        <f>'10_LimitLP'!G30</f>
        <v/>
      </c>
      <c r="C65" s="45">
        <f>'10_LimitLP'!R30</f>
        <v/>
      </c>
      <c r="D65" s="44">
        <f>'10_LimitLP'!F30</f>
        <v/>
      </c>
      <c r="E65" s="44">
        <f>IF('10_LimitLP'!P30="","",'10_LimitLP'!P30)</f>
        <v/>
      </c>
      <c r="F65" s="44">
        <f>IF(E65="","",D65-E65)</f>
        <v/>
      </c>
      <c r="G65" s="7">
        <f>IF(OR(F65="",ABS(F65)&lt;=1),"",IF(C65&gt;1,"동점 그룹 안 배분 차이(정상)","확인 필요"))</f>
        <v/>
      </c>
    </row>
    <row r="66">
      <c r="A66" s="7">
        <f>'10_LimitLP'!A31</f>
        <v/>
      </c>
      <c r="B66" s="61">
        <f>'10_LimitLP'!G31</f>
        <v/>
      </c>
      <c r="C66" s="45">
        <f>'10_LimitLP'!R31</f>
        <v/>
      </c>
      <c r="D66" s="44">
        <f>'10_LimitLP'!F31</f>
        <v/>
      </c>
      <c r="E66" s="44">
        <f>IF('10_LimitLP'!P31="","",'10_LimitLP'!P31)</f>
        <v/>
      </c>
      <c r="F66" s="44">
        <f>IF(E66="","",D66-E66)</f>
        <v/>
      </c>
      <c r="G66" s="7">
        <f>IF(OR(F66="",ABS(F66)&lt;=1),"",IF(C66&gt;1,"동점 그룹 안 배분 차이(정상)","확인 필요"))</f>
        <v/>
      </c>
    </row>
    <row r="67">
      <c r="A67" s="7">
        <f>'10_LimitLP'!A32</f>
        <v/>
      </c>
      <c r="B67" s="61">
        <f>'10_LimitLP'!G32</f>
        <v/>
      </c>
      <c r="C67" s="45">
        <f>'10_LimitLP'!R32</f>
        <v/>
      </c>
      <c r="D67" s="44">
        <f>'10_LimitLP'!F32</f>
        <v/>
      </c>
      <c r="E67" s="44">
        <f>IF('10_LimitLP'!P32="","",'10_LimitLP'!P32)</f>
        <v/>
      </c>
      <c r="F67" s="44">
        <f>IF(E67="","",D67-E67)</f>
        <v/>
      </c>
      <c r="G67" s="7">
        <f>IF(OR(F67="",ABS(F67)&lt;=1),"",IF(C67&gt;1,"동점 그룹 안 배분 차이(정상)","확인 필요"))</f>
        <v/>
      </c>
    </row>
    <row r="68">
      <c r="A68" s="7">
        <f>'10_LimitLP'!A33</f>
        <v/>
      </c>
      <c r="B68" s="61">
        <f>'10_LimitLP'!G33</f>
        <v/>
      </c>
      <c r="C68" s="45">
        <f>'10_LimitLP'!R33</f>
        <v/>
      </c>
      <c r="D68" s="44">
        <f>'10_LimitLP'!F33</f>
        <v/>
      </c>
      <c r="E68" s="44">
        <f>IF('10_LimitLP'!P33="","",'10_LimitLP'!P33)</f>
        <v/>
      </c>
      <c r="F68" s="44">
        <f>IF(E68="","",D68-E68)</f>
        <v/>
      </c>
      <c r="G68" s="7">
        <f>IF(OR(F68="",ABS(F68)&lt;=1),"",IF(C68&gt;1,"동점 그룹 안 배분 차이(정상)","확인 필요"))</f>
        <v/>
      </c>
    </row>
    <row r="69">
      <c r="A69" s="7">
        <f>'10_LimitLP'!A34</f>
        <v/>
      </c>
      <c r="B69" s="61">
        <f>'10_LimitLP'!G34</f>
        <v/>
      </c>
      <c r="C69" s="45">
        <f>'10_LimitLP'!R34</f>
        <v/>
      </c>
      <c r="D69" s="44">
        <f>'10_LimitLP'!F34</f>
        <v/>
      </c>
      <c r="E69" s="44">
        <f>IF('10_LimitLP'!P34="","",'10_LimitLP'!P34)</f>
        <v/>
      </c>
      <c r="F69" s="44">
        <f>IF(E69="","",D69-E69)</f>
        <v/>
      </c>
      <c r="G69" s="7">
        <f>IF(OR(F69="",ABS(F69)&lt;=1),"",IF(C69&gt;1,"동점 그룹 안 배분 차이(정상)","확인 필요"))</f>
        <v/>
      </c>
    </row>
    <row r="70">
      <c r="A70" s="7">
        <f>'10_LimitLP'!A35</f>
        <v/>
      </c>
      <c r="B70" s="61">
        <f>'10_LimitLP'!G35</f>
        <v/>
      </c>
      <c r="C70" s="45">
        <f>'10_LimitLP'!R35</f>
        <v/>
      </c>
      <c r="D70" s="44">
        <f>'10_LimitLP'!F35</f>
        <v/>
      </c>
      <c r="E70" s="44">
        <f>IF('10_LimitLP'!P35="","",'10_LimitLP'!P35)</f>
        <v/>
      </c>
      <c r="F70" s="44">
        <f>IF(E70="","",D70-E70)</f>
        <v/>
      </c>
      <c r="G70" s="7">
        <f>IF(OR(F70="",ABS(F70)&lt;=1),"",IF(C70&gt;1,"동점 그룹 안 배분 차이(정상)","확인 필요"))</f>
        <v/>
      </c>
    </row>
    <row r="71">
      <c r="A71" s="7">
        <f>'10_LimitLP'!A36</f>
        <v/>
      </c>
      <c r="B71" s="61">
        <f>'10_LimitLP'!G36</f>
        <v/>
      </c>
      <c r="C71" s="45">
        <f>'10_LimitLP'!R36</f>
        <v/>
      </c>
      <c r="D71" s="44">
        <f>'10_LimitLP'!F36</f>
        <v/>
      </c>
      <c r="E71" s="44">
        <f>IF('10_LimitLP'!P36="","",'10_LimitLP'!P36)</f>
        <v/>
      </c>
      <c r="F71" s="44">
        <f>IF(E71="","",D71-E71)</f>
        <v/>
      </c>
      <c r="G71" s="7">
        <f>IF(OR(F71="",ABS(F71)&lt;=1),"",IF(C71&gt;1,"동점 그룹 안 배분 차이(정상)","확인 필요"))</f>
        <v/>
      </c>
    </row>
    <row r="72">
      <c r="A72" s="7">
        <f>'10_LimitLP'!A37</f>
        <v/>
      </c>
      <c r="B72" s="61">
        <f>'10_LimitLP'!G37</f>
        <v/>
      </c>
      <c r="C72" s="45">
        <f>'10_LimitLP'!R37</f>
        <v/>
      </c>
      <c r="D72" s="44">
        <f>'10_LimitLP'!F37</f>
        <v/>
      </c>
      <c r="E72" s="44">
        <f>IF('10_LimitLP'!P37="","",'10_LimitLP'!P37)</f>
        <v/>
      </c>
      <c r="F72" s="44">
        <f>IF(E72="","",D72-E72)</f>
        <v/>
      </c>
      <c r="G72" s="7">
        <f>IF(OR(F72="",ABS(F72)&lt;=1),"",IF(C72&gt;1,"동점 그룹 안 배분 차이(정상)","확인 필요"))</f>
        <v/>
      </c>
    </row>
    <row r="73">
      <c r="A73" s="7">
        <f>'10_LimitLP'!A38</f>
        <v/>
      </c>
      <c r="B73" s="61">
        <f>'10_LimitLP'!G38</f>
        <v/>
      </c>
      <c r="C73" s="45">
        <f>'10_LimitLP'!R38</f>
        <v/>
      </c>
      <c r="D73" s="44">
        <f>'10_LimitLP'!F38</f>
        <v/>
      </c>
      <c r="E73" s="44">
        <f>IF('10_LimitLP'!P38="","",'10_LimitLP'!P38)</f>
        <v/>
      </c>
      <c r="F73" s="44">
        <f>IF(E73="","",D73-E73)</f>
        <v/>
      </c>
      <c r="G73" s="7">
        <f>IF(OR(F73="",ABS(F73)&lt;=1),"",IF(C73&gt;1,"동점 그룹 안 배분 차이(정상)","확인 필요"))</f>
        <v/>
      </c>
    </row>
    <row r="74">
      <c r="A74" s="7">
        <f>'10_LimitLP'!A39</f>
        <v/>
      </c>
      <c r="B74" s="61">
        <f>'10_LimitLP'!G39</f>
        <v/>
      </c>
      <c r="C74" s="45">
        <f>'10_LimitLP'!R39</f>
        <v/>
      </c>
      <c r="D74" s="44">
        <f>'10_LimitLP'!F39</f>
        <v/>
      </c>
      <c r="E74" s="44">
        <f>IF('10_LimitLP'!P39="","",'10_LimitLP'!P39)</f>
        <v/>
      </c>
      <c r="F74" s="44">
        <f>IF(E74="","",D74-E74)</f>
        <v/>
      </c>
      <c r="G74" s="7">
        <f>IF(OR(F74="",ABS(F74)&lt;=1),"",IF(C74&gt;1,"동점 그룹 안 배분 차이(정상)","확인 필요"))</f>
        <v/>
      </c>
    </row>
    <row r="75">
      <c r="A75" s="7">
        <f>'10_LimitLP'!A40</f>
        <v/>
      </c>
      <c r="B75" s="61">
        <f>'10_LimitLP'!G40</f>
        <v/>
      </c>
      <c r="C75" s="45">
        <f>'10_LimitLP'!R40</f>
        <v/>
      </c>
      <c r="D75" s="44">
        <f>'10_LimitLP'!F40</f>
        <v/>
      </c>
      <c r="E75" s="44">
        <f>IF('10_LimitLP'!P40="","",'10_LimitLP'!P40)</f>
        <v/>
      </c>
      <c r="F75" s="44">
        <f>IF(E75="","",D75-E75)</f>
        <v/>
      </c>
      <c r="G75" s="7">
        <f>IF(OR(F75="",ABS(F75)&lt;=1),"",IF(C75&gt;1,"동점 그룹 안 배분 차이(정상)","확인 필요"))</f>
        <v/>
      </c>
    </row>
    <row r="76">
      <c r="A76" s="7">
        <f>'10_LimitLP'!A41</f>
        <v/>
      </c>
      <c r="B76" s="61">
        <f>'10_LimitLP'!G41</f>
        <v/>
      </c>
      <c r="C76" s="45">
        <f>'10_LimitLP'!R41</f>
        <v/>
      </c>
      <c r="D76" s="44">
        <f>'10_LimitLP'!F41</f>
        <v/>
      </c>
      <c r="E76" s="44">
        <f>IF('10_LimitLP'!P41="","",'10_LimitLP'!P41)</f>
        <v/>
      </c>
      <c r="F76" s="44">
        <f>IF(E76="","",D76-E76)</f>
        <v/>
      </c>
      <c r="G76" s="7">
        <f>IF(OR(F76="",ABS(F76)&lt;=1),"",IF(C76&gt;1,"동점 그룹 안 배분 차이(정상)","확인 필요"))</f>
        <v/>
      </c>
    </row>
    <row r="77">
      <c r="A77" s="7">
        <f>'10_LimitLP'!A42</f>
        <v/>
      </c>
      <c r="B77" s="61">
        <f>'10_LimitLP'!G42</f>
        <v/>
      </c>
      <c r="C77" s="45">
        <f>'10_LimitLP'!R42</f>
        <v/>
      </c>
      <c r="D77" s="44">
        <f>'10_LimitLP'!F42</f>
        <v/>
      </c>
      <c r="E77" s="44">
        <f>IF('10_LimitLP'!P42="","",'10_LimitLP'!P42)</f>
        <v/>
      </c>
      <c r="F77" s="44">
        <f>IF(E77="","",D77-E77)</f>
        <v/>
      </c>
      <c r="G77" s="7">
        <f>IF(OR(F77="",ABS(F77)&lt;=1),"",IF(C77&gt;1,"동점 그룹 안 배분 차이(정상)","확인 필요"))</f>
        <v/>
      </c>
    </row>
    <row r="78">
      <c r="A78" s="7">
        <f>'10_LimitLP'!A43</f>
        <v/>
      </c>
      <c r="B78" s="61">
        <f>'10_LimitLP'!G43</f>
        <v/>
      </c>
      <c r="C78" s="45">
        <f>'10_LimitLP'!R43</f>
        <v/>
      </c>
      <c r="D78" s="44">
        <f>'10_LimitLP'!F43</f>
        <v/>
      </c>
      <c r="E78" s="44">
        <f>IF('10_LimitLP'!P43="","",'10_LimitLP'!P43)</f>
        <v/>
      </c>
      <c r="F78" s="44">
        <f>IF(E78="","",D78-E78)</f>
        <v/>
      </c>
      <c r="G78" s="7">
        <f>IF(OR(F78="",ABS(F78)&lt;=1),"",IF(C78&gt;1,"동점 그룹 안 배분 차이(정상)","확인 필요"))</f>
        <v/>
      </c>
    </row>
    <row r="79">
      <c r="A79" s="7">
        <f>'10_LimitLP'!A44</f>
        <v/>
      </c>
      <c r="B79" s="61">
        <f>'10_LimitLP'!G44</f>
        <v/>
      </c>
      <c r="C79" s="45">
        <f>'10_LimitLP'!R44</f>
        <v/>
      </c>
      <c r="D79" s="44">
        <f>'10_LimitLP'!F44</f>
        <v/>
      </c>
      <c r="E79" s="44">
        <f>IF('10_LimitLP'!P44="","",'10_LimitLP'!P44)</f>
        <v/>
      </c>
      <c r="F79" s="44">
        <f>IF(E79="","",D79-E79)</f>
        <v/>
      </c>
      <c r="G79" s="7">
        <f>IF(OR(F79="",ABS(F79)&lt;=1),"",IF(C79&gt;1,"동점 그룹 안 배분 차이(정상)","확인 필요"))</f>
        <v/>
      </c>
    </row>
    <row r="80">
      <c r="A80" s="7">
        <f>'10_LimitLP'!A45</f>
        <v/>
      </c>
      <c r="B80" s="61">
        <f>'10_LimitLP'!G45</f>
        <v/>
      </c>
      <c r="C80" s="45">
        <f>'10_LimitLP'!R45</f>
        <v/>
      </c>
      <c r="D80" s="44">
        <f>'10_LimitLP'!F45</f>
        <v/>
      </c>
      <c r="E80" s="44">
        <f>IF('10_LimitLP'!P45="","",'10_LimitLP'!P45)</f>
        <v/>
      </c>
      <c r="F80" s="44">
        <f>IF(E80="","",D80-E80)</f>
        <v/>
      </c>
      <c r="G80" s="7">
        <f>IF(OR(F80="",ABS(F80)&lt;=1),"",IF(C80&gt;1,"동점 그룹 안 배분 차이(정상)","확인 필요"))</f>
        <v/>
      </c>
    </row>
    <row r="81">
      <c r="A81" s="7">
        <f>'10_LimitLP'!A46</f>
        <v/>
      </c>
      <c r="B81" s="61">
        <f>'10_LimitLP'!G46</f>
        <v/>
      </c>
      <c r="C81" s="45">
        <f>'10_LimitLP'!R46</f>
        <v/>
      </c>
      <c r="D81" s="44">
        <f>'10_LimitLP'!F46</f>
        <v/>
      </c>
      <c r="E81" s="44">
        <f>IF('10_LimitLP'!P46="","",'10_LimitLP'!P46)</f>
        <v/>
      </c>
      <c r="F81" s="44">
        <f>IF(E81="","",D81-E81)</f>
        <v/>
      </c>
      <c r="G81" s="7">
        <f>IF(OR(F81="",ABS(F81)&lt;=1),"",IF(C81&gt;1,"동점 그룹 안 배분 차이(정상)","확인 필요"))</f>
        <v/>
      </c>
    </row>
    <row r="82">
      <c r="A82" s="7">
        <f>'10_LimitLP'!A47</f>
        <v/>
      </c>
      <c r="B82" s="61">
        <f>'10_LimitLP'!G47</f>
        <v/>
      </c>
      <c r="C82" s="45">
        <f>'10_LimitLP'!R47</f>
        <v/>
      </c>
      <c r="D82" s="44">
        <f>'10_LimitLP'!F47</f>
        <v/>
      </c>
      <c r="E82" s="44">
        <f>IF('10_LimitLP'!P47="","",'10_LimitLP'!P47)</f>
        <v/>
      </c>
      <c r="F82" s="44">
        <f>IF(E82="","",D82-E82)</f>
        <v/>
      </c>
      <c r="G82" s="7">
        <f>IF(OR(F82="",ABS(F82)&lt;=1),"",IF(C82&gt;1,"동점 그룹 안 배분 차이(정상)","확인 필요"))</f>
        <v/>
      </c>
    </row>
    <row r="83">
      <c r="A83" s="7">
        <f>'10_LimitLP'!A48</f>
        <v/>
      </c>
      <c r="B83" s="61">
        <f>'10_LimitLP'!G48</f>
        <v/>
      </c>
      <c r="C83" s="45">
        <f>'10_LimitLP'!R48</f>
        <v/>
      </c>
      <c r="D83" s="44">
        <f>'10_LimitLP'!F48</f>
        <v/>
      </c>
      <c r="E83" s="44">
        <f>IF('10_LimitLP'!P48="","",'10_LimitLP'!P48)</f>
        <v/>
      </c>
      <c r="F83" s="44">
        <f>IF(E83="","",D83-E83)</f>
        <v/>
      </c>
      <c r="G83" s="7">
        <f>IF(OR(F83="",ABS(F83)&lt;=1),"",IF(C83&gt;1,"동점 그룹 안 배분 차이(정상)","확인 필요"))</f>
        <v/>
      </c>
    </row>
    <row r="84">
      <c r="A84" s="7">
        <f>'10_LimitLP'!A49</f>
        <v/>
      </c>
      <c r="B84" s="61">
        <f>'10_LimitLP'!G49</f>
        <v/>
      </c>
      <c r="C84" s="45">
        <f>'10_LimitLP'!R49</f>
        <v/>
      </c>
      <c r="D84" s="44">
        <f>'10_LimitLP'!F49</f>
        <v/>
      </c>
      <c r="E84" s="44">
        <f>IF('10_LimitLP'!P49="","",'10_LimitLP'!P49)</f>
        <v/>
      </c>
      <c r="F84" s="44">
        <f>IF(E84="","",D84-E84)</f>
        <v/>
      </c>
      <c r="G84" s="7">
        <f>IF(OR(F84="",ABS(F84)&lt;=1),"",IF(C84&gt;1,"동점 그룹 안 배분 차이(정상)","확인 필요"))</f>
        <v/>
      </c>
    </row>
    <row r="85">
      <c r="A85" s="7">
        <f>'10_LimitLP'!A50</f>
        <v/>
      </c>
      <c r="B85" s="61">
        <f>'10_LimitLP'!G50</f>
        <v/>
      </c>
      <c r="C85" s="45">
        <f>'10_LimitLP'!R50</f>
        <v/>
      </c>
      <c r="D85" s="44">
        <f>'10_LimitLP'!F50</f>
        <v/>
      </c>
      <c r="E85" s="44">
        <f>IF('10_LimitLP'!P50="","",'10_LimitLP'!P50)</f>
        <v/>
      </c>
      <c r="F85" s="44">
        <f>IF(E85="","",D85-E85)</f>
        <v/>
      </c>
      <c r="G85" s="7">
        <f>IF(OR(F85="",ABS(F85)&lt;=1),"",IF(C85&gt;1,"동점 그룹 안 배분 차이(정상)","확인 필요"))</f>
        <v/>
      </c>
    </row>
    <row r="86">
      <c r="A86" s="7">
        <f>'10_LimitLP'!A51</f>
        <v/>
      </c>
      <c r="B86" s="61">
        <f>'10_LimitLP'!G51</f>
        <v/>
      </c>
      <c r="C86" s="45">
        <f>'10_LimitLP'!R51</f>
        <v/>
      </c>
      <c r="D86" s="44">
        <f>'10_LimitLP'!F51</f>
        <v/>
      </c>
      <c r="E86" s="44">
        <f>IF('10_LimitLP'!P51="","",'10_LimitLP'!P51)</f>
        <v/>
      </c>
      <c r="F86" s="44">
        <f>IF(E86="","",D86-E86)</f>
        <v/>
      </c>
      <c r="G86" s="7">
        <f>IF(OR(F86="",ABS(F86)&lt;=1),"",IF(C86&gt;1,"동점 그룹 안 배분 차이(정상)","확인 필요"))</f>
        <v/>
      </c>
    </row>
    <row r="87">
      <c r="A87" s="7">
        <f>'10_LimitLP'!A52</f>
        <v/>
      </c>
      <c r="B87" s="61">
        <f>'10_LimitLP'!G52</f>
        <v/>
      </c>
      <c r="C87" s="45">
        <f>'10_LimitLP'!R52</f>
        <v/>
      </c>
      <c r="D87" s="44">
        <f>'10_LimitLP'!F52</f>
        <v/>
      </c>
      <c r="E87" s="44">
        <f>IF('10_LimitLP'!P52="","",'10_LimitLP'!P52)</f>
        <v/>
      </c>
      <c r="F87" s="44">
        <f>IF(E87="","",D87-E87)</f>
        <v/>
      </c>
      <c r="G87" s="7">
        <f>IF(OR(F87="",ABS(F87)&lt;=1),"",IF(C87&gt;1,"동점 그룹 안 배분 차이(정상)","확인 필요"))</f>
        <v/>
      </c>
    </row>
    <row r="88">
      <c r="A88" s="7">
        <f>'10_LimitLP'!A53</f>
        <v/>
      </c>
      <c r="B88" s="61">
        <f>'10_LimitLP'!G53</f>
        <v/>
      </c>
      <c r="C88" s="45">
        <f>'10_LimitLP'!R53</f>
        <v/>
      </c>
      <c r="D88" s="44">
        <f>'10_LimitLP'!F53</f>
        <v/>
      </c>
      <c r="E88" s="44">
        <f>IF('10_LimitLP'!P53="","",'10_LimitLP'!P53)</f>
        <v/>
      </c>
      <c r="F88" s="44">
        <f>IF(E88="","",D88-E88)</f>
        <v/>
      </c>
      <c r="G88" s="7">
        <f>IF(OR(F88="",ABS(F88)&lt;=1),"",IF(C88&gt;1,"동점 그룹 안 배분 차이(정상)","확인 필요"))</f>
        <v/>
      </c>
    </row>
    <row r="89">
      <c r="A89" s="7">
        <f>'10_LimitLP'!A54</f>
        <v/>
      </c>
      <c r="B89" s="61">
        <f>'10_LimitLP'!G54</f>
        <v/>
      </c>
      <c r="C89" s="45">
        <f>'10_LimitLP'!R54</f>
        <v/>
      </c>
      <c r="D89" s="44">
        <f>'10_LimitLP'!F54</f>
        <v/>
      </c>
      <c r="E89" s="44">
        <f>IF('10_LimitLP'!P54="","",'10_LimitLP'!P54)</f>
        <v/>
      </c>
      <c r="F89" s="44">
        <f>IF(E89="","",D89-E89)</f>
        <v/>
      </c>
      <c r="G89" s="7">
        <f>IF(OR(F89="",ABS(F89)&lt;=1),"",IF(C89&gt;1,"동점 그룹 안 배분 차이(정상)","확인 필요"))</f>
        <v/>
      </c>
    </row>
    <row r="90">
      <c r="A90" s="7">
        <f>'10_LimitLP'!A55</f>
        <v/>
      </c>
      <c r="B90" s="61">
        <f>'10_LimitLP'!G55</f>
        <v/>
      </c>
      <c r="C90" s="45">
        <f>'10_LimitLP'!R55</f>
        <v/>
      </c>
      <c r="D90" s="44">
        <f>'10_LimitLP'!F55</f>
        <v/>
      </c>
      <c r="E90" s="44">
        <f>IF('10_LimitLP'!P55="","",'10_LimitLP'!P55)</f>
        <v/>
      </c>
      <c r="F90" s="44">
        <f>IF(E90="","",D90-E90)</f>
        <v/>
      </c>
      <c r="G90" s="7">
        <f>IF(OR(F90="",ABS(F90)&lt;=1),"",IF(C90&gt;1,"동점 그룹 안 배분 차이(정상)","확인 필요"))</f>
        <v/>
      </c>
    </row>
    <row r="91">
      <c r="A91" s="7">
        <f>'10_LimitLP'!A56</f>
        <v/>
      </c>
      <c r="B91" s="61">
        <f>'10_LimitLP'!G56</f>
        <v/>
      </c>
      <c r="C91" s="45">
        <f>'10_LimitLP'!R56</f>
        <v/>
      </c>
      <c r="D91" s="44">
        <f>'10_LimitLP'!F56</f>
        <v/>
      </c>
      <c r="E91" s="44">
        <f>IF('10_LimitLP'!P56="","",'10_LimitLP'!P56)</f>
        <v/>
      </c>
      <c r="F91" s="44">
        <f>IF(E91="","",D91-E91)</f>
        <v/>
      </c>
      <c r="G91" s="7">
        <f>IF(OR(F91="",ABS(F91)&lt;=1),"",IF(C91&gt;1,"동점 그룹 안 배분 차이(정상)","확인 필요"))</f>
        <v/>
      </c>
    </row>
    <row r="92">
      <c r="A92" s="7">
        <f>'10_LimitLP'!A57</f>
        <v/>
      </c>
      <c r="B92" s="61">
        <f>'10_LimitLP'!G57</f>
        <v/>
      </c>
      <c r="C92" s="45">
        <f>'10_LimitLP'!R57</f>
        <v/>
      </c>
      <c r="D92" s="44">
        <f>'10_LimitLP'!F57</f>
        <v/>
      </c>
      <c r="E92" s="44">
        <f>IF('10_LimitLP'!P57="","",'10_LimitLP'!P57)</f>
        <v/>
      </c>
      <c r="F92" s="44">
        <f>IF(E92="","",D92-E92)</f>
        <v/>
      </c>
      <c r="G92" s="7">
        <f>IF(OR(F92="",ABS(F92)&lt;=1),"",IF(C92&gt;1,"동점 그룹 안 배분 차이(정상)","확인 필요"))</f>
        <v/>
      </c>
    </row>
    <row r="93">
      <c r="A93" s="7">
        <f>'10_LimitLP'!A58</f>
        <v/>
      </c>
      <c r="B93" s="61">
        <f>'10_LimitLP'!G58</f>
        <v/>
      </c>
      <c r="C93" s="45">
        <f>'10_LimitLP'!R58</f>
        <v/>
      </c>
      <c r="D93" s="44">
        <f>'10_LimitLP'!F58</f>
        <v/>
      </c>
      <c r="E93" s="44">
        <f>IF('10_LimitLP'!P58="","",'10_LimitLP'!P58)</f>
        <v/>
      </c>
      <c r="F93" s="44">
        <f>IF(E93="","",D93-E93)</f>
        <v/>
      </c>
      <c r="G93" s="7">
        <f>IF(OR(F93="",ABS(F93)&lt;=1),"",IF(C93&gt;1,"동점 그룹 안 배분 차이(정상)","확인 필요"))</f>
        <v/>
      </c>
    </row>
    <row r="94">
      <c r="A94" s="7">
        <f>'10_LimitLP'!A59</f>
        <v/>
      </c>
      <c r="B94" s="61">
        <f>'10_LimitLP'!G59</f>
        <v/>
      </c>
      <c r="C94" s="45">
        <f>'10_LimitLP'!R59</f>
        <v/>
      </c>
      <c r="D94" s="44">
        <f>'10_LimitLP'!F59</f>
        <v/>
      </c>
      <c r="E94" s="44">
        <f>IF('10_LimitLP'!P59="","",'10_LimitLP'!P59)</f>
        <v/>
      </c>
      <c r="F94" s="44">
        <f>IF(E94="","",D94-E94)</f>
        <v/>
      </c>
      <c r="G94" s="7">
        <f>IF(OR(F94="",ABS(F94)&lt;=1),"",IF(C94&gt;1,"동점 그룹 안 배분 차이(정상)","확인 필요"))</f>
        <v/>
      </c>
    </row>
    <row r="95">
      <c r="A95" s="7">
        <f>'10_LimitLP'!A60</f>
        <v/>
      </c>
      <c r="B95" s="61">
        <f>'10_LimitLP'!G60</f>
        <v/>
      </c>
      <c r="C95" s="45">
        <f>'10_LimitLP'!R60</f>
        <v/>
      </c>
      <c r="D95" s="44">
        <f>'10_LimitLP'!F60</f>
        <v/>
      </c>
      <c r="E95" s="44">
        <f>IF('10_LimitLP'!P60="","",'10_LimitLP'!P60)</f>
        <v/>
      </c>
      <c r="F95" s="44">
        <f>IF(E95="","",D95-E95)</f>
        <v/>
      </c>
      <c r="G95" s="7">
        <f>IF(OR(F95="",ABS(F95)&lt;=1),"",IF(C95&gt;1,"동점 그룹 안 배분 차이(정상)","확인 필요"))</f>
        <v/>
      </c>
    </row>
    <row r="96">
      <c r="A96" s="7">
        <f>'10_LimitLP'!A61</f>
        <v/>
      </c>
      <c r="B96" s="61">
        <f>'10_LimitLP'!G61</f>
        <v/>
      </c>
      <c r="C96" s="45">
        <f>'10_LimitLP'!R61</f>
        <v/>
      </c>
      <c r="D96" s="44">
        <f>'10_LimitLP'!F61</f>
        <v/>
      </c>
      <c r="E96" s="44">
        <f>IF('10_LimitLP'!P61="","",'10_LimitLP'!P61)</f>
        <v/>
      </c>
      <c r="F96" s="44">
        <f>IF(E96="","",D96-E96)</f>
        <v/>
      </c>
      <c r="G96" s="7">
        <f>IF(OR(F96="",ABS(F96)&lt;=1),"",IF(C96&gt;1,"동점 그룹 안 배분 차이(정상)","확인 필요"))</f>
        <v/>
      </c>
    </row>
    <row r="97">
      <c r="A97" s="7">
        <f>'10_LimitLP'!A62</f>
        <v/>
      </c>
      <c r="B97" s="61">
        <f>'10_LimitLP'!G62</f>
        <v/>
      </c>
      <c r="C97" s="45">
        <f>'10_LimitLP'!R62</f>
        <v/>
      </c>
      <c r="D97" s="44">
        <f>'10_LimitLP'!F62</f>
        <v/>
      </c>
      <c r="E97" s="44">
        <f>IF('10_LimitLP'!P62="","",'10_LimitLP'!P62)</f>
        <v/>
      </c>
      <c r="F97" s="44">
        <f>IF(E97="","",D97-E97)</f>
        <v/>
      </c>
      <c r="G97" s="7">
        <f>IF(OR(F97="",ABS(F97)&lt;=1),"",IF(C97&gt;1,"동점 그룹 안 배분 차이(정상)","확인 필요"))</f>
        <v/>
      </c>
    </row>
    <row r="98">
      <c r="A98" s="7">
        <f>'10_LimitLP'!A63</f>
        <v/>
      </c>
      <c r="B98" s="61">
        <f>'10_LimitLP'!G63</f>
        <v/>
      </c>
      <c r="C98" s="45">
        <f>'10_LimitLP'!R63</f>
        <v/>
      </c>
      <c r="D98" s="44">
        <f>'10_LimitLP'!F63</f>
        <v/>
      </c>
      <c r="E98" s="44">
        <f>IF('10_LimitLP'!P63="","",'10_LimitLP'!P63)</f>
        <v/>
      </c>
      <c r="F98" s="44">
        <f>IF(E98="","",D98-E98)</f>
        <v/>
      </c>
      <c r="G98" s="7">
        <f>IF(OR(F98="",ABS(F98)&lt;=1),"",IF(C98&gt;1,"동점 그룹 안 배분 차이(정상)","확인 필요"))</f>
        <v/>
      </c>
    </row>
    <row r="99">
      <c r="A99" s="7">
        <f>'10_LimitLP'!A64</f>
        <v/>
      </c>
      <c r="B99" s="61">
        <f>'10_LimitLP'!G64</f>
        <v/>
      </c>
      <c r="C99" s="45">
        <f>'10_LimitLP'!R64</f>
        <v/>
      </c>
      <c r="D99" s="44">
        <f>'10_LimitLP'!F64</f>
        <v/>
      </c>
      <c r="E99" s="44">
        <f>IF('10_LimitLP'!P64="","",'10_LimitLP'!P64)</f>
        <v/>
      </c>
      <c r="F99" s="44">
        <f>IF(E99="","",D99-E99)</f>
        <v/>
      </c>
      <c r="G99" s="7">
        <f>IF(OR(F99="",ABS(F99)&lt;=1),"",IF(C99&gt;1,"동점 그룹 안 배분 차이(정상)","확인 필요"))</f>
        <v/>
      </c>
    </row>
    <row r="100">
      <c r="A100" s="7">
        <f>'10_LimitLP'!A65</f>
        <v/>
      </c>
      <c r="B100" s="61">
        <f>'10_LimitLP'!G65</f>
        <v/>
      </c>
      <c r="C100" s="45">
        <f>'10_LimitLP'!R65</f>
        <v/>
      </c>
      <c r="D100" s="44">
        <f>'10_LimitLP'!F65</f>
        <v/>
      </c>
      <c r="E100" s="44">
        <f>IF('10_LimitLP'!P65="","",'10_LimitLP'!P65)</f>
        <v/>
      </c>
      <c r="F100" s="44">
        <f>IF(E100="","",D100-E100)</f>
        <v/>
      </c>
      <c r="G100" s="7">
        <f>IF(OR(F100="",ABS(F100)&lt;=1),"",IF(C100&gt;1,"동점 그룹 안 배분 차이(정상)","확인 필요"))</f>
        <v/>
      </c>
    </row>
    <row r="101">
      <c r="A101" s="7">
        <f>'10_LimitLP'!A66</f>
        <v/>
      </c>
      <c r="B101" s="61">
        <f>'10_LimitLP'!G66</f>
        <v/>
      </c>
      <c r="C101" s="45">
        <f>'10_LimitLP'!R66</f>
        <v/>
      </c>
      <c r="D101" s="44">
        <f>'10_LimitLP'!F66</f>
        <v/>
      </c>
      <c r="E101" s="44">
        <f>IF('10_LimitLP'!P66="","",'10_LimitLP'!P66)</f>
        <v/>
      </c>
      <c r="F101" s="44">
        <f>IF(E101="","",D101-E101)</f>
        <v/>
      </c>
      <c r="G101" s="7">
        <f>IF(OR(F101="",ABS(F101)&lt;=1),"",IF(C101&gt;1,"동점 그룹 안 배분 차이(정상)","확인 필요"))</f>
        <v/>
      </c>
    </row>
    <row r="102">
      <c r="A102" s="7">
        <f>'10_LimitLP'!A67</f>
        <v/>
      </c>
      <c r="B102" s="61">
        <f>'10_LimitLP'!G67</f>
        <v/>
      </c>
      <c r="C102" s="45">
        <f>'10_LimitLP'!R67</f>
        <v/>
      </c>
      <c r="D102" s="44">
        <f>'10_LimitLP'!F67</f>
        <v/>
      </c>
      <c r="E102" s="44">
        <f>IF('10_LimitLP'!P67="","",'10_LimitLP'!P67)</f>
        <v/>
      </c>
      <c r="F102" s="44">
        <f>IF(E102="","",D102-E102)</f>
        <v/>
      </c>
      <c r="G102" s="7">
        <f>IF(OR(F102="",ABS(F102)&lt;=1),"",IF(C102&gt;1,"동점 그룹 안 배분 차이(정상)","확인 필요"))</f>
        <v/>
      </c>
    </row>
    <row r="103">
      <c r="A103" s="7">
        <f>'10_LimitLP'!A68</f>
        <v/>
      </c>
      <c r="B103" s="61">
        <f>'10_LimitLP'!G68</f>
        <v/>
      </c>
      <c r="C103" s="45">
        <f>'10_LimitLP'!R68</f>
        <v/>
      </c>
      <c r="D103" s="44">
        <f>'10_LimitLP'!F68</f>
        <v/>
      </c>
      <c r="E103" s="44">
        <f>IF('10_LimitLP'!P68="","",'10_LimitLP'!P68)</f>
        <v/>
      </c>
      <c r="F103" s="44">
        <f>IF(E103="","",D103-E103)</f>
        <v/>
      </c>
      <c r="G103" s="7">
        <f>IF(OR(F103="",ABS(F103)&lt;=1),"",IF(C103&gt;1,"동점 그룹 안 배분 차이(정상)","확인 필요"))</f>
        <v/>
      </c>
    </row>
    <row r="104">
      <c r="A104" s="7">
        <f>'10_LimitLP'!A69</f>
        <v/>
      </c>
      <c r="B104" s="61">
        <f>'10_LimitLP'!G69</f>
        <v/>
      </c>
      <c r="C104" s="45">
        <f>'10_LimitLP'!R69</f>
        <v/>
      </c>
      <c r="D104" s="44">
        <f>'10_LimitLP'!F69</f>
        <v/>
      </c>
      <c r="E104" s="44">
        <f>IF('10_LimitLP'!P69="","",'10_LimitLP'!P69)</f>
        <v/>
      </c>
      <c r="F104" s="44">
        <f>IF(E104="","",D104-E104)</f>
        <v/>
      </c>
      <c r="G104" s="7">
        <f>IF(OR(F104="",ABS(F104)&lt;=1),"",IF(C104&gt;1,"동점 그룹 안 배분 차이(정상)","확인 필요"))</f>
        <v/>
      </c>
    </row>
    <row r="105">
      <c r="A105" s="7">
        <f>'10_LimitLP'!A70</f>
        <v/>
      </c>
      <c r="B105" s="61">
        <f>'10_LimitLP'!G70</f>
        <v/>
      </c>
      <c r="C105" s="45">
        <f>'10_LimitLP'!R70</f>
        <v/>
      </c>
      <c r="D105" s="44">
        <f>'10_LimitLP'!F70</f>
        <v/>
      </c>
      <c r="E105" s="44">
        <f>IF('10_LimitLP'!P70="","",'10_LimitLP'!P70)</f>
        <v/>
      </c>
      <c r="F105" s="44">
        <f>IF(E105="","",D105-E105)</f>
        <v/>
      </c>
      <c r="G105" s="7">
        <f>IF(OR(F105="",ABS(F105)&lt;=1),"",IF(C105&gt;1,"동점 그룹 안 배분 차이(정상)","확인 필요"))</f>
        <v/>
      </c>
    </row>
    <row r="106">
      <c r="A106" s="7">
        <f>'10_LimitLP'!A71</f>
        <v/>
      </c>
      <c r="B106" s="61">
        <f>'10_LimitLP'!G71</f>
        <v/>
      </c>
      <c r="C106" s="45">
        <f>'10_LimitLP'!R71</f>
        <v/>
      </c>
      <c r="D106" s="44">
        <f>'10_LimitLP'!F71</f>
        <v/>
      </c>
      <c r="E106" s="44">
        <f>IF('10_LimitLP'!P71="","",'10_LimitLP'!P71)</f>
        <v/>
      </c>
      <c r="F106" s="44">
        <f>IF(E106="","",D106-E106)</f>
        <v/>
      </c>
      <c r="G106" s="7">
        <f>IF(OR(F106="",ABS(F106)&lt;=1),"",IF(C106&gt;1,"동점 그룹 안 배분 차이(정상)","확인 필요"))</f>
        <v/>
      </c>
    </row>
    <row r="107">
      <c r="A107" s="7">
        <f>'10_LimitLP'!A72</f>
        <v/>
      </c>
      <c r="B107" s="61">
        <f>'10_LimitLP'!G72</f>
        <v/>
      </c>
      <c r="C107" s="45">
        <f>'10_LimitLP'!R72</f>
        <v/>
      </c>
      <c r="D107" s="44">
        <f>'10_LimitLP'!F72</f>
        <v/>
      </c>
      <c r="E107" s="44">
        <f>IF('10_LimitLP'!P72="","",'10_LimitLP'!P72)</f>
        <v/>
      </c>
      <c r="F107" s="44">
        <f>IF(E107="","",D107-E107)</f>
        <v/>
      </c>
      <c r="G107" s="7">
        <f>IF(OR(F107="",ABS(F107)&lt;=1),"",IF(C107&gt;1,"동점 그룹 안 배분 차이(정상)","확인 필요"))</f>
        <v/>
      </c>
    </row>
    <row r="108">
      <c r="A108" s="7">
        <f>'10_LimitLP'!A73</f>
        <v/>
      </c>
      <c r="B108" s="61">
        <f>'10_LimitLP'!G73</f>
        <v/>
      </c>
      <c r="C108" s="45">
        <f>'10_LimitLP'!R73</f>
        <v/>
      </c>
      <c r="D108" s="44">
        <f>'10_LimitLP'!F73</f>
        <v/>
      </c>
      <c r="E108" s="44">
        <f>IF('10_LimitLP'!P73="","",'10_LimitLP'!P73)</f>
        <v/>
      </c>
      <c r="F108" s="44">
        <f>IF(E108="","",D108-E108)</f>
        <v/>
      </c>
      <c r="G108" s="7">
        <f>IF(OR(F108="",ABS(F108)&lt;=1),"",IF(C108&gt;1,"동점 그룹 안 배분 차이(정상)","확인 필요"))</f>
        <v/>
      </c>
    </row>
    <row r="109">
      <c r="A109" s="7">
        <f>'10_LimitLP'!A74</f>
        <v/>
      </c>
      <c r="B109" s="61">
        <f>'10_LimitLP'!G74</f>
        <v/>
      </c>
      <c r="C109" s="45">
        <f>'10_LimitLP'!R74</f>
        <v/>
      </c>
      <c r="D109" s="44">
        <f>'10_LimitLP'!F74</f>
        <v/>
      </c>
      <c r="E109" s="44">
        <f>IF('10_LimitLP'!P74="","",'10_LimitLP'!P74)</f>
        <v/>
      </c>
      <c r="F109" s="44">
        <f>IF(E109="","",D109-E109)</f>
        <v/>
      </c>
      <c r="G109" s="7">
        <f>IF(OR(F109="",ABS(F109)&lt;=1),"",IF(C109&gt;1,"동점 그룹 안 배분 차이(정상)","확인 필요"))</f>
        <v/>
      </c>
    </row>
    <row r="110">
      <c r="A110" s="7">
        <f>'10_LimitLP'!A75</f>
        <v/>
      </c>
      <c r="B110" s="61">
        <f>'10_LimitLP'!G75</f>
        <v/>
      </c>
      <c r="C110" s="45">
        <f>'10_LimitLP'!R75</f>
        <v/>
      </c>
      <c r="D110" s="44">
        <f>'10_LimitLP'!F75</f>
        <v/>
      </c>
      <c r="E110" s="44">
        <f>IF('10_LimitLP'!P75="","",'10_LimitLP'!P75)</f>
        <v/>
      </c>
      <c r="F110" s="44">
        <f>IF(E110="","",D110-E110)</f>
        <v/>
      </c>
      <c r="G110" s="7">
        <f>IF(OR(F110="",ABS(F110)&lt;=1),"",IF(C110&gt;1,"동점 그룹 안 배분 차이(정상)","확인 필요"))</f>
        <v/>
      </c>
    </row>
    <row r="111">
      <c r="A111" s="7">
        <f>'10_LimitLP'!A76</f>
        <v/>
      </c>
      <c r="B111" s="61">
        <f>'10_LimitLP'!G76</f>
        <v/>
      </c>
      <c r="C111" s="45">
        <f>'10_LimitLP'!R76</f>
        <v/>
      </c>
      <c r="D111" s="44">
        <f>'10_LimitLP'!F76</f>
        <v/>
      </c>
      <c r="E111" s="44">
        <f>IF('10_LimitLP'!P76="","",'10_LimitLP'!P76)</f>
        <v/>
      </c>
      <c r="F111" s="44">
        <f>IF(E111="","",D111-E111)</f>
        <v/>
      </c>
      <c r="G111" s="7">
        <f>IF(OR(F111="",ABS(F111)&lt;=1),"",IF(C111&gt;1,"동점 그룹 안 배분 차이(정상)","확인 필요"))</f>
        <v/>
      </c>
    </row>
    <row r="112">
      <c r="A112" s="7">
        <f>'10_LimitLP'!A77</f>
        <v/>
      </c>
      <c r="B112" s="61">
        <f>'10_LimitLP'!G77</f>
        <v/>
      </c>
      <c r="C112" s="45">
        <f>'10_LimitLP'!R77</f>
        <v/>
      </c>
      <c r="D112" s="44">
        <f>'10_LimitLP'!F77</f>
        <v/>
      </c>
      <c r="E112" s="44">
        <f>IF('10_LimitLP'!P77="","",'10_LimitLP'!P77)</f>
        <v/>
      </c>
      <c r="F112" s="44">
        <f>IF(E112="","",D112-E112)</f>
        <v/>
      </c>
      <c r="G112" s="7">
        <f>IF(OR(F112="",ABS(F112)&lt;=1),"",IF(C112&gt;1,"동점 그룹 안 배분 차이(정상)","확인 필요"))</f>
        <v/>
      </c>
    </row>
    <row r="113">
      <c r="A113" s="7">
        <f>'10_LimitLP'!A78</f>
        <v/>
      </c>
      <c r="B113" s="61">
        <f>'10_LimitLP'!G78</f>
        <v/>
      </c>
      <c r="C113" s="45">
        <f>'10_LimitLP'!R78</f>
        <v/>
      </c>
      <c r="D113" s="44">
        <f>'10_LimitLP'!F78</f>
        <v/>
      </c>
      <c r="E113" s="44">
        <f>IF('10_LimitLP'!P78="","",'10_LimitLP'!P78)</f>
        <v/>
      </c>
      <c r="F113" s="44">
        <f>IF(E113="","",D113-E113)</f>
        <v/>
      </c>
      <c r="G113" s="7">
        <f>IF(OR(F113="",ABS(F113)&lt;=1),"",IF(C113&gt;1,"동점 그룹 안 배분 차이(정상)","확인 필요"))</f>
        <v/>
      </c>
    </row>
    <row r="114">
      <c r="A114" s="7">
        <f>'10_LimitLP'!A79</f>
        <v/>
      </c>
      <c r="B114" s="61">
        <f>'10_LimitLP'!G79</f>
        <v/>
      </c>
      <c r="C114" s="45">
        <f>'10_LimitLP'!R79</f>
        <v/>
      </c>
      <c r="D114" s="44">
        <f>'10_LimitLP'!F79</f>
        <v/>
      </c>
      <c r="E114" s="44">
        <f>IF('10_LimitLP'!P79="","",'10_LimitLP'!P79)</f>
        <v/>
      </c>
      <c r="F114" s="44">
        <f>IF(E114="","",D114-E114)</f>
        <v/>
      </c>
      <c r="G114" s="7">
        <f>IF(OR(F114="",ABS(F114)&lt;=1),"",IF(C114&gt;1,"동점 그룹 안 배분 차이(정상)","확인 필요"))</f>
        <v/>
      </c>
    </row>
    <row r="115">
      <c r="A115" s="7">
        <f>'10_LimitLP'!A80</f>
        <v/>
      </c>
      <c r="B115" s="61">
        <f>'10_LimitLP'!G80</f>
        <v/>
      </c>
      <c r="C115" s="45">
        <f>'10_LimitLP'!R80</f>
        <v/>
      </c>
      <c r="D115" s="44">
        <f>'10_LimitLP'!F80</f>
        <v/>
      </c>
      <c r="E115" s="44">
        <f>IF('10_LimitLP'!P80="","",'10_LimitLP'!P80)</f>
        <v/>
      </c>
      <c r="F115" s="44">
        <f>IF(E115="","",D115-E115)</f>
        <v/>
      </c>
      <c r="G115" s="7">
        <f>IF(OR(F115="",ABS(F115)&lt;=1),"",IF(C115&gt;1,"동점 그룹 안 배분 차이(정상)","확인 필요"))</f>
        <v/>
      </c>
    </row>
    <row r="116">
      <c r="A116" s="7">
        <f>'10_LimitLP'!A81</f>
        <v/>
      </c>
      <c r="B116" s="61">
        <f>'10_LimitLP'!G81</f>
        <v/>
      </c>
      <c r="C116" s="45">
        <f>'10_LimitLP'!R81</f>
        <v/>
      </c>
      <c r="D116" s="44">
        <f>'10_LimitLP'!F81</f>
        <v/>
      </c>
      <c r="E116" s="44">
        <f>IF('10_LimitLP'!P81="","",'10_LimitLP'!P81)</f>
        <v/>
      </c>
      <c r="F116" s="44">
        <f>IF(E116="","",D116-E116)</f>
        <v/>
      </c>
      <c r="G116" s="7">
        <f>IF(OR(F116="",ABS(F116)&lt;=1),"",IF(C116&gt;1,"동점 그룹 안 배분 차이(정상)","확인 필요"))</f>
        <v/>
      </c>
    </row>
    <row r="117">
      <c r="A117" s="7">
        <f>'10_LimitLP'!A82</f>
        <v/>
      </c>
      <c r="B117" s="61">
        <f>'10_LimitLP'!G82</f>
        <v/>
      </c>
      <c r="C117" s="45">
        <f>'10_LimitLP'!R82</f>
        <v/>
      </c>
      <c r="D117" s="44">
        <f>'10_LimitLP'!F82</f>
        <v/>
      </c>
      <c r="E117" s="44">
        <f>IF('10_LimitLP'!P82="","",'10_LimitLP'!P82)</f>
        <v/>
      </c>
      <c r="F117" s="44">
        <f>IF(E117="","",D117-E117)</f>
        <v/>
      </c>
      <c r="G117" s="7">
        <f>IF(OR(F117="",ABS(F117)&lt;=1),"",IF(C117&gt;1,"동점 그룹 안 배분 차이(정상)","확인 필요"))</f>
        <v/>
      </c>
    </row>
    <row r="118">
      <c r="A118" s="7">
        <f>'10_LimitLP'!A83</f>
        <v/>
      </c>
      <c r="B118" s="61">
        <f>'10_LimitLP'!G83</f>
        <v/>
      </c>
      <c r="C118" s="45">
        <f>'10_LimitLP'!R83</f>
        <v/>
      </c>
      <c r="D118" s="44">
        <f>'10_LimitLP'!F83</f>
        <v/>
      </c>
      <c r="E118" s="44">
        <f>IF('10_LimitLP'!P83="","",'10_LimitLP'!P83)</f>
        <v/>
      </c>
      <c r="F118" s="44">
        <f>IF(E118="","",D118-E118)</f>
        <v/>
      </c>
      <c r="G118" s="7">
        <f>IF(OR(F118="",ABS(F118)&lt;=1),"",IF(C118&gt;1,"동점 그룹 안 배분 차이(정상)","확인 필요"))</f>
        <v/>
      </c>
    </row>
    <row r="119">
      <c r="A119" s="7">
        <f>'10_LimitLP'!A84</f>
        <v/>
      </c>
      <c r="B119" s="61">
        <f>'10_LimitLP'!G84</f>
        <v/>
      </c>
      <c r="C119" s="45">
        <f>'10_LimitLP'!R84</f>
        <v/>
      </c>
      <c r="D119" s="44">
        <f>'10_LimitLP'!F84</f>
        <v/>
      </c>
      <c r="E119" s="44">
        <f>IF('10_LimitLP'!P84="","",'10_LimitLP'!P84)</f>
        <v/>
      </c>
      <c r="F119" s="44">
        <f>IF(E119="","",D119-E119)</f>
        <v/>
      </c>
      <c r="G119" s="7">
        <f>IF(OR(F119="",ABS(F119)&lt;=1),"",IF(C119&gt;1,"동점 그룹 안 배분 차이(정상)","확인 필요"))</f>
        <v/>
      </c>
    </row>
    <row r="120">
      <c r="A120" s="7">
        <f>'10_LimitLP'!A85</f>
        <v/>
      </c>
      <c r="B120" s="61">
        <f>'10_LimitLP'!G85</f>
        <v/>
      </c>
      <c r="C120" s="45">
        <f>'10_LimitLP'!R85</f>
        <v/>
      </c>
      <c r="D120" s="44">
        <f>'10_LimitLP'!F85</f>
        <v/>
      </c>
      <c r="E120" s="44">
        <f>IF('10_LimitLP'!P85="","",'10_LimitLP'!P85)</f>
        <v/>
      </c>
      <c r="F120" s="44">
        <f>IF(E120="","",D120-E120)</f>
        <v/>
      </c>
      <c r="G120" s="7">
        <f>IF(OR(F120="",ABS(F120)&lt;=1),"",IF(C120&gt;1,"동점 그룹 안 배분 차이(정상)","확인 필요"))</f>
        <v/>
      </c>
    </row>
    <row r="121">
      <c r="A121" s="7">
        <f>'10_LimitLP'!A86</f>
        <v/>
      </c>
      <c r="B121" s="61">
        <f>'10_LimitLP'!G86</f>
        <v/>
      </c>
      <c r="C121" s="45">
        <f>'10_LimitLP'!R86</f>
        <v/>
      </c>
      <c r="D121" s="44">
        <f>'10_LimitLP'!F86</f>
        <v/>
      </c>
      <c r="E121" s="44">
        <f>IF('10_LimitLP'!P86="","",'10_LimitLP'!P86)</f>
        <v/>
      </c>
      <c r="F121" s="44">
        <f>IF(E121="","",D121-E121)</f>
        <v/>
      </c>
      <c r="G121" s="7">
        <f>IF(OR(F121="",ABS(F121)&lt;=1),"",IF(C121&gt;1,"동점 그룹 안 배분 차이(정상)","확인 필요"))</f>
        <v/>
      </c>
    </row>
    <row r="122">
      <c r="A122" s="7">
        <f>'10_LimitLP'!A87</f>
        <v/>
      </c>
      <c r="B122" s="61">
        <f>'10_LimitLP'!G87</f>
        <v/>
      </c>
      <c r="C122" s="45">
        <f>'10_LimitLP'!R87</f>
        <v/>
      </c>
      <c r="D122" s="44">
        <f>'10_LimitLP'!F87</f>
        <v/>
      </c>
      <c r="E122" s="44">
        <f>IF('10_LimitLP'!P87="","",'10_LimitLP'!P87)</f>
        <v/>
      </c>
      <c r="F122" s="44">
        <f>IF(E122="","",D122-E122)</f>
        <v/>
      </c>
      <c r="G122" s="7">
        <f>IF(OR(F122="",ABS(F122)&lt;=1),"",IF(C122&gt;1,"동점 그룹 안 배분 차이(정상)","확인 필요"))</f>
        <v/>
      </c>
    </row>
    <row r="123">
      <c r="A123" s="7">
        <f>'10_LimitLP'!A88</f>
        <v/>
      </c>
      <c r="B123" s="61">
        <f>'10_LimitLP'!G88</f>
        <v/>
      </c>
      <c r="C123" s="45">
        <f>'10_LimitLP'!R88</f>
        <v/>
      </c>
      <c r="D123" s="44">
        <f>'10_LimitLP'!F88</f>
        <v/>
      </c>
      <c r="E123" s="44">
        <f>IF('10_LimitLP'!P88="","",'10_LimitLP'!P88)</f>
        <v/>
      </c>
      <c r="F123" s="44">
        <f>IF(E123="","",D123-E123)</f>
        <v/>
      </c>
      <c r="G123" s="7">
        <f>IF(OR(F123="",ABS(F123)&lt;=1),"",IF(C123&gt;1,"동점 그룹 안 배분 차이(정상)","확인 필요"))</f>
        <v/>
      </c>
    </row>
    <row r="124">
      <c r="A124" s="7">
        <f>'10_LimitLP'!A89</f>
        <v/>
      </c>
      <c r="B124" s="61">
        <f>'10_LimitLP'!G89</f>
        <v/>
      </c>
      <c r="C124" s="45">
        <f>'10_LimitLP'!R89</f>
        <v/>
      </c>
      <c r="D124" s="44">
        <f>'10_LimitLP'!F89</f>
        <v/>
      </c>
      <c r="E124" s="44">
        <f>IF('10_LimitLP'!P89="","",'10_LimitLP'!P89)</f>
        <v/>
      </c>
      <c r="F124" s="44">
        <f>IF(E124="","",D124-E124)</f>
        <v/>
      </c>
      <c r="G124" s="7">
        <f>IF(OR(F124="",ABS(F124)&lt;=1),"",IF(C124&gt;1,"동점 그룹 안 배분 차이(정상)","확인 필요"))</f>
        <v/>
      </c>
    </row>
    <row r="125">
      <c r="A125" s="7">
        <f>'10_LimitLP'!A90</f>
        <v/>
      </c>
      <c r="B125" s="61">
        <f>'10_LimitLP'!G90</f>
        <v/>
      </c>
      <c r="C125" s="45">
        <f>'10_LimitLP'!R90</f>
        <v/>
      </c>
      <c r="D125" s="44">
        <f>'10_LimitLP'!F90</f>
        <v/>
      </c>
      <c r="E125" s="44">
        <f>IF('10_LimitLP'!P90="","",'10_LimitLP'!P90)</f>
        <v/>
      </c>
      <c r="F125" s="44">
        <f>IF(E125="","",D125-E125)</f>
        <v/>
      </c>
      <c r="G125" s="7">
        <f>IF(OR(F125="",ABS(F125)&lt;=1),"",IF(C125&gt;1,"동점 그룹 안 배분 차이(정상)","확인 필요"))</f>
        <v/>
      </c>
    </row>
    <row r="126">
      <c r="A126" s="7">
        <f>'10_LimitLP'!A91</f>
        <v/>
      </c>
      <c r="B126" s="61">
        <f>'10_LimitLP'!G91</f>
        <v/>
      </c>
      <c r="C126" s="45">
        <f>'10_LimitLP'!R91</f>
        <v/>
      </c>
      <c r="D126" s="44">
        <f>'10_LimitLP'!F91</f>
        <v/>
      </c>
      <c r="E126" s="44">
        <f>IF('10_LimitLP'!P91="","",'10_LimitLP'!P91)</f>
        <v/>
      </c>
      <c r="F126" s="44">
        <f>IF(E126="","",D126-E126)</f>
        <v/>
      </c>
      <c r="G126" s="7">
        <f>IF(OR(F126="",ABS(F126)&lt;=1),"",IF(C126&gt;1,"동점 그룹 안 배분 차이(정상)","확인 필요"))</f>
        <v/>
      </c>
    </row>
    <row r="127">
      <c r="A127" s="7">
        <f>'10_LimitLP'!A92</f>
        <v/>
      </c>
      <c r="B127" s="61">
        <f>'10_LimitLP'!G92</f>
        <v/>
      </c>
      <c r="C127" s="45">
        <f>'10_LimitLP'!R92</f>
        <v/>
      </c>
      <c r="D127" s="44">
        <f>'10_LimitLP'!F92</f>
        <v/>
      </c>
      <c r="E127" s="44">
        <f>IF('10_LimitLP'!P92="","",'10_LimitLP'!P92)</f>
        <v/>
      </c>
      <c r="F127" s="44">
        <f>IF(E127="","",D127-E127)</f>
        <v/>
      </c>
      <c r="G127" s="7">
        <f>IF(OR(F127="",ABS(F127)&lt;=1),"",IF(C127&gt;1,"동점 그룹 안 배분 차이(정상)","확인 필요"))</f>
        <v/>
      </c>
    </row>
    <row r="128">
      <c r="A128" s="7">
        <f>'10_LimitLP'!A93</f>
        <v/>
      </c>
      <c r="B128" s="61">
        <f>'10_LimitLP'!G93</f>
        <v/>
      </c>
      <c r="C128" s="45">
        <f>'10_LimitLP'!R93</f>
        <v/>
      </c>
      <c r="D128" s="44">
        <f>'10_LimitLP'!F93</f>
        <v/>
      </c>
      <c r="E128" s="44">
        <f>IF('10_LimitLP'!P93="","",'10_LimitLP'!P93)</f>
        <v/>
      </c>
      <c r="F128" s="44">
        <f>IF(E128="","",D128-E128)</f>
        <v/>
      </c>
      <c r="G128" s="7">
        <f>IF(OR(F128="",ABS(F128)&lt;=1),"",IF(C128&gt;1,"동점 그룹 안 배분 차이(정상)","확인 필요"))</f>
        <v/>
      </c>
    </row>
    <row r="129">
      <c r="A129" s="7">
        <f>'10_LimitLP'!A94</f>
        <v/>
      </c>
      <c r="B129" s="61">
        <f>'10_LimitLP'!G94</f>
        <v/>
      </c>
      <c r="C129" s="45">
        <f>'10_LimitLP'!R94</f>
        <v/>
      </c>
      <c r="D129" s="44">
        <f>'10_LimitLP'!F94</f>
        <v/>
      </c>
      <c r="E129" s="44">
        <f>IF('10_LimitLP'!P94="","",'10_LimitLP'!P94)</f>
        <v/>
      </c>
      <c r="F129" s="44">
        <f>IF(E129="","",D129-E129)</f>
        <v/>
      </c>
      <c r="G129" s="7">
        <f>IF(OR(F129="",ABS(F129)&lt;=1),"",IF(C129&gt;1,"동점 그룹 안 배분 차이(정상)","확인 필요"))</f>
        <v/>
      </c>
    </row>
    <row r="130">
      <c r="A130" s="7">
        <f>'10_LimitLP'!A95</f>
        <v/>
      </c>
      <c r="B130" s="61">
        <f>'10_LimitLP'!G95</f>
        <v/>
      </c>
      <c r="C130" s="45">
        <f>'10_LimitLP'!R95</f>
        <v/>
      </c>
      <c r="D130" s="44">
        <f>'10_LimitLP'!F95</f>
        <v/>
      </c>
      <c r="E130" s="44">
        <f>IF('10_LimitLP'!P95="","",'10_LimitLP'!P95)</f>
        <v/>
      </c>
      <c r="F130" s="44">
        <f>IF(E130="","",D130-E130)</f>
        <v/>
      </c>
      <c r="G130" s="7">
        <f>IF(OR(F130="",ABS(F130)&lt;=1),"",IF(C130&gt;1,"동점 그룹 안 배분 차이(정상)","확인 필요"))</f>
        <v/>
      </c>
    </row>
    <row r="131">
      <c r="A131" s="7">
        <f>'10_LimitLP'!A96</f>
        <v/>
      </c>
      <c r="B131" s="61">
        <f>'10_LimitLP'!G96</f>
        <v/>
      </c>
      <c r="C131" s="45">
        <f>'10_LimitLP'!R96</f>
        <v/>
      </c>
      <c r="D131" s="44">
        <f>'10_LimitLP'!F96</f>
        <v/>
      </c>
      <c r="E131" s="44">
        <f>IF('10_LimitLP'!P96="","",'10_LimitLP'!P96)</f>
        <v/>
      </c>
      <c r="F131" s="44">
        <f>IF(E131="","",D131-E131)</f>
        <v/>
      </c>
      <c r="G131" s="7">
        <f>IF(OR(F131="",ABS(F131)&lt;=1),"",IF(C131&gt;1,"동점 그룹 안 배분 차이(정상)","확인 필요"))</f>
        <v/>
      </c>
    </row>
    <row r="132">
      <c r="A132" s="7">
        <f>'10_LimitLP'!A97</f>
        <v/>
      </c>
      <c r="B132" s="61">
        <f>'10_LimitLP'!G97</f>
        <v/>
      </c>
      <c r="C132" s="45">
        <f>'10_LimitLP'!R97</f>
        <v/>
      </c>
      <c r="D132" s="44">
        <f>'10_LimitLP'!F97</f>
        <v/>
      </c>
      <c r="E132" s="44">
        <f>IF('10_LimitLP'!P97="","",'10_LimitLP'!P97)</f>
        <v/>
      </c>
      <c r="F132" s="44">
        <f>IF(E132="","",D132-E132)</f>
        <v/>
      </c>
      <c r="G132" s="7">
        <f>IF(OR(F132="",ABS(F132)&lt;=1),"",IF(C132&gt;1,"동점 그룹 안 배분 차이(정상)","확인 필요"))</f>
        <v/>
      </c>
    </row>
    <row r="133">
      <c r="A133" s="7">
        <f>'10_LimitLP'!A98</f>
        <v/>
      </c>
      <c r="B133" s="61">
        <f>'10_LimitLP'!G98</f>
        <v/>
      </c>
      <c r="C133" s="45">
        <f>'10_LimitLP'!R98</f>
        <v/>
      </c>
      <c r="D133" s="44">
        <f>'10_LimitLP'!F98</f>
        <v/>
      </c>
      <c r="E133" s="44">
        <f>IF('10_LimitLP'!P98="","",'10_LimitLP'!P98)</f>
        <v/>
      </c>
      <c r="F133" s="44">
        <f>IF(E133="","",D133-E133)</f>
        <v/>
      </c>
      <c r="G133" s="7">
        <f>IF(OR(F133="",ABS(F133)&lt;=1),"",IF(C133&gt;1,"동점 그룹 안 배분 차이(정상)","확인 필요"))</f>
        <v/>
      </c>
    </row>
    <row r="134">
      <c r="A134" s="7">
        <f>'10_LimitLP'!A99</f>
        <v/>
      </c>
      <c r="B134" s="61">
        <f>'10_LimitLP'!G99</f>
        <v/>
      </c>
      <c r="C134" s="45">
        <f>'10_LimitLP'!R99</f>
        <v/>
      </c>
      <c r="D134" s="44">
        <f>'10_LimitLP'!F99</f>
        <v/>
      </c>
      <c r="E134" s="44">
        <f>IF('10_LimitLP'!P99="","",'10_LimitLP'!P99)</f>
        <v/>
      </c>
      <c r="F134" s="44">
        <f>IF(E134="","",D134-E134)</f>
        <v/>
      </c>
      <c r="G134" s="7">
        <f>IF(OR(F134="",ABS(F134)&lt;=1),"",IF(C134&gt;1,"동점 그룹 안 배분 차이(정상)","확인 필요"))</f>
        <v/>
      </c>
    </row>
    <row r="135">
      <c r="A135" s="7">
        <f>'10_LimitLP'!A100</f>
        <v/>
      </c>
      <c r="B135" s="61">
        <f>'10_LimitLP'!G100</f>
        <v/>
      </c>
      <c r="C135" s="45">
        <f>'10_LimitLP'!R100</f>
        <v/>
      </c>
      <c r="D135" s="44">
        <f>'10_LimitLP'!F100</f>
        <v/>
      </c>
      <c r="E135" s="44">
        <f>IF('10_LimitLP'!P100="","",'10_LimitLP'!P100)</f>
        <v/>
      </c>
      <c r="F135" s="44">
        <f>IF(E135="","",D135-E135)</f>
        <v/>
      </c>
      <c r="G135" s="7">
        <f>IF(OR(F135="",ABS(F135)&lt;=1),"",IF(C135&gt;1,"동점 그룹 안 배분 차이(정상)","확인 필요"))</f>
        <v/>
      </c>
    </row>
    <row r="136">
      <c r="A136" s="7">
        <f>'10_LimitLP'!A101</f>
        <v/>
      </c>
      <c r="B136" s="61">
        <f>'10_LimitLP'!G101</f>
        <v/>
      </c>
      <c r="C136" s="45">
        <f>'10_LimitLP'!R101</f>
        <v/>
      </c>
      <c r="D136" s="44">
        <f>'10_LimitLP'!F101</f>
        <v/>
      </c>
      <c r="E136" s="44">
        <f>IF('10_LimitLP'!P101="","",'10_LimitLP'!P101)</f>
        <v/>
      </c>
      <c r="F136" s="44">
        <f>IF(E136="","",D136-E136)</f>
        <v/>
      </c>
      <c r="G136" s="7">
        <f>IF(OR(F136="",ABS(F136)&lt;=1),"",IF(C136&gt;1,"동점 그룹 안 배분 차이(정상)","확인 필요"))</f>
        <v/>
      </c>
    </row>
    <row r="137">
      <c r="A137" s="7">
        <f>'10_LimitLP'!A102</f>
        <v/>
      </c>
      <c r="B137" s="61">
        <f>'10_LimitLP'!G102</f>
        <v/>
      </c>
      <c r="C137" s="45">
        <f>'10_LimitLP'!R102</f>
        <v/>
      </c>
      <c r="D137" s="44">
        <f>'10_LimitLP'!F102</f>
        <v/>
      </c>
      <c r="E137" s="44">
        <f>IF('10_LimitLP'!P102="","",'10_LimitLP'!P102)</f>
        <v/>
      </c>
      <c r="F137" s="44">
        <f>IF(E137="","",D137-E137)</f>
        <v/>
      </c>
      <c r="G137" s="7">
        <f>IF(OR(F137="",ABS(F137)&lt;=1),"",IF(C137&gt;1,"동점 그룹 안 배분 차이(정상)","확인 필요"))</f>
        <v/>
      </c>
    </row>
    <row r="138">
      <c r="A138" s="7">
        <f>'10_LimitLP'!A103</f>
        <v/>
      </c>
      <c r="B138" s="61">
        <f>'10_LimitLP'!G103</f>
        <v/>
      </c>
      <c r="C138" s="45">
        <f>'10_LimitLP'!R103</f>
        <v/>
      </c>
      <c r="D138" s="44">
        <f>'10_LimitLP'!F103</f>
        <v/>
      </c>
      <c r="E138" s="44">
        <f>IF('10_LimitLP'!P103="","",'10_LimitLP'!P103)</f>
        <v/>
      </c>
      <c r="F138" s="44">
        <f>IF(E138="","",D138-E138)</f>
        <v/>
      </c>
      <c r="G138" s="7">
        <f>IF(OR(F138="",ABS(F138)&lt;=1),"",IF(C138&gt;1,"동점 그룹 안 배분 차이(정상)","확인 필요"))</f>
        <v/>
      </c>
    </row>
    <row r="139">
      <c r="A139" s="7">
        <f>'10_LimitLP'!A104</f>
        <v/>
      </c>
      <c r="B139" s="61">
        <f>'10_LimitLP'!G104</f>
        <v/>
      </c>
      <c r="C139" s="45">
        <f>'10_LimitLP'!R104</f>
        <v/>
      </c>
      <c r="D139" s="44">
        <f>'10_LimitLP'!F104</f>
        <v/>
      </c>
      <c r="E139" s="44">
        <f>IF('10_LimitLP'!P104="","",'10_LimitLP'!P104)</f>
        <v/>
      </c>
      <c r="F139" s="44">
        <f>IF(E139="","",D139-E139)</f>
        <v/>
      </c>
      <c r="G139" s="7">
        <f>IF(OR(F139="",ABS(F139)&lt;=1),"",IF(C139&gt;1,"동점 그룹 안 배분 차이(정상)","확인 필요"))</f>
        <v/>
      </c>
    </row>
    <row r="140">
      <c r="A140" s="7">
        <f>'10_LimitLP'!A105</f>
        <v/>
      </c>
      <c r="B140" s="61">
        <f>'10_LimitLP'!G105</f>
        <v/>
      </c>
      <c r="C140" s="45">
        <f>'10_LimitLP'!R105</f>
        <v/>
      </c>
      <c r="D140" s="44">
        <f>'10_LimitLP'!F105</f>
        <v/>
      </c>
      <c r="E140" s="44">
        <f>IF('10_LimitLP'!P105="","",'10_LimitLP'!P105)</f>
        <v/>
      </c>
      <c r="F140" s="44">
        <f>IF(E140="","",D140-E140)</f>
        <v/>
      </c>
      <c r="G140" s="7">
        <f>IF(OR(F140="",ABS(F140)&lt;=1),"",IF(C140&gt;1,"동점 그룹 안 배분 차이(정상)","확인 필요"))</f>
        <v/>
      </c>
    </row>
    <row r="141">
      <c r="A141" s="7">
        <f>'10_LimitLP'!A106</f>
        <v/>
      </c>
      <c r="B141" s="61">
        <f>'10_LimitLP'!G106</f>
        <v/>
      </c>
      <c r="C141" s="45">
        <f>'10_LimitLP'!R106</f>
        <v/>
      </c>
      <c r="D141" s="44">
        <f>'10_LimitLP'!F106</f>
        <v/>
      </c>
      <c r="E141" s="44">
        <f>IF('10_LimitLP'!P106="","",'10_LimitLP'!P106)</f>
        <v/>
      </c>
      <c r="F141" s="44">
        <f>IF(E141="","",D141-E141)</f>
        <v/>
      </c>
      <c r="G141" s="7">
        <f>IF(OR(F141="",ABS(F141)&lt;=1),"",IF(C141&gt;1,"동점 그룹 안 배분 차이(정상)","확인 필요"))</f>
        <v/>
      </c>
    </row>
    <row r="142">
      <c r="A142" s="7">
        <f>'10_LimitLP'!A107</f>
        <v/>
      </c>
      <c r="B142" s="61">
        <f>'10_LimitLP'!G107</f>
        <v/>
      </c>
      <c r="C142" s="45">
        <f>'10_LimitLP'!R107</f>
        <v/>
      </c>
      <c r="D142" s="44">
        <f>'10_LimitLP'!F107</f>
        <v/>
      </c>
      <c r="E142" s="44">
        <f>IF('10_LimitLP'!P107="","",'10_LimitLP'!P107)</f>
        <v/>
      </c>
      <c r="F142" s="44">
        <f>IF(E142="","",D142-E142)</f>
        <v/>
      </c>
      <c r="G142" s="7">
        <f>IF(OR(F142="",ABS(F142)&lt;=1),"",IF(C142&gt;1,"동점 그룹 안 배분 차이(정상)","확인 필요"))</f>
        <v/>
      </c>
    </row>
    <row r="143">
      <c r="A143" s="7">
        <f>'10_LimitLP'!A108</f>
        <v/>
      </c>
      <c r="B143" s="61">
        <f>'10_LimitLP'!G108</f>
        <v/>
      </c>
      <c r="C143" s="45">
        <f>'10_LimitLP'!R108</f>
        <v/>
      </c>
      <c r="D143" s="44">
        <f>'10_LimitLP'!F108</f>
        <v/>
      </c>
      <c r="E143" s="44">
        <f>IF('10_LimitLP'!P108="","",'10_LimitLP'!P108)</f>
        <v/>
      </c>
      <c r="F143" s="44">
        <f>IF(E143="","",D143-E143)</f>
        <v/>
      </c>
      <c r="G143" s="7">
        <f>IF(OR(F143="",ABS(F143)&lt;=1),"",IF(C143&gt;1,"동점 그룹 안 배분 차이(정상)","확인 필요"))</f>
        <v/>
      </c>
    </row>
    <row r="144">
      <c r="A144" s="7">
        <f>'10_LimitLP'!A109</f>
        <v/>
      </c>
      <c r="B144" s="61">
        <f>'10_LimitLP'!G109</f>
        <v/>
      </c>
      <c r="C144" s="45">
        <f>'10_LimitLP'!R109</f>
        <v/>
      </c>
      <c r="D144" s="44">
        <f>'10_LimitLP'!F109</f>
        <v/>
      </c>
      <c r="E144" s="44">
        <f>IF('10_LimitLP'!P109="","",'10_LimitLP'!P109)</f>
        <v/>
      </c>
      <c r="F144" s="44">
        <f>IF(E144="","",D144-E144)</f>
        <v/>
      </c>
      <c r="G144" s="7">
        <f>IF(OR(F144="",ABS(F144)&lt;=1),"",IF(C144&gt;1,"동점 그룹 안 배분 차이(정상)","확인 필요"))</f>
        <v/>
      </c>
    </row>
    <row r="145">
      <c r="A145" s="7">
        <f>'10_LimitLP'!A110</f>
        <v/>
      </c>
      <c r="B145" s="61">
        <f>'10_LimitLP'!G110</f>
        <v/>
      </c>
      <c r="C145" s="45">
        <f>'10_LimitLP'!R110</f>
        <v/>
      </c>
      <c r="D145" s="44">
        <f>'10_LimitLP'!F110</f>
        <v/>
      </c>
      <c r="E145" s="44">
        <f>IF('10_LimitLP'!P110="","",'10_LimitLP'!P110)</f>
        <v/>
      </c>
      <c r="F145" s="44">
        <f>IF(E145="","",D145-E145)</f>
        <v/>
      </c>
      <c r="G145" s="7">
        <f>IF(OR(F145="",ABS(F145)&lt;=1),"",IF(C145&gt;1,"동점 그룹 안 배분 차이(정상)","확인 필요"))</f>
        <v/>
      </c>
    </row>
    <row r="146">
      <c r="A146" s="7">
        <f>'10_LimitLP'!A111</f>
        <v/>
      </c>
      <c r="B146" s="61">
        <f>'10_LimitLP'!G111</f>
        <v/>
      </c>
      <c r="C146" s="45">
        <f>'10_LimitLP'!R111</f>
        <v/>
      </c>
      <c r="D146" s="44">
        <f>'10_LimitLP'!F111</f>
        <v/>
      </c>
      <c r="E146" s="44">
        <f>IF('10_LimitLP'!P111="","",'10_LimitLP'!P111)</f>
        <v/>
      </c>
      <c r="F146" s="44">
        <f>IF(E146="","",D146-E146)</f>
        <v/>
      </c>
      <c r="G146" s="7">
        <f>IF(OR(F146="",ABS(F146)&lt;=1),"",IF(C146&gt;1,"동점 그룹 안 배분 차이(정상)","확인 필요"))</f>
        <v/>
      </c>
    </row>
    <row r="147">
      <c r="A147" s="7">
        <f>'10_LimitLP'!A112</f>
        <v/>
      </c>
      <c r="B147" s="61">
        <f>'10_LimitLP'!G112</f>
        <v/>
      </c>
      <c r="C147" s="45">
        <f>'10_LimitLP'!R112</f>
        <v/>
      </c>
      <c r="D147" s="44">
        <f>'10_LimitLP'!F112</f>
        <v/>
      </c>
      <c r="E147" s="44">
        <f>IF('10_LimitLP'!P112="","",'10_LimitLP'!P112)</f>
        <v/>
      </c>
      <c r="F147" s="44">
        <f>IF(E147="","",D147-E147)</f>
        <v/>
      </c>
      <c r="G147" s="7">
        <f>IF(OR(F147="",ABS(F147)&lt;=1),"",IF(C147&gt;1,"동점 그룹 안 배분 차이(정상)","확인 필요"))</f>
        <v/>
      </c>
    </row>
    <row r="148">
      <c r="A148" s="7">
        <f>'10_LimitLP'!A113</f>
        <v/>
      </c>
      <c r="B148" s="61">
        <f>'10_LimitLP'!G113</f>
        <v/>
      </c>
      <c r="C148" s="45">
        <f>'10_LimitLP'!R113</f>
        <v/>
      </c>
      <c r="D148" s="44">
        <f>'10_LimitLP'!F113</f>
        <v/>
      </c>
      <c r="E148" s="44">
        <f>IF('10_LimitLP'!P113="","",'10_LimitLP'!P113)</f>
        <v/>
      </c>
      <c r="F148" s="44">
        <f>IF(E148="","",D148-E148)</f>
        <v/>
      </c>
      <c r="G148" s="7">
        <f>IF(OR(F148="",ABS(F148)&lt;=1),"",IF(C148&gt;1,"동점 그룹 안 배분 차이(정상)","확인 필요"))</f>
        <v/>
      </c>
    </row>
    <row r="149">
      <c r="A149" s="7">
        <f>'10_LimitLP'!A114</f>
        <v/>
      </c>
      <c r="B149" s="61">
        <f>'10_LimitLP'!G114</f>
        <v/>
      </c>
      <c r="C149" s="45">
        <f>'10_LimitLP'!R114</f>
        <v/>
      </c>
      <c r="D149" s="44">
        <f>'10_LimitLP'!F114</f>
        <v/>
      </c>
      <c r="E149" s="44">
        <f>IF('10_LimitLP'!P114="","",'10_LimitLP'!P114)</f>
        <v/>
      </c>
      <c r="F149" s="44">
        <f>IF(E149="","",D149-E149)</f>
        <v/>
      </c>
      <c r="G149" s="7">
        <f>IF(OR(F149="",ABS(F149)&lt;=1),"",IF(C149&gt;1,"동점 그룹 안 배분 차이(정상)","확인 필요"))</f>
        <v/>
      </c>
    </row>
    <row r="150">
      <c r="A150" s="7">
        <f>'10_LimitLP'!A115</f>
        <v/>
      </c>
      <c r="B150" s="61">
        <f>'10_LimitLP'!G115</f>
        <v/>
      </c>
      <c r="C150" s="45">
        <f>'10_LimitLP'!R115</f>
        <v/>
      </c>
      <c r="D150" s="44">
        <f>'10_LimitLP'!F115</f>
        <v/>
      </c>
      <c r="E150" s="44">
        <f>IF('10_LimitLP'!P115="","",'10_LimitLP'!P115)</f>
        <v/>
      </c>
      <c r="F150" s="44">
        <f>IF(E150="","",D150-E150)</f>
        <v/>
      </c>
      <c r="G150" s="7">
        <f>IF(OR(F150="",ABS(F150)&lt;=1),"",IF(C150&gt;1,"동점 그룹 안 배분 차이(정상)","확인 필요"))</f>
        <v/>
      </c>
    </row>
    <row r="151">
      <c r="A151" s="7">
        <f>'10_LimitLP'!A116</f>
        <v/>
      </c>
      <c r="B151" s="61">
        <f>'10_LimitLP'!G116</f>
        <v/>
      </c>
      <c r="C151" s="45">
        <f>'10_LimitLP'!R116</f>
        <v/>
      </c>
      <c r="D151" s="44">
        <f>'10_LimitLP'!F116</f>
        <v/>
      </c>
      <c r="E151" s="44">
        <f>IF('10_LimitLP'!P116="","",'10_LimitLP'!P116)</f>
        <v/>
      </c>
      <c r="F151" s="44">
        <f>IF(E151="","",D151-E151)</f>
        <v/>
      </c>
      <c r="G151" s="7">
        <f>IF(OR(F151="",ABS(F151)&lt;=1),"",IF(C151&gt;1,"동점 그룹 안 배분 차이(정상)","확인 필요"))</f>
        <v/>
      </c>
    </row>
    <row r="152">
      <c r="A152" s="7">
        <f>'10_LimitLP'!A117</f>
        <v/>
      </c>
      <c r="B152" s="61">
        <f>'10_LimitLP'!G117</f>
        <v/>
      </c>
      <c r="C152" s="45">
        <f>'10_LimitLP'!R117</f>
        <v/>
      </c>
      <c r="D152" s="44">
        <f>'10_LimitLP'!F117</f>
        <v/>
      </c>
      <c r="E152" s="44">
        <f>IF('10_LimitLP'!P117="","",'10_LimitLP'!P117)</f>
        <v/>
      </c>
      <c r="F152" s="44">
        <f>IF(E152="","",D152-E152)</f>
        <v/>
      </c>
      <c r="G152" s="7">
        <f>IF(OR(F152="",ABS(F152)&lt;=1),"",IF(C152&gt;1,"동점 그룹 안 배분 차이(정상)","확인 필요"))</f>
        <v/>
      </c>
    </row>
    <row r="153">
      <c r="A153" s="7">
        <f>'10_LimitLP'!A118</f>
        <v/>
      </c>
      <c r="B153" s="61">
        <f>'10_LimitLP'!G118</f>
        <v/>
      </c>
      <c r="C153" s="45">
        <f>'10_LimitLP'!R118</f>
        <v/>
      </c>
      <c r="D153" s="44">
        <f>'10_LimitLP'!F118</f>
        <v/>
      </c>
      <c r="E153" s="44">
        <f>IF('10_LimitLP'!P118="","",'10_LimitLP'!P118)</f>
        <v/>
      </c>
      <c r="F153" s="44">
        <f>IF(E153="","",D153-E153)</f>
        <v/>
      </c>
      <c r="G153" s="7">
        <f>IF(OR(F153="",ABS(F153)&lt;=1),"",IF(C153&gt;1,"동점 그룹 안 배분 차이(정상)","확인 필요"))</f>
        <v/>
      </c>
    </row>
    <row r="154">
      <c r="A154" s="7">
        <f>'10_LimitLP'!A119</f>
        <v/>
      </c>
      <c r="B154" s="61">
        <f>'10_LimitLP'!G119</f>
        <v/>
      </c>
      <c r="C154" s="45">
        <f>'10_LimitLP'!R119</f>
        <v/>
      </c>
      <c r="D154" s="44">
        <f>'10_LimitLP'!F119</f>
        <v/>
      </c>
      <c r="E154" s="44">
        <f>IF('10_LimitLP'!P119="","",'10_LimitLP'!P119)</f>
        <v/>
      </c>
      <c r="F154" s="44">
        <f>IF(E154="","",D154-E154)</f>
        <v/>
      </c>
      <c r="G154" s="7">
        <f>IF(OR(F154="",ABS(F154)&lt;=1),"",IF(C154&gt;1,"동점 그룹 안 배분 차이(정상)","확인 필요"))</f>
        <v/>
      </c>
    </row>
    <row r="155">
      <c r="A155" s="7">
        <f>'10_LimitLP'!A120</f>
        <v/>
      </c>
      <c r="B155" s="61">
        <f>'10_LimitLP'!G120</f>
        <v/>
      </c>
      <c r="C155" s="45">
        <f>'10_LimitLP'!R120</f>
        <v/>
      </c>
      <c r="D155" s="44">
        <f>'10_LimitLP'!F120</f>
        <v/>
      </c>
      <c r="E155" s="44">
        <f>IF('10_LimitLP'!P120="","",'10_LimitLP'!P120)</f>
        <v/>
      </c>
      <c r="F155" s="44">
        <f>IF(E155="","",D155-E155)</f>
        <v/>
      </c>
      <c r="G155" s="7">
        <f>IF(OR(F155="",ABS(F155)&lt;=1),"",IF(C155&gt;1,"동점 그룹 안 배분 차이(정상)","확인 필요"))</f>
        <v/>
      </c>
    </row>
    <row r="156">
      <c r="A156" s="7">
        <f>'10_LimitLP'!A121</f>
        <v/>
      </c>
      <c r="B156" s="61">
        <f>'10_LimitLP'!G121</f>
        <v/>
      </c>
      <c r="C156" s="45">
        <f>'10_LimitLP'!R121</f>
        <v/>
      </c>
      <c r="D156" s="44">
        <f>'10_LimitLP'!F121</f>
        <v/>
      </c>
      <c r="E156" s="44">
        <f>IF('10_LimitLP'!P121="","",'10_LimitLP'!P121)</f>
        <v/>
      </c>
      <c r="F156" s="44">
        <f>IF(E156="","",D156-E156)</f>
        <v/>
      </c>
      <c r="G156" s="7">
        <f>IF(OR(F156="",ABS(F156)&lt;=1),"",IF(C156&gt;1,"동점 그룹 안 배분 차이(정상)","확인 필요"))</f>
        <v/>
      </c>
    </row>
    <row r="157">
      <c r="A157" s="7">
        <f>'10_LimitLP'!A122</f>
        <v/>
      </c>
      <c r="B157" s="61">
        <f>'10_LimitLP'!G122</f>
        <v/>
      </c>
      <c r="C157" s="45">
        <f>'10_LimitLP'!R122</f>
        <v/>
      </c>
      <c r="D157" s="44">
        <f>'10_LimitLP'!F122</f>
        <v/>
      </c>
      <c r="E157" s="44">
        <f>IF('10_LimitLP'!P122="","",'10_LimitLP'!P122)</f>
        <v/>
      </c>
      <c r="F157" s="44">
        <f>IF(E157="","",D157-E157)</f>
        <v/>
      </c>
      <c r="G157" s="7">
        <f>IF(OR(F157="",ABS(F157)&lt;=1),"",IF(C157&gt;1,"동점 그룹 안 배분 차이(정상)","확인 필요"))</f>
        <v/>
      </c>
    </row>
    <row r="158">
      <c r="A158" s="7">
        <f>'10_LimitLP'!A123</f>
        <v/>
      </c>
      <c r="B158" s="61">
        <f>'10_LimitLP'!G123</f>
        <v/>
      </c>
      <c r="C158" s="45">
        <f>'10_LimitLP'!R123</f>
        <v/>
      </c>
      <c r="D158" s="44">
        <f>'10_LimitLP'!F123</f>
        <v/>
      </c>
      <c r="E158" s="44">
        <f>IF('10_LimitLP'!P123="","",'10_LimitLP'!P123)</f>
        <v/>
      </c>
      <c r="F158" s="44">
        <f>IF(E158="","",D158-E158)</f>
        <v/>
      </c>
      <c r="G158" s="7">
        <f>IF(OR(F158="",ABS(F158)&lt;=1),"",IF(C158&gt;1,"동점 그룹 안 배분 차이(정상)","확인 필요"))</f>
        <v/>
      </c>
    </row>
    <row r="159">
      <c r="A159" s="7">
        <f>'10_LimitLP'!A124</f>
        <v/>
      </c>
      <c r="B159" s="61">
        <f>'10_LimitLP'!G124</f>
        <v/>
      </c>
      <c r="C159" s="45">
        <f>'10_LimitLP'!R124</f>
        <v/>
      </c>
      <c r="D159" s="44">
        <f>'10_LimitLP'!F124</f>
        <v/>
      </c>
      <c r="E159" s="44">
        <f>IF('10_LimitLP'!P124="","",'10_LimitLP'!P124)</f>
        <v/>
      </c>
      <c r="F159" s="44">
        <f>IF(E159="","",D159-E159)</f>
        <v/>
      </c>
      <c r="G159" s="7">
        <f>IF(OR(F159="",ABS(F159)&lt;=1),"",IF(C159&gt;1,"동점 그룹 안 배분 차이(정상)","확인 필요"))</f>
        <v/>
      </c>
    </row>
    <row r="160">
      <c r="A160" s="7">
        <f>'10_LimitLP'!A125</f>
        <v/>
      </c>
      <c r="B160" s="61">
        <f>'10_LimitLP'!G125</f>
        <v/>
      </c>
      <c r="C160" s="45">
        <f>'10_LimitLP'!R125</f>
        <v/>
      </c>
      <c r="D160" s="44">
        <f>'10_LimitLP'!F125</f>
        <v/>
      </c>
      <c r="E160" s="44">
        <f>IF('10_LimitLP'!P125="","",'10_LimitLP'!P125)</f>
        <v/>
      </c>
      <c r="F160" s="44">
        <f>IF(E160="","",D160-E160)</f>
        <v/>
      </c>
      <c r="G160" s="7">
        <f>IF(OR(F160="",ABS(F160)&lt;=1),"",IF(C160&gt;1,"동점 그룹 안 배분 차이(정상)","확인 필요"))</f>
        <v/>
      </c>
    </row>
    <row r="161">
      <c r="A161" s="7">
        <f>'10_LimitLP'!A126</f>
        <v/>
      </c>
      <c r="B161" s="61">
        <f>'10_LimitLP'!G126</f>
        <v/>
      </c>
      <c r="C161" s="45">
        <f>'10_LimitLP'!R126</f>
        <v/>
      </c>
      <c r="D161" s="44">
        <f>'10_LimitLP'!F126</f>
        <v/>
      </c>
      <c r="E161" s="44">
        <f>IF('10_LimitLP'!P126="","",'10_LimitLP'!P126)</f>
        <v/>
      </c>
      <c r="F161" s="44">
        <f>IF(E161="","",D161-E161)</f>
        <v/>
      </c>
      <c r="G161" s="7">
        <f>IF(OR(F161="",ABS(F161)&lt;=1),"",IF(C161&gt;1,"동점 그룹 안 배분 차이(정상)","확인 필요"))</f>
        <v/>
      </c>
    </row>
    <row r="162">
      <c r="A162" s="7">
        <f>'10_LimitLP'!A127</f>
        <v/>
      </c>
      <c r="B162" s="61">
        <f>'10_LimitLP'!G127</f>
        <v/>
      </c>
      <c r="C162" s="45">
        <f>'10_LimitLP'!R127</f>
        <v/>
      </c>
      <c r="D162" s="44">
        <f>'10_LimitLP'!F127</f>
        <v/>
      </c>
      <c r="E162" s="44">
        <f>IF('10_LimitLP'!P127="","",'10_LimitLP'!P127)</f>
        <v/>
      </c>
      <c r="F162" s="44">
        <f>IF(E162="","",D162-E162)</f>
        <v/>
      </c>
      <c r="G162" s="7">
        <f>IF(OR(F162="",ABS(F162)&lt;=1),"",IF(C162&gt;1,"동점 그룹 안 배분 차이(정상)","확인 필요"))</f>
        <v/>
      </c>
    </row>
    <row r="163">
      <c r="A163" s="7">
        <f>'10_LimitLP'!A128</f>
        <v/>
      </c>
      <c r="B163" s="61">
        <f>'10_LimitLP'!G128</f>
        <v/>
      </c>
      <c r="C163" s="45">
        <f>'10_LimitLP'!R128</f>
        <v/>
      </c>
      <c r="D163" s="44">
        <f>'10_LimitLP'!F128</f>
        <v/>
      </c>
      <c r="E163" s="44">
        <f>IF('10_LimitLP'!P128="","",'10_LimitLP'!P128)</f>
        <v/>
      </c>
      <c r="F163" s="44">
        <f>IF(E163="","",D163-E163)</f>
        <v/>
      </c>
      <c r="G163" s="7">
        <f>IF(OR(F163="",ABS(F163)&lt;=1),"",IF(C163&gt;1,"동점 그룹 안 배분 차이(정상)","확인 필요"))</f>
        <v/>
      </c>
    </row>
    <row r="164">
      <c r="A164" s="7">
        <f>'10_LimitLP'!A129</f>
        <v/>
      </c>
      <c r="B164" s="61">
        <f>'10_LimitLP'!G129</f>
        <v/>
      </c>
      <c r="C164" s="45">
        <f>'10_LimitLP'!R129</f>
        <v/>
      </c>
      <c r="D164" s="44">
        <f>'10_LimitLP'!F129</f>
        <v/>
      </c>
      <c r="E164" s="44">
        <f>IF('10_LimitLP'!P129="","",'10_LimitLP'!P129)</f>
        <v/>
      </c>
      <c r="F164" s="44">
        <f>IF(E164="","",D164-E164)</f>
        <v/>
      </c>
      <c r="G164" s="7">
        <f>IF(OR(F164="",ABS(F164)&lt;=1),"",IF(C164&gt;1,"동점 그룹 안 배분 차이(정상)","확인 필요"))</f>
        <v/>
      </c>
    </row>
    <row r="165">
      <c r="A165" s="7">
        <f>'10_LimitLP'!A130</f>
        <v/>
      </c>
      <c r="B165" s="61">
        <f>'10_LimitLP'!G130</f>
        <v/>
      </c>
      <c r="C165" s="45">
        <f>'10_LimitLP'!R130</f>
        <v/>
      </c>
      <c r="D165" s="44">
        <f>'10_LimitLP'!F130</f>
        <v/>
      </c>
      <c r="E165" s="44">
        <f>IF('10_LimitLP'!P130="","",'10_LimitLP'!P130)</f>
        <v/>
      </c>
      <c r="F165" s="44">
        <f>IF(E165="","",D165-E165)</f>
        <v/>
      </c>
      <c r="G165" s="7">
        <f>IF(OR(F165="",ABS(F165)&lt;=1),"",IF(C165&gt;1,"동점 그룹 안 배분 차이(정상)","확인 필요"))</f>
        <v/>
      </c>
    </row>
    <row r="166">
      <c r="A166" s="7">
        <f>'10_LimitLP'!A131</f>
        <v/>
      </c>
      <c r="B166" s="61">
        <f>'10_LimitLP'!G131</f>
        <v/>
      </c>
      <c r="C166" s="45">
        <f>'10_LimitLP'!R131</f>
        <v/>
      </c>
      <c r="D166" s="44">
        <f>'10_LimitLP'!F131</f>
        <v/>
      </c>
      <c r="E166" s="44">
        <f>IF('10_LimitLP'!P131="","",'10_LimitLP'!P131)</f>
        <v/>
      </c>
      <c r="F166" s="44">
        <f>IF(E166="","",D166-E166)</f>
        <v/>
      </c>
      <c r="G166" s="7">
        <f>IF(OR(F166="",ABS(F166)&lt;=1),"",IF(C166&gt;1,"동점 그룹 안 배분 차이(정상)","확인 필요"))</f>
        <v/>
      </c>
    </row>
    <row r="167">
      <c r="A167" s="7">
        <f>'10_LimitLP'!A132</f>
        <v/>
      </c>
      <c r="B167" s="61">
        <f>'10_LimitLP'!G132</f>
        <v/>
      </c>
      <c r="C167" s="45">
        <f>'10_LimitLP'!R132</f>
        <v/>
      </c>
      <c r="D167" s="44">
        <f>'10_LimitLP'!F132</f>
        <v/>
      </c>
      <c r="E167" s="44">
        <f>IF('10_LimitLP'!P132="","",'10_LimitLP'!P132)</f>
        <v/>
      </c>
      <c r="F167" s="44">
        <f>IF(E167="","",D167-E167)</f>
        <v/>
      </c>
      <c r="G167" s="7">
        <f>IF(OR(F167="",ABS(F167)&lt;=1),"",IF(C167&gt;1,"동점 그룹 안 배분 차이(정상)","확인 필요"))</f>
        <v/>
      </c>
    </row>
    <row r="168">
      <c r="A168" s="7">
        <f>'10_LimitLP'!A133</f>
        <v/>
      </c>
      <c r="B168" s="61">
        <f>'10_LimitLP'!G133</f>
        <v/>
      </c>
      <c r="C168" s="45">
        <f>'10_LimitLP'!R133</f>
        <v/>
      </c>
      <c r="D168" s="44">
        <f>'10_LimitLP'!F133</f>
        <v/>
      </c>
      <c r="E168" s="44">
        <f>IF('10_LimitLP'!P133="","",'10_LimitLP'!P133)</f>
        <v/>
      </c>
      <c r="F168" s="44">
        <f>IF(E168="","",D168-E168)</f>
        <v/>
      </c>
      <c r="G168" s="7">
        <f>IF(OR(F168="",ABS(F168)&lt;=1),"",IF(C168&gt;1,"동점 그룹 안 배분 차이(정상)","확인 필요"))</f>
        <v/>
      </c>
    </row>
    <row r="169">
      <c r="A169" s="7">
        <f>'10_LimitLP'!A134</f>
        <v/>
      </c>
      <c r="B169" s="61">
        <f>'10_LimitLP'!G134</f>
        <v/>
      </c>
      <c r="C169" s="45">
        <f>'10_LimitLP'!R134</f>
        <v/>
      </c>
      <c r="D169" s="44">
        <f>'10_LimitLP'!F134</f>
        <v/>
      </c>
      <c r="E169" s="44">
        <f>IF('10_LimitLP'!P134="","",'10_LimitLP'!P134)</f>
        <v/>
      </c>
      <c r="F169" s="44">
        <f>IF(E169="","",D169-E169)</f>
        <v/>
      </c>
      <c r="G169" s="7">
        <f>IF(OR(F169="",ABS(F169)&lt;=1),"",IF(C169&gt;1,"동점 그룹 안 배분 차이(정상)","확인 필요"))</f>
        <v/>
      </c>
    </row>
    <row r="170">
      <c r="A170" s="7">
        <f>'10_LimitLP'!A135</f>
        <v/>
      </c>
      <c r="B170" s="61">
        <f>'10_LimitLP'!G135</f>
        <v/>
      </c>
      <c r="C170" s="45">
        <f>'10_LimitLP'!R135</f>
        <v/>
      </c>
      <c r="D170" s="44">
        <f>'10_LimitLP'!F135</f>
        <v/>
      </c>
      <c r="E170" s="44">
        <f>IF('10_LimitLP'!P135="","",'10_LimitLP'!P135)</f>
        <v/>
      </c>
      <c r="F170" s="44">
        <f>IF(E170="","",D170-E170)</f>
        <v/>
      </c>
      <c r="G170" s="7">
        <f>IF(OR(F170="",ABS(F170)&lt;=1),"",IF(C170&gt;1,"동점 그룹 안 배분 차이(정상)","확인 필요"))</f>
        <v/>
      </c>
    </row>
    <row r="171">
      <c r="A171" s="7">
        <f>'10_LimitLP'!A136</f>
        <v/>
      </c>
      <c r="B171" s="61">
        <f>'10_LimitLP'!G136</f>
        <v/>
      </c>
      <c r="C171" s="45">
        <f>'10_LimitLP'!R136</f>
        <v/>
      </c>
      <c r="D171" s="44">
        <f>'10_LimitLP'!F136</f>
        <v/>
      </c>
      <c r="E171" s="44">
        <f>IF('10_LimitLP'!P136="","",'10_LimitLP'!P136)</f>
        <v/>
      </c>
      <c r="F171" s="44">
        <f>IF(E171="","",D171-E171)</f>
        <v/>
      </c>
      <c r="G171" s="7">
        <f>IF(OR(F171="",ABS(F171)&lt;=1),"",IF(C171&gt;1,"동점 그룹 안 배분 차이(정상)","확인 필요"))</f>
        <v/>
      </c>
    </row>
    <row r="172">
      <c r="A172" s="7">
        <f>'10_LimitLP'!A137</f>
        <v/>
      </c>
      <c r="B172" s="61">
        <f>'10_LimitLP'!G137</f>
        <v/>
      </c>
      <c r="C172" s="45">
        <f>'10_LimitLP'!R137</f>
        <v/>
      </c>
      <c r="D172" s="44">
        <f>'10_LimitLP'!F137</f>
        <v/>
      </c>
      <c r="E172" s="44">
        <f>IF('10_LimitLP'!P137="","",'10_LimitLP'!P137)</f>
        <v/>
      </c>
      <c r="F172" s="44">
        <f>IF(E172="","",D172-E172)</f>
        <v/>
      </c>
      <c r="G172" s="7">
        <f>IF(OR(F172="",ABS(F172)&lt;=1),"",IF(C172&gt;1,"동점 그룹 안 배분 차이(정상)","확인 필요"))</f>
        <v/>
      </c>
    </row>
    <row r="173">
      <c r="A173" s="7">
        <f>'10_LimitLP'!A138</f>
        <v/>
      </c>
      <c r="B173" s="61">
        <f>'10_LimitLP'!G138</f>
        <v/>
      </c>
      <c r="C173" s="45">
        <f>'10_LimitLP'!R138</f>
        <v/>
      </c>
      <c r="D173" s="44">
        <f>'10_LimitLP'!F138</f>
        <v/>
      </c>
      <c r="E173" s="44">
        <f>IF('10_LimitLP'!P138="","",'10_LimitLP'!P138)</f>
        <v/>
      </c>
      <c r="F173" s="44">
        <f>IF(E173="","",D173-E173)</f>
        <v/>
      </c>
      <c r="G173" s="7">
        <f>IF(OR(F173="",ABS(F173)&lt;=1),"",IF(C173&gt;1,"동점 그룹 안 배분 차이(정상)","확인 필요"))</f>
        <v/>
      </c>
    </row>
    <row r="174">
      <c r="A174" s="7">
        <f>'10_LimitLP'!A139</f>
        <v/>
      </c>
      <c r="B174" s="61">
        <f>'10_LimitLP'!G139</f>
        <v/>
      </c>
      <c r="C174" s="45">
        <f>'10_LimitLP'!R139</f>
        <v/>
      </c>
      <c r="D174" s="44">
        <f>'10_LimitLP'!F139</f>
        <v/>
      </c>
      <c r="E174" s="44">
        <f>IF('10_LimitLP'!P139="","",'10_LimitLP'!P139)</f>
        <v/>
      </c>
      <c r="F174" s="44">
        <f>IF(E174="","",D174-E174)</f>
        <v/>
      </c>
      <c r="G174" s="7">
        <f>IF(OR(F174="",ABS(F174)&lt;=1),"",IF(C174&gt;1,"동점 그룹 안 배분 차이(정상)","확인 필요"))</f>
        <v/>
      </c>
    </row>
    <row r="175">
      <c r="A175" s="7">
        <f>'10_LimitLP'!A140</f>
        <v/>
      </c>
      <c r="B175" s="61">
        <f>'10_LimitLP'!G140</f>
        <v/>
      </c>
      <c r="C175" s="45">
        <f>'10_LimitLP'!R140</f>
        <v/>
      </c>
      <c r="D175" s="44">
        <f>'10_LimitLP'!F140</f>
        <v/>
      </c>
      <c r="E175" s="44">
        <f>IF('10_LimitLP'!P140="","",'10_LimitLP'!P140)</f>
        <v/>
      </c>
      <c r="F175" s="44">
        <f>IF(E175="","",D175-E175)</f>
        <v/>
      </c>
      <c r="G175" s="7">
        <f>IF(OR(F175="",ABS(F175)&lt;=1),"",IF(C175&gt;1,"동점 그룹 안 배분 차이(정상)","확인 필요"))</f>
        <v/>
      </c>
    </row>
    <row r="176">
      <c r="A176" s="7">
        <f>'10_LimitLP'!A141</f>
        <v/>
      </c>
      <c r="B176" s="61">
        <f>'10_LimitLP'!G141</f>
        <v/>
      </c>
      <c r="C176" s="45">
        <f>'10_LimitLP'!R141</f>
        <v/>
      </c>
      <c r="D176" s="44">
        <f>'10_LimitLP'!F141</f>
        <v/>
      </c>
      <c r="E176" s="44">
        <f>IF('10_LimitLP'!P141="","",'10_LimitLP'!P141)</f>
        <v/>
      </c>
      <c r="F176" s="44">
        <f>IF(E176="","",D176-E176)</f>
        <v/>
      </c>
      <c r="G176" s="7">
        <f>IF(OR(F176="",ABS(F176)&lt;=1),"",IF(C176&gt;1,"동점 그룹 안 배분 차이(정상)","확인 필요"))</f>
        <v/>
      </c>
    </row>
    <row r="177">
      <c r="A177" s="7">
        <f>'10_LimitLP'!A142</f>
        <v/>
      </c>
      <c r="B177" s="61">
        <f>'10_LimitLP'!G142</f>
        <v/>
      </c>
      <c r="C177" s="45">
        <f>'10_LimitLP'!R142</f>
        <v/>
      </c>
      <c r="D177" s="44">
        <f>'10_LimitLP'!F142</f>
        <v/>
      </c>
      <c r="E177" s="44">
        <f>IF('10_LimitLP'!P142="","",'10_LimitLP'!P142)</f>
        <v/>
      </c>
      <c r="F177" s="44">
        <f>IF(E177="","",D177-E177)</f>
        <v/>
      </c>
      <c r="G177" s="7">
        <f>IF(OR(F177="",ABS(F177)&lt;=1),"",IF(C177&gt;1,"동점 그룹 안 배분 차이(정상)","확인 필요"))</f>
        <v/>
      </c>
    </row>
    <row r="178">
      <c r="A178" s="7">
        <f>'10_LimitLP'!A143</f>
        <v/>
      </c>
      <c r="B178" s="61">
        <f>'10_LimitLP'!G143</f>
        <v/>
      </c>
      <c r="C178" s="45">
        <f>'10_LimitLP'!R143</f>
        <v/>
      </c>
      <c r="D178" s="44">
        <f>'10_LimitLP'!F143</f>
        <v/>
      </c>
      <c r="E178" s="44">
        <f>IF('10_LimitLP'!P143="","",'10_LimitLP'!P143)</f>
        <v/>
      </c>
      <c r="F178" s="44">
        <f>IF(E178="","",D178-E178)</f>
        <v/>
      </c>
      <c r="G178" s="7">
        <f>IF(OR(F178="",ABS(F178)&lt;=1),"",IF(C178&gt;1,"동점 그룹 안 배분 차이(정상)","확인 필요"))</f>
        <v/>
      </c>
    </row>
    <row r="179">
      <c r="A179" s="7">
        <f>'10_LimitLP'!A144</f>
        <v/>
      </c>
      <c r="B179" s="61">
        <f>'10_LimitLP'!G144</f>
        <v/>
      </c>
      <c r="C179" s="45">
        <f>'10_LimitLP'!R144</f>
        <v/>
      </c>
      <c r="D179" s="44">
        <f>'10_LimitLP'!F144</f>
        <v/>
      </c>
      <c r="E179" s="44">
        <f>IF('10_LimitLP'!P144="","",'10_LimitLP'!P144)</f>
        <v/>
      </c>
      <c r="F179" s="44">
        <f>IF(E179="","",D179-E179)</f>
        <v/>
      </c>
      <c r="G179" s="7">
        <f>IF(OR(F179="",ABS(F179)&lt;=1),"",IF(C179&gt;1,"동점 그룹 안 배분 차이(정상)","확인 필요"))</f>
        <v/>
      </c>
    </row>
    <row r="180">
      <c r="A180" s="7">
        <f>'10_LimitLP'!A145</f>
        <v/>
      </c>
      <c r="B180" s="61">
        <f>'10_LimitLP'!G145</f>
        <v/>
      </c>
      <c r="C180" s="45">
        <f>'10_LimitLP'!R145</f>
        <v/>
      </c>
      <c r="D180" s="44">
        <f>'10_LimitLP'!F145</f>
        <v/>
      </c>
      <c r="E180" s="44">
        <f>IF('10_LimitLP'!P145="","",'10_LimitLP'!P145)</f>
        <v/>
      </c>
      <c r="F180" s="44">
        <f>IF(E180="","",D180-E180)</f>
        <v/>
      </c>
      <c r="G180" s="7">
        <f>IF(OR(F180="",ABS(F180)&lt;=1),"",IF(C180&gt;1,"동점 그룹 안 배분 차이(정상)","확인 필요"))</f>
        <v/>
      </c>
    </row>
    <row r="181">
      <c r="A181" s="7">
        <f>'10_LimitLP'!A146</f>
        <v/>
      </c>
      <c r="B181" s="61">
        <f>'10_LimitLP'!G146</f>
        <v/>
      </c>
      <c r="C181" s="45">
        <f>'10_LimitLP'!R146</f>
        <v/>
      </c>
      <c r="D181" s="44">
        <f>'10_LimitLP'!F146</f>
        <v/>
      </c>
      <c r="E181" s="44">
        <f>IF('10_LimitLP'!P146="","",'10_LimitLP'!P146)</f>
        <v/>
      </c>
      <c r="F181" s="44">
        <f>IF(E181="","",D181-E181)</f>
        <v/>
      </c>
      <c r="G181" s="7">
        <f>IF(OR(F181="",ABS(F181)&lt;=1),"",IF(C181&gt;1,"동점 그룹 안 배분 차이(정상)","확인 필요"))</f>
        <v/>
      </c>
    </row>
    <row r="182">
      <c r="A182" s="7">
        <f>'10_LimitLP'!A147</f>
        <v/>
      </c>
      <c r="B182" s="61">
        <f>'10_LimitLP'!G147</f>
        <v/>
      </c>
      <c r="C182" s="45">
        <f>'10_LimitLP'!R147</f>
        <v/>
      </c>
      <c r="D182" s="44">
        <f>'10_LimitLP'!F147</f>
        <v/>
      </c>
      <c r="E182" s="44">
        <f>IF('10_LimitLP'!P147="","",'10_LimitLP'!P147)</f>
        <v/>
      </c>
      <c r="F182" s="44">
        <f>IF(E182="","",D182-E182)</f>
        <v/>
      </c>
      <c r="G182" s="7">
        <f>IF(OR(F182="",ABS(F182)&lt;=1),"",IF(C182&gt;1,"동점 그룹 안 배분 차이(정상)","확인 필요"))</f>
        <v/>
      </c>
    </row>
    <row r="183">
      <c r="A183" s="7">
        <f>'10_LimitLP'!A148</f>
        <v/>
      </c>
      <c r="B183" s="61">
        <f>'10_LimitLP'!G148</f>
        <v/>
      </c>
      <c r="C183" s="45">
        <f>'10_LimitLP'!R148</f>
        <v/>
      </c>
      <c r="D183" s="44">
        <f>'10_LimitLP'!F148</f>
        <v/>
      </c>
      <c r="E183" s="44">
        <f>IF('10_LimitLP'!P148="","",'10_LimitLP'!P148)</f>
        <v/>
      </c>
      <c r="F183" s="44">
        <f>IF(E183="","",D183-E183)</f>
        <v/>
      </c>
      <c r="G183" s="7">
        <f>IF(OR(F183="",ABS(F183)&lt;=1),"",IF(C183&gt;1,"동점 그룹 안 배분 차이(정상)","확인 필요"))</f>
        <v/>
      </c>
    </row>
    <row r="184">
      <c r="A184" s="7">
        <f>'10_LimitLP'!A149</f>
        <v/>
      </c>
      <c r="B184" s="61">
        <f>'10_LimitLP'!G149</f>
        <v/>
      </c>
      <c r="C184" s="45">
        <f>'10_LimitLP'!R149</f>
        <v/>
      </c>
      <c r="D184" s="44">
        <f>'10_LimitLP'!F149</f>
        <v/>
      </c>
      <c r="E184" s="44">
        <f>IF('10_LimitLP'!P149="","",'10_LimitLP'!P149)</f>
        <v/>
      </c>
      <c r="F184" s="44">
        <f>IF(E184="","",D184-E184)</f>
        <v/>
      </c>
      <c r="G184" s="7">
        <f>IF(OR(F184="",ABS(F184)&lt;=1),"",IF(C184&gt;1,"동점 그룹 안 배분 차이(정상)","확인 필요"))</f>
        <v/>
      </c>
    </row>
    <row r="185">
      <c r="A185" s="7">
        <f>'10_LimitLP'!A150</f>
        <v/>
      </c>
      <c r="B185" s="61">
        <f>'10_LimitLP'!G150</f>
        <v/>
      </c>
      <c r="C185" s="45">
        <f>'10_LimitLP'!R150</f>
        <v/>
      </c>
      <c r="D185" s="44">
        <f>'10_LimitLP'!F150</f>
        <v/>
      </c>
      <c r="E185" s="44">
        <f>IF('10_LimitLP'!P150="","",'10_LimitLP'!P150)</f>
        <v/>
      </c>
      <c r="F185" s="44">
        <f>IF(E185="","",D185-E185)</f>
        <v/>
      </c>
      <c r="G185" s="7">
        <f>IF(OR(F185="",ABS(F185)&lt;=1),"",IF(C185&gt;1,"동점 그룹 안 배분 차이(정상)","확인 필요"))</f>
        <v/>
      </c>
    </row>
    <row r="186">
      <c r="A186" s="7">
        <f>'10_LimitLP'!A151</f>
        <v/>
      </c>
      <c r="B186" s="61">
        <f>'10_LimitLP'!G151</f>
        <v/>
      </c>
      <c r="C186" s="45">
        <f>'10_LimitLP'!R151</f>
        <v/>
      </c>
      <c r="D186" s="44">
        <f>'10_LimitLP'!F151</f>
        <v/>
      </c>
      <c r="E186" s="44">
        <f>IF('10_LimitLP'!P151="","",'10_LimitLP'!P151)</f>
        <v/>
      </c>
      <c r="F186" s="44">
        <f>IF(E186="","",D186-E186)</f>
        <v/>
      </c>
      <c r="G186" s="7">
        <f>IF(OR(F186="",ABS(F186)&lt;=1),"",IF(C186&gt;1,"동점 그룹 안 배분 차이(정상)","확인 필요"))</f>
        <v/>
      </c>
    </row>
    <row r="187">
      <c r="A187" s="7">
        <f>'10_LimitLP'!A152</f>
        <v/>
      </c>
      <c r="B187" s="61">
        <f>'10_LimitLP'!G152</f>
        <v/>
      </c>
      <c r="C187" s="45">
        <f>'10_LimitLP'!R152</f>
        <v/>
      </c>
      <c r="D187" s="44">
        <f>'10_LimitLP'!F152</f>
        <v/>
      </c>
      <c r="E187" s="44">
        <f>IF('10_LimitLP'!P152="","",'10_LimitLP'!P152)</f>
        <v/>
      </c>
      <c r="F187" s="44">
        <f>IF(E187="","",D187-E187)</f>
        <v/>
      </c>
      <c r="G187" s="7">
        <f>IF(OR(F187="",ABS(F187)&lt;=1),"",IF(C187&gt;1,"동점 그룹 안 배분 차이(정상)","확인 필요"))</f>
        <v/>
      </c>
    </row>
    <row r="188">
      <c r="A188" s="7">
        <f>'10_LimitLP'!A153</f>
        <v/>
      </c>
      <c r="B188" s="61">
        <f>'10_LimitLP'!G153</f>
        <v/>
      </c>
      <c r="C188" s="45">
        <f>'10_LimitLP'!R153</f>
        <v/>
      </c>
      <c r="D188" s="44">
        <f>'10_LimitLP'!F153</f>
        <v/>
      </c>
      <c r="E188" s="44">
        <f>IF('10_LimitLP'!P153="","",'10_LimitLP'!P153)</f>
        <v/>
      </c>
      <c r="F188" s="44">
        <f>IF(E188="","",D188-E188)</f>
        <v/>
      </c>
      <c r="G188" s="7">
        <f>IF(OR(F188="",ABS(F188)&lt;=1),"",IF(C188&gt;1,"동점 그룹 안 배분 차이(정상)","확인 필요"))</f>
        <v/>
      </c>
    </row>
    <row r="189">
      <c r="A189" s="7">
        <f>'10_LimitLP'!A154</f>
        <v/>
      </c>
      <c r="B189" s="61">
        <f>'10_LimitLP'!G154</f>
        <v/>
      </c>
      <c r="C189" s="45">
        <f>'10_LimitLP'!R154</f>
        <v/>
      </c>
      <c r="D189" s="44">
        <f>'10_LimitLP'!F154</f>
        <v/>
      </c>
      <c r="E189" s="44">
        <f>IF('10_LimitLP'!P154="","",'10_LimitLP'!P154)</f>
        <v/>
      </c>
      <c r="F189" s="44">
        <f>IF(E189="","",D189-E189)</f>
        <v/>
      </c>
      <c r="G189" s="7">
        <f>IF(OR(F189="",ABS(F189)&lt;=1),"",IF(C189&gt;1,"동점 그룹 안 배분 차이(정상)","확인 필요"))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 tools</dc:creator>
  <dc:title xmlns:dc="http://purl.org/dc/elements/1.1/">d4_limit_model</dc:title>
  <dc:description xmlns:dc="http://purl.org/dc/elements/1.1/">(가상) 한빛정밀(주) 교육용 합성 데이터 — 실존 기업과 무관</dc:description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