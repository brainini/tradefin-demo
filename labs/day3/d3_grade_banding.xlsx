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법" sheetId="1" state="visible" r:id="rId1"/>
    <sheet xmlns:r="http://schemas.openxmlformats.org/officeDocument/2006/relationships" name="pred" sheetId="2" state="visible" r:id="rId2"/>
    <sheet xmlns:r="http://schemas.openxmlformats.org/officeDocument/2006/relationships" name="기준" sheetId="3" state="visible" r:id="rId3"/>
    <sheet xmlns:r="http://schemas.openxmlformats.org/officeDocument/2006/relationships" name="단조성" sheetId="4" state="visible" r:id="rId4"/>
    <sheet xmlns:r="http://schemas.openxmlformats.org/officeDocument/2006/relationships" name="csv_6열" sheetId="5" state="visible" r:id="rId5"/>
  </sheets>
  <definedNames>
    <definedName name="t">'기준'!$B$3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sz val="13"/>
    </font>
    <font>
      <name val="맑은 고딕"/>
      <b val="1"/>
    </font>
    <font>
      <name val="맑은 고딕"/>
      <b val="1"/>
      <sz val="10"/>
    </font>
    <font>
      <name val="맑은 고딕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0" fillId="2" borderId="0" pivotButton="0" quotePrefix="0" xfId="0"/>
    <xf numFmtId="166" fontId="6" fillId="0" borderId="0" pivotButton="0" quotePrefix="0" xfId="0"/>
    <xf numFmtId="164" fontId="0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ed" displayName="pred" ref="A1:G151" headerRowCount="1">
  <autoFilter ref="A1:G151"/>
  <tableColumns count="7">
    <tableColumn id="1" name="buyer_id"/>
    <tableColumn id="2" name="ref_date"/>
    <tableColumn id="3" name="pd_30d"/>
    <tableColumn id="4" name="grade"/>
    <tableColumn id="5" name="threshold_used"/>
    <tableColumn id="6" name="model_version"/>
    <tableColumn id="7" name="approva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3일차 Step 6 — S/A/B/C 등급 매칭 시트</t>
        </is>
      </c>
    </row>
    <row r="2"/>
    <row r="3">
      <c r="A3" s="2" t="inlineStr">
        <is>
          <t>■ 규칙(C부터 검사) — C: pd_30d ≥ t · B: ≥ t/2 · A: ≥ t/4 · 나머지 S</t>
        </is>
      </c>
    </row>
    <row r="4">
      <c r="A4" s="3" t="inlineStr">
        <is>
          <t>t = 블록 A Step 4에서 비용 5:1로 정한 임계값(Calibration Plot 세로선). 등급은 회사 내부 관리 등급이며 K-SURE 공식 등급이 아니다.</t>
        </is>
      </c>
    </row>
    <row r="5">
      <c r="A5" s="2" t="inlineStr">
        <is>
          <t>■ 순서</t>
        </is>
      </c>
    </row>
    <row r="6">
      <c r="A6" s="3" t="inlineStr">
        <is>
          <t>① 기준 시트의 노란 칸(이름 t)에 내 t를 넣는다 — 경계값 t/4 · t/2 · t가 저절로 계산된다.</t>
        </is>
      </c>
    </row>
    <row r="7">
      <c r="A7" s="3" t="inlineStr">
        <is>
          <t>② d3_predictions.xlsx에서 buyer_id 열을 pred 시트 A열에, 연체 확률 열(이름 끝이 '(1)')을 C열 pd_30d에 '값 붙여넣기' 한다(2행부터, 150행).</t>
        </is>
      </c>
    </row>
    <row r="8">
      <c r="A8" s="3" t="inlineStr">
        <is>
          <t>③ grade · ref_date · threshold_used · model_version · approval 열은 수식이 미리 들어 있다 — 정렬 · 필터 · 조건부 서식(C 빨강 · B 주황)은 직접 해 본다.</t>
        </is>
      </c>
    </row>
    <row r="9">
      <c r="A9" s="3" t="inlineStr">
        <is>
          <t xml:space="preserve">   grade가 #NAME?이면(IFS가 없는 엑셀 2016 이하) D2에 =IF(C2&gt;=t,"C",IF(C2&gt;=t/2,"B",IF(C2&gt;=t/4,"A","S"))) 를 넣고 아래로 채운다(뜻이 같다).</t>
        </is>
      </c>
    </row>
    <row r="10">
      <c r="A10" s="3" t="inlineStr">
        <is>
          <t>④ 기준 시트의 등급 분포를 d3_work의 03_등급에 옮긴다.</t>
        </is>
      </c>
    </row>
    <row r="11">
      <c r="A11" s="3" t="inlineStr">
        <is>
          <t>⑤ 단조성: 시험셋 확률(d3_test_pred.xlsx)의 buyer_id · 확률 · late_30d를 단조성 시트 A–C열에 붙인다 → 등급별 실제 연체율이 S &lt; B &lt; C 순서인지 본다(A는 행이 적어 흔들릴 수 있다).</t>
        </is>
      </c>
    </row>
    <row r="12">
      <c r="A12" s="3" t="inlineStr">
        <is>
          <t>⑥ csv_6열 시트를 연 채 파일 → 다른 이름으로 저장 → CSV UTF-8(쉼표로 분리) → d3_end_scored__T조-번호.csv (첫 줄 buyer_id,ref_date,pd_30d,grade,threshold_used,model_version · 151줄).</t>
        </is>
      </c>
    </row>
    <row r="13">
      <c r="A13" s="2" t="inlineStr">
        <is>
          <t>■ 등급 → 결제조건 [교육용 가정]</t>
        </is>
      </c>
    </row>
    <row r="14">
      <c r="A14" s="3" t="inlineStr">
        <is>
          <t>S · A: O/A 유지 · B: 결제기간 단축 · 부보 검토 · C: 선수금 · L/C만(신규 O/A 금지), 조건 변경은 사람이 승인(approval 열).</t>
        </is>
      </c>
    </row>
    <row r="15">
      <c r="A15" s="2" t="inlineStr">
        <is>
          <t>■ 주의</t>
        </is>
      </c>
    </row>
    <row r="16">
      <c r="A16" s="3" t="inlineStr">
        <is>
          <t>예측 대상 150곳은 학습 파일에 있던 바이어라 확률이 낙관적일 수 있다 — 모델 성능은 블록 A Test and Score(시험셋) 숫자로만 말한다.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5" customWidth="1" min="5" max="5"/>
    <col width="20" customWidth="1" min="6" max="6"/>
    <col width="11" customWidth="1" min="7" max="7"/>
  </cols>
  <sheetData>
    <row r="1">
      <c r="A1" s="4" t="inlineStr">
        <is>
          <t>buyer_id</t>
        </is>
      </c>
      <c r="B1" s="4" t="inlineStr">
        <is>
          <t>ref_date</t>
        </is>
      </c>
      <c r="C1" s="4" t="inlineStr">
        <is>
          <t>pd_30d</t>
        </is>
      </c>
      <c r="D1" s="4" t="inlineStr">
        <is>
          <t>grade</t>
        </is>
      </c>
      <c r="E1" s="4" t="inlineStr">
        <is>
          <t>threshold_used</t>
        </is>
      </c>
      <c r="F1" s="4" t="inlineStr">
        <is>
          <t>model_version</t>
        </is>
      </c>
      <c r="G1" s="4" t="inlineStr">
        <is>
          <t>approval</t>
        </is>
      </c>
    </row>
    <row r="2">
      <c r="A2" s="5" t="n"/>
      <c r="B2" s="6">
        <f>IF(A2="","",DATE(2026,9,30))</f>
        <v/>
      </c>
      <c r="C2" s="7" t="n"/>
      <c r="D2" s="8">
        <f>IF(OR(C2="",t=""),"",_xlfn.IFS(C2&gt;=t,"C",C2&gt;=t/2,"B",C2&gt;=t/4,"A",TRUE,"S"))</f>
        <v/>
      </c>
      <c r="E2" s="9">
        <f>IF(OR(A2="",t=""),"",t)</f>
        <v/>
      </c>
      <c r="F2" s="8">
        <f>IF(A2="","","orange_xgb_sigmoid")</f>
        <v/>
      </c>
      <c r="G2" s="8">
        <f>IF(D2="C","승인 필요","")</f>
        <v/>
      </c>
    </row>
    <row r="3">
      <c r="A3" s="5" t="n"/>
      <c r="B3" s="6">
        <f>IF(A3="","",DATE(2026,9,30))</f>
        <v/>
      </c>
      <c r="C3" s="7" t="n"/>
      <c r="D3" s="8">
        <f>IF(OR(C3="",t=""),"",_xlfn.IFS(C3&gt;=t,"C",C3&gt;=t/2,"B",C3&gt;=t/4,"A",TRUE,"S"))</f>
        <v/>
      </c>
      <c r="E3" s="9">
        <f>IF(OR(A3="",t=""),"",t)</f>
        <v/>
      </c>
      <c r="F3" s="8">
        <f>IF(A3="","","orange_xgb_sigmoid")</f>
        <v/>
      </c>
      <c r="G3" s="8">
        <f>IF(D3="C","승인 필요","")</f>
        <v/>
      </c>
    </row>
    <row r="4">
      <c r="A4" s="5" t="n"/>
      <c r="B4" s="6">
        <f>IF(A4="","",DATE(2026,9,30))</f>
        <v/>
      </c>
      <c r="C4" s="7" t="n"/>
      <c r="D4" s="8">
        <f>IF(OR(C4="",t=""),"",_xlfn.IFS(C4&gt;=t,"C",C4&gt;=t/2,"B",C4&gt;=t/4,"A",TRUE,"S"))</f>
        <v/>
      </c>
      <c r="E4" s="9">
        <f>IF(OR(A4="",t=""),"",t)</f>
        <v/>
      </c>
      <c r="F4" s="8">
        <f>IF(A4="","","orange_xgb_sigmoid")</f>
        <v/>
      </c>
      <c r="G4" s="8">
        <f>IF(D4="C","승인 필요","")</f>
        <v/>
      </c>
    </row>
    <row r="5">
      <c r="A5" s="5" t="n"/>
      <c r="B5" s="6">
        <f>IF(A5="","",DATE(2026,9,30))</f>
        <v/>
      </c>
      <c r="C5" s="7" t="n"/>
      <c r="D5" s="8">
        <f>IF(OR(C5="",t=""),"",_xlfn.IFS(C5&gt;=t,"C",C5&gt;=t/2,"B",C5&gt;=t/4,"A",TRUE,"S"))</f>
        <v/>
      </c>
      <c r="E5" s="9">
        <f>IF(OR(A5="",t=""),"",t)</f>
        <v/>
      </c>
      <c r="F5" s="8">
        <f>IF(A5="","","orange_xgb_sigmoid")</f>
        <v/>
      </c>
      <c r="G5" s="8">
        <f>IF(D5="C","승인 필요","")</f>
        <v/>
      </c>
    </row>
    <row r="6">
      <c r="A6" s="5" t="n"/>
      <c r="B6" s="6">
        <f>IF(A6="","",DATE(2026,9,30))</f>
        <v/>
      </c>
      <c r="C6" s="7" t="n"/>
      <c r="D6" s="8">
        <f>IF(OR(C6="",t=""),"",_xlfn.IFS(C6&gt;=t,"C",C6&gt;=t/2,"B",C6&gt;=t/4,"A",TRUE,"S"))</f>
        <v/>
      </c>
      <c r="E6" s="9">
        <f>IF(OR(A6="",t=""),"",t)</f>
        <v/>
      </c>
      <c r="F6" s="8">
        <f>IF(A6="","","orange_xgb_sigmoid")</f>
        <v/>
      </c>
      <c r="G6" s="8">
        <f>IF(D6="C","승인 필요","")</f>
        <v/>
      </c>
    </row>
    <row r="7">
      <c r="A7" s="5" t="n"/>
      <c r="B7" s="6">
        <f>IF(A7="","",DATE(2026,9,30))</f>
        <v/>
      </c>
      <c r="C7" s="7" t="n"/>
      <c r="D7" s="8">
        <f>IF(OR(C7="",t=""),"",_xlfn.IFS(C7&gt;=t,"C",C7&gt;=t/2,"B",C7&gt;=t/4,"A",TRUE,"S"))</f>
        <v/>
      </c>
      <c r="E7" s="9">
        <f>IF(OR(A7="",t=""),"",t)</f>
        <v/>
      </c>
      <c r="F7" s="8">
        <f>IF(A7="","","orange_xgb_sigmoid")</f>
        <v/>
      </c>
      <c r="G7" s="8">
        <f>IF(D7="C","승인 필요","")</f>
        <v/>
      </c>
    </row>
    <row r="8">
      <c r="A8" s="5" t="n"/>
      <c r="B8" s="6">
        <f>IF(A8="","",DATE(2026,9,30))</f>
        <v/>
      </c>
      <c r="C8" s="7" t="n"/>
      <c r="D8" s="8">
        <f>IF(OR(C8="",t=""),"",_xlfn.IFS(C8&gt;=t,"C",C8&gt;=t/2,"B",C8&gt;=t/4,"A",TRUE,"S"))</f>
        <v/>
      </c>
      <c r="E8" s="9">
        <f>IF(OR(A8="",t=""),"",t)</f>
        <v/>
      </c>
      <c r="F8" s="8">
        <f>IF(A8="","","orange_xgb_sigmoid")</f>
        <v/>
      </c>
      <c r="G8" s="8">
        <f>IF(D8="C","승인 필요","")</f>
        <v/>
      </c>
    </row>
    <row r="9">
      <c r="A9" s="5" t="n"/>
      <c r="B9" s="6">
        <f>IF(A9="","",DATE(2026,9,30))</f>
        <v/>
      </c>
      <c r="C9" s="7" t="n"/>
      <c r="D9" s="8">
        <f>IF(OR(C9="",t=""),"",_xlfn.IFS(C9&gt;=t,"C",C9&gt;=t/2,"B",C9&gt;=t/4,"A",TRUE,"S"))</f>
        <v/>
      </c>
      <c r="E9" s="9">
        <f>IF(OR(A9="",t=""),"",t)</f>
        <v/>
      </c>
      <c r="F9" s="8">
        <f>IF(A9="","","orange_xgb_sigmoid")</f>
        <v/>
      </c>
      <c r="G9" s="8">
        <f>IF(D9="C","승인 필요","")</f>
        <v/>
      </c>
    </row>
    <row r="10">
      <c r="A10" s="5" t="n"/>
      <c r="B10" s="6">
        <f>IF(A10="","",DATE(2026,9,30))</f>
        <v/>
      </c>
      <c r="C10" s="7" t="n"/>
      <c r="D10" s="8">
        <f>IF(OR(C10="",t=""),"",_xlfn.IFS(C10&gt;=t,"C",C10&gt;=t/2,"B",C10&gt;=t/4,"A",TRUE,"S"))</f>
        <v/>
      </c>
      <c r="E10" s="9">
        <f>IF(OR(A10="",t=""),"",t)</f>
        <v/>
      </c>
      <c r="F10" s="8">
        <f>IF(A10="","","orange_xgb_sigmoid")</f>
        <v/>
      </c>
      <c r="G10" s="8">
        <f>IF(D10="C","승인 필요","")</f>
        <v/>
      </c>
    </row>
    <row r="11">
      <c r="A11" s="5" t="n"/>
      <c r="B11" s="6">
        <f>IF(A11="","",DATE(2026,9,30))</f>
        <v/>
      </c>
      <c r="C11" s="7" t="n"/>
      <c r="D11" s="8">
        <f>IF(OR(C11="",t=""),"",_xlfn.IFS(C11&gt;=t,"C",C11&gt;=t/2,"B",C11&gt;=t/4,"A",TRUE,"S"))</f>
        <v/>
      </c>
      <c r="E11" s="9">
        <f>IF(OR(A11="",t=""),"",t)</f>
        <v/>
      </c>
      <c r="F11" s="8">
        <f>IF(A11="","","orange_xgb_sigmoid")</f>
        <v/>
      </c>
      <c r="G11" s="8">
        <f>IF(D11="C","승인 필요","")</f>
        <v/>
      </c>
    </row>
    <row r="12">
      <c r="A12" s="5" t="n"/>
      <c r="B12" s="6">
        <f>IF(A12="","",DATE(2026,9,30))</f>
        <v/>
      </c>
      <c r="C12" s="7" t="n"/>
      <c r="D12" s="8">
        <f>IF(OR(C12="",t=""),"",_xlfn.IFS(C12&gt;=t,"C",C12&gt;=t/2,"B",C12&gt;=t/4,"A",TRUE,"S"))</f>
        <v/>
      </c>
      <c r="E12" s="9">
        <f>IF(OR(A12="",t=""),"",t)</f>
        <v/>
      </c>
      <c r="F12" s="8">
        <f>IF(A12="","","orange_xgb_sigmoid")</f>
        <v/>
      </c>
      <c r="G12" s="8">
        <f>IF(D12="C","승인 필요","")</f>
        <v/>
      </c>
    </row>
    <row r="13">
      <c r="A13" s="5" t="n"/>
      <c r="B13" s="6">
        <f>IF(A13="","",DATE(2026,9,30))</f>
        <v/>
      </c>
      <c r="C13" s="7" t="n"/>
      <c r="D13" s="8">
        <f>IF(OR(C13="",t=""),"",_xlfn.IFS(C13&gt;=t,"C",C13&gt;=t/2,"B",C13&gt;=t/4,"A",TRUE,"S"))</f>
        <v/>
      </c>
      <c r="E13" s="9">
        <f>IF(OR(A13="",t=""),"",t)</f>
        <v/>
      </c>
      <c r="F13" s="8">
        <f>IF(A13="","","orange_xgb_sigmoid")</f>
        <v/>
      </c>
      <c r="G13" s="8">
        <f>IF(D13="C","승인 필요","")</f>
        <v/>
      </c>
    </row>
    <row r="14">
      <c r="A14" s="5" t="n"/>
      <c r="B14" s="6">
        <f>IF(A14="","",DATE(2026,9,30))</f>
        <v/>
      </c>
      <c r="C14" s="7" t="n"/>
      <c r="D14" s="8">
        <f>IF(OR(C14="",t=""),"",_xlfn.IFS(C14&gt;=t,"C",C14&gt;=t/2,"B",C14&gt;=t/4,"A",TRUE,"S"))</f>
        <v/>
      </c>
      <c r="E14" s="9">
        <f>IF(OR(A14="",t=""),"",t)</f>
        <v/>
      </c>
      <c r="F14" s="8">
        <f>IF(A14="","","orange_xgb_sigmoid")</f>
        <v/>
      </c>
      <c r="G14" s="8">
        <f>IF(D14="C","승인 필요","")</f>
        <v/>
      </c>
    </row>
    <row r="15">
      <c r="A15" s="5" t="n"/>
      <c r="B15" s="6">
        <f>IF(A15="","",DATE(2026,9,30))</f>
        <v/>
      </c>
      <c r="C15" s="7" t="n"/>
      <c r="D15" s="8">
        <f>IF(OR(C15="",t=""),"",_xlfn.IFS(C15&gt;=t,"C",C15&gt;=t/2,"B",C15&gt;=t/4,"A",TRUE,"S"))</f>
        <v/>
      </c>
      <c r="E15" s="9">
        <f>IF(OR(A15="",t=""),"",t)</f>
        <v/>
      </c>
      <c r="F15" s="8">
        <f>IF(A15="","","orange_xgb_sigmoid")</f>
        <v/>
      </c>
      <c r="G15" s="8">
        <f>IF(D15="C","승인 필요","")</f>
        <v/>
      </c>
    </row>
    <row r="16">
      <c r="A16" s="5" t="n"/>
      <c r="B16" s="6">
        <f>IF(A16="","",DATE(2026,9,30))</f>
        <v/>
      </c>
      <c r="C16" s="7" t="n"/>
      <c r="D16" s="8">
        <f>IF(OR(C16="",t=""),"",_xlfn.IFS(C16&gt;=t,"C",C16&gt;=t/2,"B",C16&gt;=t/4,"A",TRUE,"S"))</f>
        <v/>
      </c>
      <c r="E16" s="9">
        <f>IF(OR(A16="",t=""),"",t)</f>
        <v/>
      </c>
      <c r="F16" s="8">
        <f>IF(A16="","","orange_xgb_sigmoid")</f>
        <v/>
      </c>
      <c r="G16" s="8">
        <f>IF(D16="C","승인 필요","")</f>
        <v/>
      </c>
    </row>
    <row r="17">
      <c r="A17" s="5" t="n"/>
      <c r="B17" s="6">
        <f>IF(A17="","",DATE(2026,9,30))</f>
        <v/>
      </c>
      <c r="C17" s="7" t="n"/>
      <c r="D17" s="8">
        <f>IF(OR(C17="",t=""),"",_xlfn.IFS(C17&gt;=t,"C",C17&gt;=t/2,"B",C17&gt;=t/4,"A",TRUE,"S"))</f>
        <v/>
      </c>
      <c r="E17" s="9">
        <f>IF(OR(A17="",t=""),"",t)</f>
        <v/>
      </c>
      <c r="F17" s="8">
        <f>IF(A17="","","orange_xgb_sigmoid")</f>
        <v/>
      </c>
      <c r="G17" s="8">
        <f>IF(D17="C","승인 필요","")</f>
        <v/>
      </c>
    </row>
    <row r="18">
      <c r="A18" s="5" t="n"/>
      <c r="B18" s="6">
        <f>IF(A18="","",DATE(2026,9,30))</f>
        <v/>
      </c>
      <c r="C18" s="7" t="n"/>
      <c r="D18" s="8">
        <f>IF(OR(C18="",t=""),"",_xlfn.IFS(C18&gt;=t,"C",C18&gt;=t/2,"B",C18&gt;=t/4,"A",TRUE,"S"))</f>
        <v/>
      </c>
      <c r="E18" s="9">
        <f>IF(OR(A18="",t=""),"",t)</f>
        <v/>
      </c>
      <c r="F18" s="8">
        <f>IF(A18="","","orange_xgb_sigmoid")</f>
        <v/>
      </c>
      <c r="G18" s="8">
        <f>IF(D18="C","승인 필요","")</f>
        <v/>
      </c>
    </row>
    <row r="19">
      <c r="A19" s="5" t="n"/>
      <c r="B19" s="6">
        <f>IF(A19="","",DATE(2026,9,30))</f>
        <v/>
      </c>
      <c r="C19" s="7" t="n"/>
      <c r="D19" s="8">
        <f>IF(OR(C19="",t=""),"",_xlfn.IFS(C19&gt;=t,"C",C19&gt;=t/2,"B",C19&gt;=t/4,"A",TRUE,"S"))</f>
        <v/>
      </c>
      <c r="E19" s="9">
        <f>IF(OR(A19="",t=""),"",t)</f>
        <v/>
      </c>
      <c r="F19" s="8">
        <f>IF(A19="","","orange_xgb_sigmoid")</f>
        <v/>
      </c>
      <c r="G19" s="8">
        <f>IF(D19="C","승인 필요","")</f>
        <v/>
      </c>
    </row>
    <row r="20">
      <c r="A20" s="5" t="n"/>
      <c r="B20" s="6">
        <f>IF(A20="","",DATE(2026,9,30))</f>
        <v/>
      </c>
      <c r="C20" s="7" t="n"/>
      <c r="D20" s="8">
        <f>IF(OR(C20="",t=""),"",_xlfn.IFS(C20&gt;=t,"C",C20&gt;=t/2,"B",C20&gt;=t/4,"A",TRUE,"S"))</f>
        <v/>
      </c>
      <c r="E20" s="9">
        <f>IF(OR(A20="",t=""),"",t)</f>
        <v/>
      </c>
      <c r="F20" s="8">
        <f>IF(A20="","","orange_xgb_sigmoid")</f>
        <v/>
      </c>
      <c r="G20" s="8">
        <f>IF(D20="C","승인 필요","")</f>
        <v/>
      </c>
    </row>
    <row r="21">
      <c r="A21" s="5" t="n"/>
      <c r="B21" s="6">
        <f>IF(A21="","",DATE(2026,9,30))</f>
        <v/>
      </c>
      <c r="C21" s="7" t="n"/>
      <c r="D21" s="8">
        <f>IF(OR(C21="",t=""),"",_xlfn.IFS(C21&gt;=t,"C",C21&gt;=t/2,"B",C21&gt;=t/4,"A",TRUE,"S"))</f>
        <v/>
      </c>
      <c r="E21" s="9">
        <f>IF(OR(A21="",t=""),"",t)</f>
        <v/>
      </c>
      <c r="F21" s="8">
        <f>IF(A21="","","orange_xgb_sigmoid")</f>
        <v/>
      </c>
      <c r="G21" s="8">
        <f>IF(D21="C","승인 필요","")</f>
        <v/>
      </c>
    </row>
    <row r="22">
      <c r="A22" s="5" t="n"/>
      <c r="B22" s="6">
        <f>IF(A22="","",DATE(2026,9,30))</f>
        <v/>
      </c>
      <c r="C22" s="7" t="n"/>
      <c r="D22" s="8">
        <f>IF(OR(C22="",t=""),"",_xlfn.IFS(C22&gt;=t,"C",C22&gt;=t/2,"B",C22&gt;=t/4,"A",TRUE,"S"))</f>
        <v/>
      </c>
      <c r="E22" s="9">
        <f>IF(OR(A22="",t=""),"",t)</f>
        <v/>
      </c>
      <c r="F22" s="8">
        <f>IF(A22="","","orange_xgb_sigmoid")</f>
        <v/>
      </c>
      <c r="G22" s="8">
        <f>IF(D22="C","승인 필요","")</f>
        <v/>
      </c>
    </row>
    <row r="23">
      <c r="A23" s="5" t="n"/>
      <c r="B23" s="6">
        <f>IF(A23="","",DATE(2026,9,30))</f>
        <v/>
      </c>
      <c r="C23" s="7" t="n"/>
      <c r="D23" s="8">
        <f>IF(OR(C23="",t=""),"",_xlfn.IFS(C23&gt;=t,"C",C23&gt;=t/2,"B",C23&gt;=t/4,"A",TRUE,"S"))</f>
        <v/>
      </c>
      <c r="E23" s="9">
        <f>IF(OR(A23="",t=""),"",t)</f>
        <v/>
      </c>
      <c r="F23" s="8">
        <f>IF(A23="","","orange_xgb_sigmoid")</f>
        <v/>
      </c>
      <c r="G23" s="8">
        <f>IF(D23="C","승인 필요","")</f>
        <v/>
      </c>
    </row>
    <row r="24">
      <c r="A24" s="5" t="n"/>
      <c r="B24" s="6">
        <f>IF(A24="","",DATE(2026,9,30))</f>
        <v/>
      </c>
      <c r="C24" s="7" t="n"/>
      <c r="D24" s="8">
        <f>IF(OR(C24="",t=""),"",_xlfn.IFS(C24&gt;=t,"C",C24&gt;=t/2,"B",C24&gt;=t/4,"A",TRUE,"S"))</f>
        <v/>
      </c>
      <c r="E24" s="9">
        <f>IF(OR(A24="",t=""),"",t)</f>
        <v/>
      </c>
      <c r="F24" s="8">
        <f>IF(A24="","","orange_xgb_sigmoid")</f>
        <v/>
      </c>
      <c r="G24" s="8">
        <f>IF(D24="C","승인 필요","")</f>
        <v/>
      </c>
    </row>
    <row r="25">
      <c r="A25" s="5" t="n"/>
      <c r="B25" s="6">
        <f>IF(A25="","",DATE(2026,9,30))</f>
        <v/>
      </c>
      <c r="C25" s="7" t="n"/>
      <c r="D25" s="8">
        <f>IF(OR(C25="",t=""),"",_xlfn.IFS(C25&gt;=t,"C",C25&gt;=t/2,"B",C25&gt;=t/4,"A",TRUE,"S"))</f>
        <v/>
      </c>
      <c r="E25" s="9">
        <f>IF(OR(A25="",t=""),"",t)</f>
        <v/>
      </c>
      <c r="F25" s="8">
        <f>IF(A25="","","orange_xgb_sigmoid")</f>
        <v/>
      </c>
      <c r="G25" s="8">
        <f>IF(D25="C","승인 필요","")</f>
        <v/>
      </c>
    </row>
    <row r="26">
      <c r="A26" s="5" t="n"/>
      <c r="B26" s="6">
        <f>IF(A26="","",DATE(2026,9,30))</f>
        <v/>
      </c>
      <c r="C26" s="7" t="n"/>
      <c r="D26" s="8">
        <f>IF(OR(C26="",t=""),"",_xlfn.IFS(C26&gt;=t,"C",C26&gt;=t/2,"B",C26&gt;=t/4,"A",TRUE,"S"))</f>
        <v/>
      </c>
      <c r="E26" s="9">
        <f>IF(OR(A26="",t=""),"",t)</f>
        <v/>
      </c>
      <c r="F26" s="8">
        <f>IF(A26="","","orange_xgb_sigmoid")</f>
        <v/>
      </c>
      <c r="G26" s="8">
        <f>IF(D26="C","승인 필요","")</f>
        <v/>
      </c>
    </row>
    <row r="27">
      <c r="A27" s="5" t="n"/>
      <c r="B27" s="6">
        <f>IF(A27="","",DATE(2026,9,30))</f>
        <v/>
      </c>
      <c r="C27" s="7" t="n"/>
      <c r="D27" s="8">
        <f>IF(OR(C27="",t=""),"",_xlfn.IFS(C27&gt;=t,"C",C27&gt;=t/2,"B",C27&gt;=t/4,"A",TRUE,"S"))</f>
        <v/>
      </c>
      <c r="E27" s="9">
        <f>IF(OR(A27="",t=""),"",t)</f>
        <v/>
      </c>
      <c r="F27" s="8">
        <f>IF(A27="","","orange_xgb_sigmoid")</f>
        <v/>
      </c>
      <c r="G27" s="8">
        <f>IF(D27="C","승인 필요","")</f>
        <v/>
      </c>
    </row>
    <row r="28">
      <c r="A28" s="5" t="n"/>
      <c r="B28" s="6">
        <f>IF(A28="","",DATE(2026,9,30))</f>
        <v/>
      </c>
      <c r="C28" s="7" t="n"/>
      <c r="D28" s="8">
        <f>IF(OR(C28="",t=""),"",_xlfn.IFS(C28&gt;=t,"C",C28&gt;=t/2,"B",C28&gt;=t/4,"A",TRUE,"S"))</f>
        <v/>
      </c>
      <c r="E28" s="9">
        <f>IF(OR(A28="",t=""),"",t)</f>
        <v/>
      </c>
      <c r="F28" s="8">
        <f>IF(A28="","","orange_xgb_sigmoid")</f>
        <v/>
      </c>
      <c r="G28" s="8">
        <f>IF(D28="C","승인 필요","")</f>
        <v/>
      </c>
    </row>
    <row r="29">
      <c r="A29" s="5" t="n"/>
      <c r="B29" s="6">
        <f>IF(A29="","",DATE(2026,9,30))</f>
        <v/>
      </c>
      <c r="C29" s="7" t="n"/>
      <c r="D29" s="8">
        <f>IF(OR(C29="",t=""),"",_xlfn.IFS(C29&gt;=t,"C",C29&gt;=t/2,"B",C29&gt;=t/4,"A",TRUE,"S"))</f>
        <v/>
      </c>
      <c r="E29" s="9">
        <f>IF(OR(A29="",t=""),"",t)</f>
        <v/>
      </c>
      <c r="F29" s="8">
        <f>IF(A29="","","orange_xgb_sigmoid")</f>
        <v/>
      </c>
      <c r="G29" s="8">
        <f>IF(D29="C","승인 필요","")</f>
        <v/>
      </c>
    </row>
    <row r="30">
      <c r="A30" s="5" t="n"/>
      <c r="B30" s="6">
        <f>IF(A30="","",DATE(2026,9,30))</f>
        <v/>
      </c>
      <c r="C30" s="7" t="n"/>
      <c r="D30" s="8">
        <f>IF(OR(C30="",t=""),"",_xlfn.IFS(C30&gt;=t,"C",C30&gt;=t/2,"B",C30&gt;=t/4,"A",TRUE,"S"))</f>
        <v/>
      </c>
      <c r="E30" s="9">
        <f>IF(OR(A30="",t=""),"",t)</f>
        <v/>
      </c>
      <c r="F30" s="8">
        <f>IF(A30="","","orange_xgb_sigmoid")</f>
        <v/>
      </c>
      <c r="G30" s="8">
        <f>IF(D30="C","승인 필요","")</f>
        <v/>
      </c>
    </row>
    <row r="31">
      <c r="A31" s="5" t="n"/>
      <c r="B31" s="6">
        <f>IF(A31="","",DATE(2026,9,30))</f>
        <v/>
      </c>
      <c r="C31" s="7" t="n"/>
      <c r="D31" s="8">
        <f>IF(OR(C31="",t=""),"",_xlfn.IFS(C31&gt;=t,"C",C31&gt;=t/2,"B",C31&gt;=t/4,"A",TRUE,"S"))</f>
        <v/>
      </c>
      <c r="E31" s="9">
        <f>IF(OR(A31="",t=""),"",t)</f>
        <v/>
      </c>
      <c r="F31" s="8">
        <f>IF(A31="","","orange_xgb_sigmoid")</f>
        <v/>
      </c>
      <c r="G31" s="8">
        <f>IF(D31="C","승인 필요","")</f>
        <v/>
      </c>
    </row>
    <row r="32">
      <c r="A32" s="5" t="n"/>
      <c r="B32" s="6">
        <f>IF(A32="","",DATE(2026,9,30))</f>
        <v/>
      </c>
      <c r="C32" s="7" t="n"/>
      <c r="D32" s="8">
        <f>IF(OR(C32="",t=""),"",_xlfn.IFS(C32&gt;=t,"C",C32&gt;=t/2,"B",C32&gt;=t/4,"A",TRUE,"S"))</f>
        <v/>
      </c>
      <c r="E32" s="9">
        <f>IF(OR(A32="",t=""),"",t)</f>
        <v/>
      </c>
      <c r="F32" s="8">
        <f>IF(A32="","","orange_xgb_sigmoid")</f>
        <v/>
      </c>
      <c r="G32" s="8">
        <f>IF(D32="C","승인 필요","")</f>
        <v/>
      </c>
    </row>
    <row r="33">
      <c r="A33" s="5" t="n"/>
      <c r="B33" s="6">
        <f>IF(A33="","",DATE(2026,9,30))</f>
        <v/>
      </c>
      <c r="C33" s="7" t="n"/>
      <c r="D33" s="8">
        <f>IF(OR(C33="",t=""),"",_xlfn.IFS(C33&gt;=t,"C",C33&gt;=t/2,"B",C33&gt;=t/4,"A",TRUE,"S"))</f>
        <v/>
      </c>
      <c r="E33" s="9">
        <f>IF(OR(A33="",t=""),"",t)</f>
        <v/>
      </c>
      <c r="F33" s="8">
        <f>IF(A33="","","orange_xgb_sigmoid")</f>
        <v/>
      </c>
      <c r="G33" s="8">
        <f>IF(D33="C","승인 필요","")</f>
        <v/>
      </c>
    </row>
    <row r="34">
      <c r="A34" s="5" t="n"/>
      <c r="B34" s="6">
        <f>IF(A34="","",DATE(2026,9,30))</f>
        <v/>
      </c>
      <c r="C34" s="7" t="n"/>
      <c r="D34" s="8">
        <f>IF(OR(C34="",t=""),"",_xlfn.IFS(C34&gt;=t,"C",C34&gt;=t/2,"B",C34&gt;=t/4,"A",TRUE,"S"))</f>
        <v/>
      </c>
      <c r="E34" s="9">
        <f>IF(OR(A34="",t=""),"",t)</f>
        <v/>
      </c>
      <c r="F34" s="8">
        <f>IF(A34="","","orange_xgb_sigmoid")</f>
        <v/>
      </c>
      <c r="G34" s="8">
        <f>IF(D34="C","승인 필요","")</f>
        <v/>
      </c>
    </row>
    <row r="35">
      <c r="A35" s="5" t="n"/>
      <c r="B35" s="6">
        <f>IF(A35="","",DATE(2026,9,30))</f>
        <v/>
      </c>
      <c r="C35" s="7" t="n"/>
      <c r="D35" s="8">
        <f>IF(OR(C35="",t=""),"",_xlfn.IFS(C35&gt;=t,"C",C35&gt;=t/2,"B",C35&gt;=t/4,"A",TRUE,"S"))</f>
        <v/>
      </c>
      <c r="E35" s="9">
        <f>IF(OR(A35="",t=""),"",t)</f>
        <v/>
      </c>
      <c r="F35" s="8">
        <f>IF(A35="","","orange_xgb_sigmoid")</f>
        <v/>
      </c>
      <c r="G35" s="8">
        <f>IF(D35="C","승인 필요","")</f>
        <v/>
      </c>
    </row>
    <row r="36">
      <c r="A36" s="5" t="n"/>
      <c r="B36" s="6">
        <f>IF(A36="","",DATE(2026,9,30))</f>
        <v/>
      </c>
      <c r="C36" s="7" t="n"/>
      <c r="D36" s="8">
        <f>IF(OR(C36="",t=""),"",_xlfn.IFS(C36&gt;=t,"C",C36&gt;=t/2,"B",C36&gt;=t/4,"A",TRUE,"S"))</f>
        <v/>
      </c>
      <c r="E36" s="9">
        <f>IF(OR(A36="",t=""),"",t)</f>
        <v/>
      </c>
      <c r="F36" s="8">
        <f>IF(A36="","","orange_xgb_sigmoid")</f>
        <v/>
      </c>
      <c r="G36" s="8">
        <f>IF(D36="C","승인 필요","")</f>
        <v/>
      </c>
    </row>
    <row r="37">
      <c r="A37" s="5" t="n"/>
      <c r="B37" s="6">
        <f>IF(A37="","",DATE(2026,9,30))</f>
        <v/>
      </c>
      <c r="C37" s="7" t="n"/>
      <c r="D37" s="8">
        <f>IF(OR(C37="",t=""),"",_xlfn.IFS(C37&gt;=t,"C",C37&gt;=t/2,"B",C37&gt;=t/4,"A",TRUE,"S"))</f>
        <v/>
      </c>
      <c r="E37" s="9">
        <f>IF(OR(A37="",t=""),"",t)</f>
        <v/>
      </c>
      <c r="F37" s="8">
        <f>IF(A37="","","orange_xgb_sigmoid")</f>
        <v/>
      </c>
      <c r="G37" s="8">
        <f>IF(D37="C","승인 필요","")</f>
        <v/>
      </c>
    </row>
    <row r="38">
      <c r="A38" s="5" t="n"/>
      <c r="B38" s="6">
        <f>IF(A38="","",DATE(2026,9,30))</f>
        <v/>
      </c>
      <c r="C38" s="7" t="n"/>
      <c r="D38" s="8">
        <f>IF(OR(C38="",t=""),"",_xlfn.IFS(C38&gt;=t,"C",C38&gt;=t/2,"B",C38&gt;=t/4,"A",TRUE,"S"))</f>
        <v/>
      </c>
      <c r="E38" s="9">
        <f>IF(OR(A38="",t=""),"",t)</f>
        <v/>
      </c>
      <c r="F38" s="8">
        <f>IF(A38="","","orange_xgb_sigmoid")</f>
        <v/>
      </c>
      <c r="G38" s="8">
        <f>IF(D38="C","승인 필요","")</f>
        <v/>
      </c>
    </row>
    <row r="39">
      <c r="A39" s="5" t="n"/>
      <c r="B39" s="6">
        <f>IF(A39="","",DATE(2026,9,30))</f>
        <v/>
      </c>
      <c r="C39" s="7" t="n"/>
      <c r="D39" s="8">
        <f>IF(OR(C39="",t=""),"",_xlfn.IFS(C39&gt;=t,"C",C39&gt;=t/2,"B",C39&gt;=t/4,"A",TRUE,"S"))</f>
        <v/>
      </c>
      <c r="E39" s="9">
        <f>IF(OR(A39="",t=""),"",t)</f>
        <v/>
      </c>
      <c r="F39" s="8">
        <f>IF(A39="","","orange_xgb_sigmoid")</f>
        <v/>
      </c>
      <c r="G39" s="8">
        <f>IF(D39="C","승인 필요","")</f>
        <v/>
      </c>
    </row>
    <row r="40">
      <c r="A40" s="5" t="n"/>
      <c r="B40" s="6">
        <f>IF(A40="","",DATE(2026,9,30))</f>
        <v/>
      </c>
      <c r="C40" s="7" t="n"/>
      <c r="D40" s="8">
        <f>IF(OR(C40="",t=""),"",_xlfn.IFS(C40&gt;=t,"C",C40&gt;=t/2,"B",C40&gt;=t/4,"A",TRUE,"S"))</f>
        <v/>
      </c>
      <c r="E40" s="9">
        <f>IF(OR(A40="",t=""),"",t)</f>
        <v/>
      </c>
      <c r="F40" s="8">
        <f>IF(A40="","","orange_xgb_sigmoid")</f>
        <v/>
      </c>
      <c r="G40" s="8">
        <f>IF(D40="C","승인 필요","")</f>
        <v/>
      </c>
    </row>
    <row r="41">
      <c r="A41" s="5" t="n"/>
      <c r="B41" s="6">
        <f>IF(A41="","",DATE(2026,9,30))</f>
        <v/>
      </c>
      <c r="C41" s="7" t="n"/>
      <c r="D41" s="8">
        <f>IF(OR(C41="",t=""),"",_xlfn.IFS(C41&gt;=t,"C",C41&gt;=t/2,"B",C41&gt;=t/4,"A",TRUE,"S"))</f>
        <v/>
      </c>
      <c r="E41" s="9">
        <f>IF(OR(A41="",t=""),"",t)</f>
        <v/>
      </c>
      <c r="F41" s="8">
        <f>IF(A41="","","orange_xgb_sigmoid")</f>
        <v/>
      </c>
      <c r="G41" s="8">
        <f>IF(D41="C","승인 필요","")</f>
        <v/>
      </c>
    </row>
    <row r="42">
      <c r="A42" s="5" t="n"/>
      <c r="B42" s="6">
        <f>IF(A42="","",DATE(2026,9,30))</f>
        <v/>
      </c>
      <c r="C42" s="7" t="n"/>
      <c r="D42" s="8">
        <f>IF(OR(C42="",t=""),"",_xlfn.IFS(C42&gt;=t,"C",C42&gt;=t/2,"B",C42&gt;=t/4,"A",TRUE,"S"))</f>
        <v/>
      </c>
      <c r="E42" s="9">
        <f>IF(OR(A42="",t=""),"",t)</f>
        <v/>
      </c>
      <c r="F42" s="8">
        <f>IF(A42="","","orange_xgb_sigmoid")</f>
        <v/>
      </c>
      <c r="G42" s="8">
        <f>IF(D42="C","승인 필요","")</f>
        <v/>
      </c>
    </row>
    <row r="43">
      <c r="A43" s="5" t="n"/>
      <c r="B43" s="6">
        <f>IF(A43="","",DATE(2026,9,30))</f>
        <v/>
      </c>
      <c r="C43" s="7" t="n"/>
      <c r="D43" s="8">
        <f>IF(OR(C43="",t=""),"",_xlfn.IFS(C43&gt;=t,"C",C43&gt;=t/2,"B",C43&gt;=t/4,"A",TRUE,"S"))</f>
        <v/>
      </c>
      <c r="E43" s="9">
        <f>IF(OR(A43="",t=""),"",t)</f>
        <v/>
      </c>
      <c r="F43" s="8">
        <f>IF(A43="","","orange_xgb_sigmoid")</f>
        <v/>
      </c>
      <c r="G43" s="8">
        <f>IF(D43="C","승인 필요","")</f>
        <v/>
      </c>
    </row>
    <row r="44">
      <c r="A44" s="5" t="n"/>
      <c r="B44" s="6">
        <f>IF(A44="","",DATE(2026,9,30))</f>
        <v/>
      </c>
      <c r="C44" s="7" t="n"/>
      <c r="D44" s="8">
        <f>IF(OR(C44="",t=""),"",_xlfn.IFS(C44&gt;=t,"C",C44&gt;=t/2,"B",C44&gt;=t/4,"A",TRUE,"S"))</f>
        <v/>
      </c>
      <c r="E44" s="9">
        <f>IF(OR(A44="",t=""),"",t)</f>
        <v/>
      </c>
      <c r="F44" s="8">
        <f>IF(A44="","","orange_xgb_sigmoid")</f>
        <v/>
      </c>
      <c r="G44" s="8">
        <f>IF(D44="C","승인 필요","")</f>
        <v/>
      </c>
    </row>
    <row r="45">
      <c r="A45" s="5" t="n"/>
      <c r="B45" s="6">
        <f>IF(A45="","",DATE(2026,9,30))</f>
        <v/>
      </c>
      <c r="C45" s="7" t="n"/>
      <c r="D45" s="8">
        <f>IF(OR(C45="",t=""),"",_xlfn.IFS(C45&gt;=t,"C",C45&gt;=t/2,"B",C45&gt;=t/4,"A",TRUE,"S"))</f>
        <v/>
      </c>
      <c r="E45" s="9">
        <f>IF(OR(A45="",t=""),"",t)</f>
        <v/>
      </c>
      <c r="F45" s="8">
        <f>IF(A45="","","orange_xgb_sigmoid")</f>
        <v/>
      </c>
      <c r="G45" s="8">
        <f>IF(D45="C","승인 필요","")</f>
        <v/>
      </c>
    </row>
    <row r="46">
      <c r="A46" s="5" t="n"/>
      <c r="B46" s="6">
        <f>IF(A46="","",DATE(2026,9,30))</f>
        <v/>
      </c>
      <c r="C46" s="7" t="n"/>
      <c r="D46" s="8">
        <f>IF(OR(C46="",t=""),"",_xlfn.IFS(C46&gt;=t,"C",C46&gt;=t/2,"B",C46&gt;=t/4,"A",TRUE,"S"))</f>
        <v/>
      </c>
      <c r="E46" s="9">
        <f>IF(OR(A46="",t=""),"",t)</f>
        <v/>
      </c>
      <c r="F46" s="8">
        <f>IF(A46="","","orange_xgb_sigmoid")</f>
        <v/>
      </c>
      <c r="G46" s="8">
        <f>IF(D46="C","승인 필요","")</f>
        <v/>
      </c>
    </row>
    <row r="47">
      <c r="A47" s="5" t="n"/>
      <c r="B47" s="6">
        <f>IF(A47="","",DATE(2026,9,30))</f>
        <v/>
      </c>
      <c r="C47" s="7" t="n"/>
      <c r="D47" s="8">
        <f>IF(OR(C47="",t=""),"",_xlfn.IFS(C47&gt;=t,"C",C47&gt;=t/2,"B",C47&gt;=t/4,"A",TRUE,"S"))</f>
        <v/>
      </c>
      <c r="E47" s="9">
        <f>IF(OR(A47="",t=""),"",t)</f>
        <v/>
      </c>
      <c r="F47" s="8">
        <f>IF(A47="","","orange_xgb_sigmoid")</f>
        <v/>
      </c>
      <c r="G47" s="8">
        <f>IF(D47="C","승인 필요","")</f>
        <v/>
      </c>
    </row>
    <row r="48">
      <c r="A48" s="5" t="n"/>
      <c r="B48" s="6">
        <f>IF(A48="","",DATE(2026,9,30))</f>
        <v/>
      </c>
      <c r="C48" s="7" t="n"/>
      <c r="D48" s="8">
        <f>IF(OR(C48="",t=""),"",_xlfn.IFS(C48&gt;=t,"C",C48&gt;=t/2,"B",C48&gt;=t/4,"A",TRUE,"S"))</f>
        <v/>
      </c>
      <c r="E48" s="9">
        <f>IF(OR(A48="",t=""),"",t)</f>
        <v/>
      </c>
      <c r="F48" s="8">
        <f>IF(A48="","","orange_xgb_sigmoid")</f>
        <v/>
      </c>
      <c r="G48" s="8">
        <f>IF(D48="C","승인 필요","")</f>
        <v/>
      </c>
    </row>
    <row r="49">
      <c r="A49" s="5" t="n"/>
      <c r="B49" s="6">
        <f>IF(A49="","",DATE(2026,9,30))</f>
        <v/>
      </c>
      <c r="C49" s="7" t="n"/>
      <c r="D49" s="8">
        <f>IF(OR(C49="",t=""),"",_xlfn.IFS(C49&gt;=t,"C",C49&gt;=t/2,"B",C49&gt;=t/4,"A",TRUE,"S"))</f>
        <v/>
      </c>
      <c r="E49" s="9">
        <f>IF(OR(A49="",t=""),"",t)</f>
        <v/>
      </c>
      <c r="F49" s="8">
        <f>IF(A49="","","orange_xgb_sigmoid")</f>
        <v/>
      </c>
      <c r="G49" s="8">
        <f>IF(D49="C","승인 필요","")</f>
        <v/>
      </c>
    </row>
    <row r="50">
      <c r="A50" s="5" t="n"/>
      <c r="B50" s="6">
        <f>IF(A50="","",DATE(2026,9,30))</f>
        <v/>
      </c>
      <c r="C50" s="7" t="n"/>
      <c r="D50" s="8">
        <f>IF(OR(C50="",t=""),"",_xlfn.IFS(C50&gt;=t,"C",C50&gt;=t/2,"B",C50&gt;=t/4,"A",TRUE,"S"))</f>
        <v/>
      </c>
      <c r="E50" s="9">
        <f>IF(OR(A50="",t=""),"",t)</f>
        <v/>
      </c>
      <c r="F50" s="8">
        <f>IF(A50="","","orange_xgb_sigmoid")</f>
        <v/>
      </c>
      <c r="G50" s="8">
        <f>IF(D50="C","승인 필요","")</f>
        <v/>
      </c>
    </row>
    <row r="51">
      <c r="A51" s="5" t="n"/>
      <c r="B51" s="6">
        <f>IF(A51="","",DATE(2026,9,30))</f>
        <v/>
      </c>
      <c r="C51" s="7" t="n"/>
      <c r="D51" s="8">
        <f>IF(OR(C51="",t=""),"",_xlfn.IFS(C51&gt;=t,"C",C51&gt;=t/2,"B",C51&gt;=t/4,"A",TRUE,"S"))</f>
        <v/>
      </c>
      <c r="E51" s="9">
        <f>IF(OR(A51="",t=""),"",t)</f>
        <v/>
      </c>
      <c r="F51" s="8">
        <f>IF(A51="","","orange_xgb_sigmoid")</f>
        <v/>
      </c>
      <c r="G51" s="8">
        <f>IF(D51="C","승인 필요","")</f>
        <v/>
      </c>
    </row>
    <row r="52">
      <c r="A52" s="5" t="n"/>
      <c r="B52" s="6">
        <f>IF(A52="","",DATE(2026,9,30))</f>
        <v/>
      </c>
      <c r="C52" s="7" t="n"/>
      <c r="D52" s="8">
        <f>IF(OR(C52="",t=""),"",_xlfn.IFS(C52&gt;=t,"C",C52&gt;=t/2,"B",C52&gt;=t/4,"A",TRUE,"S"))</f>
        <v/>
      </c>
      <c r="E52" s="9">
        <f>IF(OR(A52="",t=""),"",t)</f>
        <v/>
      </c>
      <c r="F52" s="8">
        <f>IF(A52="","","orange_xgb_sigmoid")</f>
        <v/>
      </c>
      <c r="G52" s="8">
        <f>IF(D52="C","승인 필요","")</f>
        <v/>
      </c>
    </row>
    <row r="53">
      <c r="A53" s="5" t="n"/>
      <c r="B53" s="6">
        <f>IF(A53="","",DATE(2026,9,30))</f>
        <v/>
      </c>
      <c r="C53" s="7" t="n"/>
      <c r="D53" s="8">
        <f>IF(OR(C53="",t=""),"",_xlfn.IFS(C53&gt;=t,"C",C53&gt;=t/2,"B",C53&gt;=t/4,"A",TRUE,"S"))</f>
        <v/>
      </c>
      <c r="E53" s="9">
        <f>IF(OR(A53="",t=""),"",t)</f>
        <v/>
      </c>
      <c r="F53" s="8">
        <f>IF(A53="","","orange_xgb_sigmoid")</f>
        <v/>
      </c>
      <c r="G53" s="8">
        <f>IF(D53="C","승인 필요","")</f>
        <v/>
      </c>
    </row>
    <row r="54">
      <c r="A54" s="5" t="n"/>
      <c r="B54" s="6">
        <f>IF(A54="","",DATE(2026,9,30))</f>
        <v/>
      </c>
      <c r="C54" s="7" t="n"/>
      <c r="D54" s="8">
        <f>IF(OR(C54="",t=""),"",_xlfn.IFS(C54&gt;=t,"C",C54&gt;=t/2,"B",C54&gt;=t/4,"A",TRUE,"S"))</f>
        <v/>
      </c>
      <c r="E54" s="9">
        <f>IF(OR(A54="",t=""),"",t)</f>
        <v/>
      </c>
      <c r="F54" s="8">
        <f>IF(A54="","","orange_xgb_sigmoid")</f>
        <v/>
      </c>
      <c r="G54" s="8">
        <f>IF(D54="C","승인 필요","")</f>
        <v/>
      </c>
    </row>
    <row r="55">
      <c r="A55" s="5" t="n"/>
      <c r="B55" s="6">
        <f>IF(A55="","",DATE(2026,9,30))</f>
        <v/>
      </c>
      <c r="C55" s="7" t="n"/>
      <c r="D55" s="8">
        <f>IF(OR(C55="",t=""),"",_xlfn.IFS(C55&gt;=t,"C",C55&gt;=t/2,"B",C55&gt;=t/4,"A",TRUE,"S"))</f>
        <v/>
      </c>
      <c r="E55" s="9">
        <f>IF(OR(A55="",t=""),"",t)</f>
        <v/>
      </c>
      <c r="F55" s="8">
        <f>IF(A55="","","orange_xgb_sigmoid")</f>
        <v/>
      </c>
      <c r="G55" s="8">
        <f>IF(D55="C","승인 필요","")</f>
        <v/>
      </c>
    </row>
    <row r="56">
      <c r="A56" s="5" t="n"/>
      <c r="B56" s="6">
        <f>IF(A56="","",DATE(2026,9,30))</f>
        <v/>
      </c>
      <c r="C56" s="7" t="n"/>
      <c r="D56" s="8">
        <f>IF(OR(C56="",t=""),"",_xlfn.IFS(C56&gt;=t,"C",C56&gt;=t/2,"B",C56&gt;=t/4,"A",TRUE,"S"))</f>
        <v/>
      </c>
      <c r="E56" s="9">
        <f>IF(OR(A56="",t=""),"",t)</f>
        <v/>
      </c>
      <c r="F56" s="8">
        <f>IF(A56="","","orange_xgb_sigmoid")</f>
        <v/>
      </c>
      <c r="G56" s="8">
        <f>IF(D56="C","승인 필요","")</f>
        <v/>
      </c>
    </row>
    <row r="57">
      <c r="A57" s="5" t="n"/>
      <c r="B57" s="6">
        <f>IF(A57="","",DATE(2026,9,30))</f>
        <v/>
      </c>
      <c r="C57" s="7" t="n"/>
      <c r="D57" s="8">
        <f>IF(OR(C57="",t=""),"",_xlfn.IFS(C57&gt;=t,"C",C57&gt;=t/2,"B",C57&gt;=t/4,"A",TRUE,"S"))</f>
        <v/>
      </c>
      <c r="E57" s="9">
        <f>IF(OR(A57="",t=""),"",t)</f>
        <v/>
      </c>
      <c r="F57" s="8">
        <f>IF(A57="","","orange_xgb_sigmoid")</f>
        <v/>
      </c>
      <c r="G57" s="8">
        <f>IF(D57="C","승인 필요","")</f>
        <v/>
      </c>
    </row>
    <row r="58">
      <c r="A58" s="5" t="n"/>
      <c r="B58" s="6">
        <f>IF(A58="","",DATE(2026,9,30))</f>
        <v/>
      </c>
      <c r="C58" s="7" t="n"/>
      <c r="D58" s="8">
        <f>IF(OR(C58="",t=""),"",_xlfn.IFS(C58&gt;=t,"C",C58&gt;=t/2,"B",C58&gt;=t/4,"A",TRUE,"S"))</f>
        <v/>
      </c>
      <c r="E58" s="9">
        <f>IF(OR(A58="",t=""),"",t)</f>
        <v/>
      </c>
      <c r="F58" s="8">
        <f>IF(A58="","","orange_xgb_sigmoid")</f>
        <v/>
      </c>
      <c r="G58" s="8">
        <f>IF(D58="C","승인 필요","")</f>
        <v/>
      </c>
    </row>
    <row r="59">
      <c r="A59" s="5" t="n"/>
      <c r="B59" s="6">
        <f>IF(A59="","",DATE(2026,9,30))</f>
        <v/>
      </c>
      <c r="C59" s="7" t="n"/>
      <c r="D59" s="8">
        <f>IF(OR(C59="",t=""),"",_xlfn.IFS(C59&gt;=t,"C",C59&gt;=t/2,"B",C59&gt;=t/4,"A",TRUE,"S"))</f>
        <v/>
      </c>
      <c r="E59" s="9">
        <f>IF(OR(A59="",t=""),"",t)</f>
        <v/>
      </c>
      <c r="F59" s="8">
        <f>IF(A59="","","orange_xgb_sigmoid")</f>
        <v/>
      </c>
      <c r="G59" s="8">
        <f>IF(D59="C","승인 필요","")</f>
        <v/>
      </c>
    </row>
    <row r="60">
      <c r="A60" s="5" t="n"/>
      <c r="B60" s="6">
        <f>IF(A60="","",DATE(2026,9,30))</f>
        <v/>
      </c>
      <c r="C60" s="7" t="n"/>
      <c r="D60" s="8">
        <f>IF(OR(C60="",t=""),"",_xlfn.IFS(C60&gt;=t,"C",C60&gt;=t/2,"B",C60&gt;=t/4,"A",TRUE,"S"))</f>
        <v/>
      </c>
      <c r="E60" s="9">
        <f>IF(OR(A60="",t=""),"",t)</f>
        <v/>
      </c>
      <c r="F60" s="8">
        <f>IF(A60="","","orange_xgb_sigmoid")</f>
        <v/>
      </c>
      <c r="G60" s="8">
        <f>IF(D60="C","승인 필요","")</f>
        <v/>
      </c>
    </row>
    <row r="61">
      <c r="A61" s="5" t="n"/>
      <c r="B61" s="6">
        <f>IF(A61="","",DATE(2026,9,30))</f>
        <v/>
      </c>
      <c r="C61" s="7" t="n"/>
      <c r="D61" s="8">
        <f>IF(OR(C61="",t=""),"",_xlfn.IFS(C61&gt;=t,"C",C61&gt;=t/2,"B",C61&gt;=t/4,"A",TRUE,"S"))</f>
        <v/>
      </c>
      <c r="E61" s="9">
        <f>IF(OR(A61="",t=""),"",t)</f>
        <v/>
      </c>
      <c r="F61" s="8">
        <f>IF(A61="","","orange_xgb_sigmoid")</f>
        <v/>
      </c>
      <c r="G61" s="8">
        <f>IF(D61="C","승인 필요","")</f>
        <v/>
      </c>
    </row>
    <row r="62">
      <c r="A62" s="5" t="n"/>
      <c r="B62" s="6">
        <f>IF(A62="","",DATE(2026,9,30))</f>
        <v/>
      </c>
      <c r="C62" s="7" t="n"/>
      <c r="D62" s="8">
        <f>IF(OR(C62="",t=""),"",_xlfn.IFS(C62&gt;=t,"C",C62&gt;=t/2,"B",C62&gt;=t/4,"A",TRUE,"S"))</f>
        <v/>
      </c>
      <c r="E62" s="9">
        <f>IF(OR(A62="",t=""),"",t)</f>
        <v/>
      </c>
      <c r="F62" s="8">
        <f>IF(A62="","","orange_xgb_sigmoid")</f>
        <v/>
      </c>
      <c r="G62" s="8">
        <f>IF(D62="C","승인 필요","")</f>
        <v/>
      </c>
    </row>
    <row r="63">
      <c r="A63" s="5" t="n"/>
      <c r="B63" s="6">
        <f>IF(A63="","",DATE(2026,9,30))</f>
        <v/>
      </c>
      <c r="C63" s="7" t="n"/>
      <c r="D63" s="8">
        <f>IF(OR(C63="",t=""),"",_xlfn.IFS(C63&gt;=t,"C",C63&gt;=t/2,"B",C63&gt;=t/4,"A",TRUE,"S"))</f>
        <v/>
      </c>
      <c r="E63" s="9">
        <f>IF(OR(A63="",t=""),"",t)</f>
        <v/>
      </c>
      <c r="F63" s="8">
        <f>IF(A63="","","orange_xgb_sigmoid")</f>
        <v/>
      </c>
      <c r="G63" s="8">
        <f>IF(D63="C","승인 필요","")</f>
        <v/>
      </c>
    </row>
    <row r="64">
      <c r="A64" s="5" t="n"/>
      <c r="B64" s="6">
        <f>IF(A64="","",DATE(2026,9,30))</f>
        <v/>
      </c>
      <c r="C64" s="7" t="n"/>
      <c r="D64" s="8">
        <f>IF(OR(C64="",t=""),"",_xlfn.IFS(C64&gt;=t,"C",C64&gt;=t/2,"B",C64&gt;=t/4,"A",TRUE,"S"))</f>
        <v/>
      </c>
      <c r="E64" s="9">
        <f>IF(OR(A64="",t=""),"",t)</f>
        <v/>
      </c>
      <c r="F64" s="8">
        <f>IF(A64="","","orange_xgb_sigmoid")</f>
        <v/>
      </c>
      <c r="G64" s="8">
        <f>IF(D64="C","승인 필요","")</f>
        <v/>
      </c>
    </row>
    <row r="65">
      <c r="A65" s="5" t="n"/>
      <c r="B65" s="6">
        <f>IF(A65="","",DATE(2026,9,30))</f>
        <v/>
      </c>
      <c r="C65" s="7" t="n"/>
      <c r="D65" s="8">
        <f>IF(OR(C65="",t=""),"",_xlfn.IFS(C65&gt;=t,"C",C65&gt;=t/2,"B",C65&gt;=t/4,"A",TRUE,"S"))</f>
        <v/>
      </c>
      <c r="E65" s="9">
        <f>IF(OR(A65="",t=""),"",t)</f>
        <v/>
      </c>
      <c r="F65" s="8">
        <f>IF(A65="","","orange_xgb_sigmoid")</f>
        <v/>
      </c>
      <c r="G65" s="8">
        <f>IF(D65="C","승인 필요","")</f>
        <v/>
      </c>
    </row>
    <row r="66">
      <c r="A66" s="5" t="n"/>
      <c r="B66" s="6">
        <f>IF(A66="","",DATE(2026,9,30))</f>
        <v/>
      </c>
      <c r="C66" s="7" t="n"/>
      <c r="D66" s="8">
        <f>IF(OR(C66="",t=""),"",_xlfn.IFS(C66&gt;=t,"C",C66&gt;=t/2,"B",C66&gt;=t/4,"A",TRUE,"S"))</f>
        <v/>
      </c>
      <c r="E66" s="9">
        <f>IF(OR(A66="",t=""),"",t)</f>
        <v/>
      </c>
      <c r="F66" s="8">
        <f>IF(A66="","","orange_xgb_sigmoid")</f>
        <v/>
      </c>
      <c r="G66" s="8">
        <f>IF(D66="C","승인 필요","")</f>
        <v/>
      </c>
    </row>
    <row r="67">
      <c r="A67" s="5" t="n"/>
      <c r="B67" s="6">
        <f>IF(A67="","",DATE(2026,9,30))</f>
        <v/>
      </c>
      <c r="C67" s="7" t="n"/>
      <c r="D67" s="8">
        <f>IF(OR(C67="",t=""),"",_xlfn.IFS(C67&gt;=t,"C",C67&gt;=t/2,"B",C67&gt;=t/4,"A",TRUE,"S"))</f>
        <v/>
      </c>
      <c r="E67" s="9">
        <f>IF(OR(A67="",t=""),"",t)</f>
        <v/>
      </c>
      <c r="F67" s="8">
        <f>IF(A67="","","orange_xgb_sigmoid")</f>
        <v/>
      </c>
      <c r="G67" s="8">
        <f>IF(D67="C","승인 필요","")</f>
        <v/>
      </c>
    </row>
    <row r="68">
      <c r="A68" s="5" t="n"/>
      <c r="B68" s="6">
        <f>IF(A68="","",DATE(2026,9,30))</f>
        <v/>
      </c>
      <c r="C68" s="7" t="n"/>
      <c r="D68" s="8">
        <f>IF(OR(C68="",t=""),"",_xlfn.IFS(C68&gt;=t,"C",C68&gt;=t/2,"B",C68&gt;=t/4,"A",TRUE,"S"))</f>
        <v/>
      </c>
      <c r="E68" s="9">
        <f>IF(OR(A68="",t=""),"",t)</f>
        <v/>
      </c>
      <c r="F68" s="8">
        <f>IF(A68="","","orange_xgb_sigmoid")</f>
        <v/>
      </c>
      <c r="G68" s="8">
        <f>IF(D68="C","승인 필요","")</f>
        <v/>
      </c>
    </row>
    <row r="69">
      <c r="A69" s="5" t="n"/>
      <c r="B69" s="6">
        <f>IF(A69="","",DATE(2026,9,30))</f>
        <v/>
      </c>
      <c r="C69" s="7" t="n"/>
      <c r="D69" s="8">
        <f>IF(OR(C69="",t=""),"",_xlfn.IFS(C69&gt;=t,"C",C69&gt;=t/2,"B",C69&gt;=t/4,"A",TRUE,"S"))</f>
        <v/>
      </c>
      <c r="E69" s="9">
        <f>IF(OR(A69="",t=""),"",t)</f>
        <v/>
      </c>
      <c r="F69" s="8">
        <f>IF(A69="","","orange_xgb_sigmoid")</f>
        <v/>
      </c>
      <c r="G69" s="8">
        <f>IF(D69="C","승인 필요","")</f>
        <v/>
      </c>
    </row>
    <row r="70">
      <c r="A70" s="5" t="n"/>
      <c r="B70" s="6">
        <f>IF(A70="","",DATE(2026,9,30))</f>
        <v/>
      </c>
      <c r="C70" s="7" t="n"/>
      <c r="D70" s="8">
        <f>IF(OR(C70="",t=""),"",_xlfn.IFS(C70&gt;=t,"C",C70&gt;=t/2,"B",C70&gt;=t/4,"A",TRUE,"S"))</f>
        <v/>
      </c>
      <c r="E70" s="9">
        <f>IF(OR(A70="",t=""),"",t)</f>
        <v/>
      </c>
      <c r="F70" s="8">
        <f>IF(A70="","","orange_xgb_sigmoid")</f>
        <v/>
      </c>
      <c r="G70" s="8">
        <f>IF(D70="C","승인 필요","")</f>
        <v/>
      </c>
    </row>
    <row r="71">
      <c r="A71" s="5" t="n"/>
      <c r="B71" s="6">
        <f>IF(A71="","",DATE(2026,9,30))</f>
        <v/>
      </c>
      <c r="C71" s="7" t="n"/>
      <c r="D71" s="8">
        <f>IF(OR(C71="",t=""),"",_xlfn.IFS(C71&gt;=t,"C",C71&gt;=t/2,"B",C71&gt;=t/4,"A",TRUE,"S"))</f>
        <v/>
      </c>
      <c r="E71" s="9">
        <f>IF(OR(A71="",t=""),"",t)</f>
        <v/>
      </c>
      <c r="F71" s="8">
        <f>IF(A71="","","orange_xgb_sigmoid")</f>
        <v/>
      </c>
      <c r="G71" s="8">
        <f>IF(D71="C","승인 필요","")</f>
        <v/>
      </c>
    </row>
    <row r="72">
      <c r="A72" s="5" t="n"/>
      <c r="B72" s="6">
        <f>IF(A72="","",DATE(2026,9,30))</f>
        <v/>
      </c>
      <c r="C72" s="7" t="n"/>
      <c r="D72" s="8">
        <f>IF(OR(C72="",t=""),"",_xlfn.IFS(C72&gt;=t,"C",C72&gt;=t/2,"B",C72&gt;=t/4,"A",TRUE,"S"))</f>
        <v/>
      </c>
      <c r="E72" s="9">
        <f>IF(OR(A72="",t=""),"",t)</f>
        <v/>
      </c>
      <c r="F72" s="8">
        <f>IF(A72="","","orange_xgb_sigmoid")</f>
        <v/>
      </c>
      <c r="G72" s="8">
        <f>IF(D72="C","승인 필요","")</f>
        <v/>
      </c>
    </row>
    <row r="73">
      <c r="A73" s="5" t="n"/>
      <c r="B73" s="6">
        <f>IF(A73="","",DATE(2026,9,30))</f>
        <v/>
      </c>
      <c r="C73" s="7" t="n"/>
      <c r="D73" s="8">
        <f>IF(OR(C73="",t=""),"",_xlfn.IFS(C73&gt;=t,"C",C73&gt;=t/2,"B",C73&gt;=t/4,"A",TRUE,"S"))</f>
        <v/>
      </c>
      <c r="E73" s="9">
        <f>IF(OR(A73="",t=""),"",t)</f>
        <v/>
      </c>
      <c r="F73" s="8">
        <f>IF(A73="","","orange_xgb_sigmoid")</f>
        <v/>
      </c>
      <c r="G73" s="8">
        <f>IF(D73="C","승인 필요","")</f>
        <v/>
      </c>
    </row>
    <row r="74">
      <c r="A74" s="5" t="n"/>
      <c r="B74" s="6">
        <f>IF(A74="","",DATE(2026,9,30))</f>
        <v/>
      </c>
      <c r="C74" s="7" t="n"/>
      <c r="D74" s="8">
        <f>IF(OR(C74="",t=""),"",_xlfn.IFS(C74&gt;=t,"C",C74&gt;=t/2,"B",C74&gt;=t/4,"A",TRUE,"S"))</f>
        <v/>
      </c>
      <c r="E74" s="9">
        <f>IF(OR(A74="",t=""),"",t)</f>
        <v/>
      </c>
      <c r="F74" s="8">
        <f>IF(A74="","","orange_xgb_sigmoid")</f>
        <v/>
      </c>
      <c r="G74" s="8">
        <f>IF(D74="C","승인 필요","")</f>
        <v/>
      </c>
    </row>
    <row r="75">
      <c r="A75" s="5" t="n"/>
      <c r="B75" s="6">
        <f>IF(A75="","",DATE(2026,9,30))</f>
        <v/>
      </c>
      <c r="C75" s="7" t="n"/>
      <c r="D75" s="8">
        <f>IF(OR(C75="",t=""),"",_xlfn.IFS(C75&gt;=t,"C",C75&gt;=t/2,"B",C75&gt;=t/4,"A",TRUE,"S"))</f>
        <v/>
      </c>
      <c r="E75" s="9">
        <f>IF(OR(A75="",t=""),"",t)</f>
        <v/>
      </c>
      <c r="F75" s="8">
        <f>IF(A75="","","orange_xgb_sigmoid")</f>
        <v/>
      </c>
      <c r="G75" s="8">
        <f>IF(D75="C","승인 필요","")</f>
        <v/>
      </c>
    </row>
    <row r="76">
      <c r="A76" s="5" t="n"/>
      <c r="B76" s="6">
        <f>IF(A76="","",DATE(2026,9,30))</f>
        <v/>
      </c>
      <c r="C76" s="7" t="n"/>
      <c r="D76" s="8">
        <f>IF(OR(C76="",t=""),"",_xlfn.IFS(C76&gt;=t,"C",C76&gt;=t/2,"B",C76&gt;=t/4,"A",TRUE,"S"))</f>
        <v/>
      </c>
      <c r="E76" s="9">
        <f>IF(OR(A76="",t=""),"",t)</f>
        <v/>
      </c>
      <c r="F76" s="8">
        <f>IF(A76="","","orange_xgb_sigmoid")</f>
        <v/>
      </c>
      <c r="G76" s="8">
        <f>IF(D76="C","승인 필요","")</f>
        <v/>
      </c>
    </row>
    <row r="77">
      <c r="A77" s="5" t="n"/>
      <c r="B77" s="6">
        <f>IF(A77="","",DATE(2026,9,30))</f>
        <v/>
      </c>
      <c r="C77" s="7" t="n"/>
      <c r="D77" s="8">
        <f>IF(OR(C77="",t=""),"",_xlfn.IFS(C77&gt;=t,"C",C77&gt;=t/2,"B",C77&gt;=t/4,"A",TRUE,"S"))</f>
        <v/>
      </c>
      <c r="E77" s="9">
        <f>IF(OR(A77="",t=""),"",t)</f>
        <v/>
      </c>
      <c r="F77" s="8">
        <f>IF(A77="","","orange_xgb_sigmoid")</f>
        <v/>
      </c>
      <c r="G77" s="8">
        <f>IF(D77="C","승인 필요","")</f>
        <v/>
      </c>
    </row>
    <row r="78">
      <c r="A78" s="5" t="n"/>
      <c r="B78" s="6">
        <f>IF(A78="","",DATE(2026,9,30))</f>
        <v/>
      </c>
      <c r="C78" s="7" t="n"/>
      <c r="D78" s="8">
        <f>IF(OR(C78="",t=""),"",_xlfn.IFS(C78&gt;=t,"C",C78&gt;=t/2,"B",C78&gt;=t/4,"A",TRUE,"S"))</f>
        <v/>
      </c>
      <c r="E78" s="9">
        <f>IF(OR(A78="",t=""),"",t)</f>
        <v/>
      </c>
      <c r="F78" s="8">
        <f>IF(A78="","","orange_xgb_sigmoid")</f>
        <v/>
      </c>
      <c r="G78" s="8">
        <f>IF(D78="C","승인 필요","")</f>
        <v/>
      </c>
    </row>
    <row r="79">
      <c r="A79" s="5" t="n"/>
      <c r="B79" s="6">
        <f>IF(A79="","",DATE(2026,9,30))</f>
        <v/>
      </c>
      <c r="C79" s="7" t="n"/>
      <c r="D79" s="8">
        <f>IF(OR(C79="",t=""),"",_xlfn.IFS(C79&gt;=t,"C",C79&gt;=t/2,"B",C79&gt;=t/4,"A",TRUE,"S"))</f>
        <v/>
      </c>
      <c r="E79" s="9">
        <f>IF(OR(A79="",t=""),"",t)</f>
        <v/>
      </c>
      <c r="F79" s="8">
        <f>IF(A79="","","orange_xgb_sigmoid")</f>
        <v/>
      </c>
      <c r="G79" s="8">
        <f>IF(D79="C","승인 필요","")</f>
        <v/>
      </c>
    </row>
    <row r="80">
      <c r="A80" s="5" t="n"/>
      <c r="B80" s="6">
        <f>IF(A80="","",DATE(2026,9,30))</f>
        <v/>
      </c>
      <c r="C80" s="7" t="n"/>
      <c r="D80" s="8">
        <f>IF(OR(C80="",t=""),"",_xlfn.IFS(C80&gt;=t,"C",C80&gt;=t/2,"B",C80&gt;=t/4,"A",TRUE,"S"))</f>
        <v/>
      </c>
      <c r="E80" s="9">
        <f>IF(OR(A80="",t=""),"",t)</f>
        <v/>
      </c>
      <c r="F80" s="8">
        <f>IF(A80="","","orange_xgb_sigmoid")</f>
        <v/>
      </c>
      <c r="G80" s="8">
        <f>IF(D80="C","승인 필요","")</f>
        <v/>
      </c>
    </row>
    <row r="81">
      <c r="A81" s="5" t="n"/>
      <c r="B81" s="6">
        <f>IF(A81="","",DATE(2026,9,30))</f>
        <v/>
      </c>
      <c r="C81" s="7" t="n"/>
      <c r="D81" s="8">
        <f>IF(OR(C81="",t=""),"",_xlfn.IFS(C81&gt;=t,"C",C81&gt;=t/2,"B",C81&gt;=t/4,"A",TRUE,"S"))</f>
        <v/>
      </c>
      <c r="E81" s="9">
        <f>IF(OR(A81="",t=""),"",t)</f>
        <v/>
      </c>
      <c r="F81" s="8">
        <f>IF(A81="","","orange_xgb_sigmoid")</f>
        <v/>
      </c>
      <c r="G81" s="8">
        <f>IF(D81="C","승인 필요","")</f>
        <v/>
      </c>
    </row>
    <row r="82">
      <c r="A82" s="5" t="n"/>
      <c r="B82" s="6">
        <f>IF(A82="","",DATE(2026,9,30))</f>
        <v/>
      </c>
      <c r="C82" s="7" t="n"/>
      <c r="D82" s="8">
        <f>IF(OR(C82="",t=""),"",_xlfn.IFS(C82&gt;=t,"C",C82&gt;=t/2,"B",C82&gt;=t/4,"A",TRUE,"S"))</f>
        <v/>
      </c>
      <c r="E82" s="9">
        <f>IF(OR(A82="",t=""),"",t)</f>
        <v/>
      </c>
      <c r="F82" s="8">
        <f>IF(A82="","","orange_xgb_sigmoid")</f>
        <v/>
      </c>
      <c r="G82" s="8">
        <f>IF(D82="C","승인 필요","")</f>
        <v/>
      </c>
    </row>
    <row r="83">
      <c r="A83" s="5" t="n"/>
      <c r="B83" s="6">
        <f>IF(A83="","",DATE(2026,9,30))</f>
        <v/>
      </c>
      <c r="C83" s="7" t="n"/>
      <c r="D83" s="8">
        <f>IF(OR(C83="",t=""),"",_xlfn.IFS(C83&gt;=t,"C",C83&gt;=t/2,"B",C83&gt;=t/4,"A",TRUE,"S"))</f>
        <v/>
      </c>
      <c r="E83" s="9">
        <f>IF(OR(A83="",t=""),"",t)</f>
        <v/>
      </c>
      <c r="F83" s="8">
        <f>IF(A83="","","orange_xgb_sigmoid")</f>
        <v/>
      </c>
      <c r="G83" s="8">
        <f>IF(D83="C","승인 필요","")</f>
        <v/>
      </c>
    </row>
    <row r="84">
      <c r="A84" s="5" t="n"/>
      <c r="B84" s="6">
        <f>IF(A84="","",DATE(2026,9,30))</f>
        <v/>
      </c>
      <c r="C84" s="7" t="n"/>
      <c r="D84" s="8">
        <f>IF(OR(C84="",t=""),"",_xlfn.IFS(C84&gt;=t,"C",C84&gt;=t/2,"B",C84&gt;=t/4,"A",TRUE,"S"))</f>
        <v/>
      </c>
      <c r="E84" s="9">
        <f>IF(OR(A84="",t=""),"",t)</f>
        <v/>
      </c>
      <c r="F84" s="8">
        <f>IF(A84="","","orange_xgb_sigmoid")</f>
        <v/>
      </c>
      <c r="G84" s="8">
        <f>IF(D84="C","승인 필요","")</f>
        <v/>
      </c>
    </row>
    <row r="85">
      <c r="A85" s="5" t="n"/>
      <c r="B85" s="6">
        <f>IF(A85="","",DATE(2026,9,30))</f>
        <v/>
      </c>
      <c r="C85" s="7" t="n"/>
      <c r="D85" s="8">
        <f>IF(OR(C85="",t=""),"",_xlfn.IFS(C85&gt;=t,"C",C85&gt;=t/2,"B",C85&gt;=t/4,"A",TRUE,"S"))</f>
        <v/>
      </c>
      <c r="E85" s="9">
        <f>IF(OR(A85="",t=""),"",t)</f>
        <v/>
      </c>
      <c r="F85" s="8">
        <f>IF(A85="","","orange_xgb_sigmoid")</f>
        <v/>
      </c>
      <c r="G85" s="8">
        <f>IF(D85="C","승인 필요","")</f>
        <v/>
      </c>
    </row>
    <row r="86">
      <c r="A86" s="5" t="n"/>
      <c r="B86" s="6">
        <f>IF(A86="","",DATE(2026,9,30))</f>
        <v/>
      </c>
      <c r="C86" s="7" t="n"/>
      <c r="D86" s="8">
        <f>IF(OR(C86="",t=""),"",_xlfn.IFS(C86&gt;=t,"C",C86&gt;=t/2,"B",C86&gt;=t/4,"A",TRUE,"S"))</f>
        <v/>
      </c>
      <c r="E86" s="9">
        <f>IF(OR(A86="",t=""),"",t)</f>
        <v/>
      </c>
      <c r="F86" s="8">
        <f>IF(A86="","","orange_xgb_sigmoid")</f>
        <v/>
      </c>
      <c r="G86" s="8">
        <f>IF(D86="C","승인 필요","")</f>
        <v/>
      </c>
    </row>
    <row r="87">
      <c r="A87" s="5" t="n"/>
      <c r="B87" s="6">
        <f>IF(A87="","",DATE(2026,9,30))</f>
        <v/>
      </c>
      <c r="C87" s="7" t="n"/>
      <c r="D87" s="8">
        <f>IF(OR(C87="",t=""),"",_xlfn.IFS(C87&gt;=t,"C",C87&gt;=t/2,"B",C87&gt;=t/4,"A",TRUE,"S"))</f>
        <v/>
      </c>
      <c r="E87" s="9">
        <f>IF(OR(A87="",t=""),"",t)</f>
        <v/>
      </c>
      <c r="F87" s="8">
        <f>IF(A87="","","orange_xgb_sigmoid")</f>
        <v/>
      </c>
      <c r="G87" s="8">
        <f>IF(D87="C","승인 필요","")</f>
        <v/>
      </c>
    </row>
    <row r="88">
      <c r="A88" s="5" t="n"/>
      <c r="B88" s="6">
        <f>IF(A88="","",DATE(2026,9,30))</f>
        <v/>
      </c>
      <c r="C88" s="7" t="n"/>
      <c r="D88" s="8">
        <f>IF(OR(C88="",t=""),"",_xlfn.IFS(C88&gt;=t,"C",C88&gt;=t/2,"B",C88&gt;=t/4,"A",TRUE,"S"))</f>
        <v/>
      </c>
      <c r="E88" s="9">
        <f>IF(OR(A88="",t=""),"",t)</f>
        <v/>
      </c>
      <c r="F88" s="8">
        <f>IF(A88="","","orange_xgb_sigmoid")</f>
        <v/>
      </c>
      <c r="G88" s="8">
        <f>IF(D88="C","승인 필요","")</f>
        <v/>
      </c>
    </row>
    <row r="89">
      <c r="A89" s="5" t="n"/>
      <c r="B89" s="6">
        <f>IF(A89="","",DATE(2026,9,30))</f>
        <v/>
      </c>
      <c r="C89" s="7" t="n"/>
      <c r="D89" s="8">
        <f>IF(OR(C89="",t=""),"",_xlfn.IFS(C89&gt;=t,"C",C89&gt;=t/2,"B",C89&gt;=t/4,"A",TRUE,"S"))</f>
        <v/>
      </c>
      <c r="E89" s="9">
        <f>IF(OR(A89="",t=""),"",t)</f>
        <v/>
      </c>
      <c r="F89" s="8">
        <f>IF(A89="","","orange_xgb_sigmoid")</f>
        <v/>
      </c>
      <c r="G89" s="8">
        <f>IF(D89="C","승인 필요","")</f>
        <v/>
      </c>
    </row>
    <row r="90">
      <c r="A90" s="5" t="n"/>
      <c r="B90" s="6">
        <f>IF(A90="","",DATE(2026,9,30))</f>
        <v/>
      </c>
      <c r="C90" s="7" t="n"/>
      <c r="D90" s="8">
        <f>IF(OR(C90="",t=""),"",_xlfn.IFS(C90&gt;=t,"C",C90&gt;=t/2,"B",C90&gt;=t/4,"A",TRUE,"S"))</f>
        <v/>
      </c>
      <c r="E90" s="9">
        <f>IF(OR(A90="",t=""),"",t)</f>
        <v/>
      </c>
      <c r="F90" s="8">
        <f>IF(A90="","","orange_xgb_sigmoid")</f>
        <v/>
      </c>
      <c r="G90" s="8">
        <f>IF(D90="C","승인 필요","")</f>
        <v/>
      </c>
    </row>
    <row r="91">
      <c r="A91" s="5" t="n"/>
      <c r="B91" s="6">
        <f>IF(A91="","",DATE(2026,9,30))</f>
        <v/>
      </c>
      <c r="C91" s="7" t="n"/>
      <c r="D91" s="8">
        <f>IF(OR(C91="",t=""),"",_xlfn.IFS(C91&gt;=t,"C",C91&gt;=t/2,"B",C91&gt;=t/4,"A",TRUE,"S"))</f>
        <v/>
      </c>
      <c r="E91" s="9">
        <f>IF(OR(A91="",t=""),"",t)</f>
        <v/>
      </c>
      <c r="F91" s="8">
        <f>IF(A91="","","orange_xgb_sigmoid")</f>
        <v/>
      </c>
      <c r="G91" s="8">
        <f>IF(D91="C","승인 필요","")</f>
        <v/>
      </c>
    </row>
    <row r="92">
      <c r="A92" s="5" t="n"/>
      <c r="B92" s="6">
        <f>IF(A92="","",DATE(2026,9,30))</f>
        <v/>
      </c>
      <c r="C92" s="7" t="n"/>
      <c r="D92" s="8">
        <f>IF(OR(C92="",t=""),"",_xlfn.IFS(C92&gt;=t,"C",C92&gt;=t/2,"B",C92&gt;=t/4,"A",TRUE,"S"))</f>
        <v/>
      </c>
      <c r="E92" s="9">
        <f>IF(OR(A92="",t=""),"",t)</f>
        <v/>
      </c>
      <c r="F92" s="8">
        <f>IF(A92="","","orange_xgb_sigmoid")</f>
        <v/>
      </c>
      <c r="G92" s="8">
        <f>IF(D92="C","승인 필요","")</f>
        <v/>
      </c>
    </row>
    <row r="93">
      <c r="A93" s="5" t="n"/>
      <c r="B93" s="6">
        <f>IF(A93="","",DATE(2026,9,30))</f>
        <v/>
      </c>
      <c r="C93" s="7" t="n"/>
      <c r="D93" s="8">
        <f>IF(OR(C93="",t=""),"",_xlfn.IFS(C93&gt;=t,"C",C93&gt;=t/2,"B",C93&gt;=t/4,"A",TRUE,"S"))</f>
        <v/>
      </c>
      <c r="E93" s="9">
        <f>IF(OR(A93="",t=""),"",t)</f>
        <v/>
      </c>
      <c r="F93" s="8">
        <f>IF(A93="","","orange_xgb_sigmoid")</f>
        <v/>
      </c>
      <c r="G93" s="8">
        <f>IF(D93="C","승인 필요","")</f>
        <v/>
      </c>
    </row>
    <row r="94">
      <c r="A94" s="5" t="n"/>
      <c r="B94" s="6">
        <f>IF(A94="","",DATE(2026,9,30))</f>
        <v/>
      </c>
      <c r="C94" s="7" t="n"/>
      <c r="D94" s="8">
        <f>IF(OR(C94="",t=""),"",_xlfn.IFS(C94&gt;=t,"C",C94&gt;=t/2,"B",C94&gt;=t/4,"A",TRUE,"S"))</f>
        <v/>
      </c>
      <c r="E94" s="9">
        <f>IF(OR(A94="",t=""),"",t)</f>
        <v/>
      </c>
      <c r="F94" s="8">
        <f>IF(A94="","","orange_xgb_sigmoid")</f>
        <v/>
      </c>
      <c r="G94" s="8">
        <f>IF(D94="C","승인 필요","")</f>
        <v/>
      </c>
    </row>
    <row r="95">
      <c r="A95" s="5" t="n"/>
      <c r="B95" s="6">
        <f>IF(A95="","",DATE(2026,9,30))</f>
        <v/>
      </c>
      <c r="C95" s="7" t="n"/>
      <c r="D95" s="8">
        <f>IF(OR(C95="",t=""),"",_xlfn.IFS(C95&gt;=t,"C",C95&gt;=t/2,"B",C95&gt;=t/4,"A",TRUE,"S"))</f>
        <v/>
      </c>
      <c r="E95" s="9">
        <f>IF(OR(A95="",t=""),"",t)</f>
        <v/>
      </c>
      <c r="F95" s="8">
        <f>IF(A95="","","orange_xgb_sigmoid")</f>
        <v/>
      </c>
      <c r="G95" s="8">
        <f>IF(D95="C","승인 필요","")</f>
        <v/>
      </c>
    </row>
    <row r="96">
      <c r="A96" s="5" t="n"/>
      <c r="B96" s="6">
        <f>IF(A96="","",DATE(2026,9,30))</f>
        <v/>
      </c>
      <c r="C96" s="7" t="n"/>
      <c r="D96" s="8">
        <f>IF(OR(C96="",t=""),"",_xlfn.IFS(C96&gt;=t,"C",C96&gt;=t/2,"B",C96&gt;=t/4,"A",TRUE,"S"))</f>
        <v/>
      </c>
      <c r="E96" s="9">
        <f>IF(OR(A96="",t=""),"",t)</f>
        <v/>
      </c>
      <c r="F96" s="8">
        <f>IF(A96="","","orange_xgb_sigmoid")</f>
        <v/>
      </c>
      <c r="G96" s="8">
        <f>IF(D96="C","승인 필요","")</f>
        <v/>
      </c>
    </row>
    <row r="97">
      <c r="A97" s="5" t="n"/>
      <c r="B97" s="6">
        <f>IF(A97="","",DATE(2026,9,30))</f>
        <v/>
      </c>
      <c r="C97" s="7" t="n"/>
      <c r="D97" s="8">
        <f>IF(OR(C97="",t=""),"",_xlfn.IFS(C97&gt;=t,"C",C97&gt;=t/2,"B",C97&gt;=t/4,"A",TRUE,"S"))</f>
        <v/>
      </c>
      <c r="E97" s="9">
        <f>IF(OR(A97="",t=""),"",t)</f>
        <v/>
      </c>
      <c r="F97" s="8">
        <f>IF(A97="","","orange_xgb_sigmoid")</f>
        <v/>
      </c>
      <c r="G97" s="8">
        <f>IF(D97="C","승인 필요","")</f>
        <v/>
      </c>
    </row>
    <row r="98">
      <c r="A98" s="5" t="n"/>
      <c r="B98" s="6">
        <f>IF(A98="","",DATE(2026,9,30))</f>
        <v/>
      </c>
      <c r="C98" s="7" t="n"/>
      <c r="D98" s="8">
        <f>IF(OR(C98="",t=""),"",_xlfn.IFS(C98&gt;=t,"C",C98&gt;=t/2,"B",C98&gt;=t/4,"A",TRUE,"S"))</f>
        <v/>
      </c>
      <c r="E98" s="9">
        <f>IF(OR(A98="",t=""),"",t)</f>
        <v/>
      </c>
      <c r="F98" s="8">
        <f>IF(A98="","","orange_xgb_sigmoid")</f>
        <v/>
      </c>
      <c r="G98" s="8">
        <f>IF(D98="C","승인 필요","")</f>
        <v/>
      </c>
    </row>
    <row r="99">
      <c r="A99" s="5" t="n"/>
      <c r="B99" s="6">
        <f>IF(A99="","",DATE(2026,9,30))</f>
        <v/>
      </c>
      <c r="C99" s="7" t="n"/>
      <c r="D99" s="8">
        <f>IF(OR(C99="",t=""),"",_xlfn.IFS(C99&gt;=t,"C",C99&gt;=t/2,"B",C99&gt;=t/4,"A",TRUE,"S"))</f>
        <v/>
      </c>
      <c r="E99" s="9">
        <f>IF(OR(A99="",t=""),"",t)</f>
        <v/>
      </c>
      <c r="F99" s="8">
        <f>IF(A99="","","orange_xgb_sigmoid")</f>
        <v/>
      </c>
      <c r="G99" s="8">
        <f>IF(D99="C","승인 필요","")</f>
        <v/>
      </c>
    </row>
    <row r="100">
      <c r="A100" s="5" t="n"/>
      <c r="B100" s="6">
        <f>IF(A100="","",DATE(2026,9,30))</f>
        <v/>
      </c>
      <c r="C100" s="7" t="n"/>
      <c r="D100" s="8">
        <f>IF(OR(C100="",t=""),"",_xlfn.IFS(C100&gt;=t,"C",C100&gt;=t/2,"B",C100&gt;=t/4,"A",TRUE,"S"))</f>
        <v/>
      </c>
      <c r="E100" s="9">
        <f>IF(OR(A100="",t=""),"",t)</f>
        <v/>
      </c>
      <c r="F100" s="8">
        <f>IF(A100="","","orange_xgb_sigmoid")</f>
        <v/>
      </c>
      <c r="G100" s="8">
        <f>IF(D100="C","승인 필요","")</f>
        <v/>
      </c>
    </row>
    <row r="101">
      <c r="A101" s="5" t="n"/>
      <c r="B101" s="6">
        <f>IF(A101="","",DATE(2026,9,30))</f>
        <v/>
      </c>
      <c r="C101" s="7" t="n"/>
      <c r="D101" s="8">
        <f>IF(OR(C101="",t=""),"",_xlfn.IFS(C101&gt;=t,"C",C101&gt;=t/2,"B",C101&gt;=t/4,"A",TRUE,"S"))</f>
        <v/>
      </c>
      <c r="E101" s="9">
        <f>IF(OR(A101="",t=""),"",t)</f>
        <v/>
      </c>
      <c r="F101" s="8">
        <f>IF(A101="","","orange_xgb_sigmoid")</f>
        <v/>
      </c>
      <c r="G101" s="8">
        <f>IF(D101="C","승인 필요","")</f>
        <v/>
      </c>
    </row>
    <row r="102">
      <c r="A102" s="5" t="n"/>
      <c r="B102" s="6">
        <f>IF(A102="","",DATE(2026,9,30))</f>
        <v/>
      </c>
      <c r="C102" s="7" t="n"/>
      <c r="D102" s="8">
        <f>IF(OR(C102="",t=""),"",_xlfn.IFS(C102&gt;=t,"C",C102&gt;=t/2,"B",C102&gt;=t/4,"A",TRUE,"S"))</f>
        <v/>
      </c>
      <c r="E102" s="9">
        <f>IF(OR(A102="",t=""),"",t)</f>
        <v/>
      </c>
      <c r="F102" s="8">
        <f>IF(A102="","","orange_xgb_sigmoid")</f>
        <v/>
      </c>
      <c r="G102" s="8">
        <f>IF(D102="C","승인 필요","")</f>
        <v/>
      </c>
    </row>
    <row r="103">
      <c r="A103" s="5" t="n"/>
      <c r="B103" s="6">
        <f>IF(A103="","",DATE(2026,9,30))</f>
        <v/>
      </c>
      <c r="C103" s="7" t="n"/>
      <c r="D103" s="8">
        <f>IF(OR(C103="",t=""),"",_xlfn.IFS(C103&gt;=t,"C",C103&gt;=t/2,"B",C103&gt;=t/4,"A",TRUE,"S"))</f>
        <v/>
      </c>
      <c r="E103" s="9">
        <f>IF(OR(A103="",t=""),"",t)</f>
        <v/>
      </c>
      <c r="F103" s="8">
        <f>IF(A103="","","orange_xgb_sigmoid")</f>
        <v/>
      </c>
      <c r="G103" s="8">
        <f>IF(D103="C","승인 필요","")</f>
        <v/>
      </c>
    </row>
    <row r="104">
      <c r="A104" s="5" t="n"/>
      <c r="B104" s="6">
        <f>IF(A104="","",DATE(2026,9,30))</f>
        <v/>
      </c>
      <c r="C104" s="7" t="n"/>
      <c r="D104" s="8">
        <f>IF(OR(C104="",t=""),"",_xlfn.IFS(C104&gt;=t,"C",C104&gt;=t/2,"B",C104&gt;=t/4,"A",TRUE,"S"))</f>
        <v/>
      </c>
      <c r="E104" s="9">
        <f>IF(OR(A104="",t=""),"",t)</f>
        <v/>
      </c>
      <c r="F104" s="8">
        <f>IF(A104="","","orange_xgb_sigmoid")</f>
        <v/>
      </c>
      <c r="G104" s="8">
        <f>IF(D104="C","승인 필요","")</f>
        <v/>
      </c>
    </row>
    <row r="105">
      <c r="A105" s="5" t="n"/>
      <c r="B105" s="6">
        <f>IF(A105="","",DATE(2026,9,30))</f>
        <v/>
      </c>
      <c r="C105" s="7" t="n"/>
      <c r="D105" s="8">
        <f>IF(OR(C105="",t=""),"",_xlfn.IFS(C105&gt;=t,"C",C105&gt;=t/2,"B",C105&gt;=t/4,"A",TRUE,"S"))</f>
        <v/>
      </c>
      <c r="E105" s="9">
        <f>IF(OR(A105="",t=""),"",t)</f>
        <v/>
      </c>
      <c r="F105" s="8">
        <f>IF(A105="","","orange_xgb_sigmoid")</f>
        <v/>
      </c>
      <c r="G105" s="8">
        <f>IF(D105="C","승인 필요","")</f>
        <v/>
      </c>
    </row>
    <row r="106">
      <c r="A106" s="5" t="n"/>
      <c r="B106" s="6">
        <f>IF(A106="","",DATE(2026,9,30))</f>
        <v/>
      </c>
      <c r="C106" s="7" t="n"/>
      <c r="D106" s="8">
        <f>IF(OR(C106="",t=""),"",_xlfn.IFS(C106&gt;=t,"C",C106&gt;=t/2,"B",C106&gt;=t/4,"A",TRUE,"S"))</f>
        <v/>
      </c>
      <c r="E106" s="9">
        <f>IF(OR(A106="",t=""),"",t)</f>
        <v/>
      </c>
      <c r="F106" s="8">
        <f>IF(A106="","","orange_xgb_sigmoid")</f>
        <v/>
      </c>
      <c r="G106" s="8">
        <f>IF(D106="C","승인 필요","")</f>
        <v/>
      </c>
    </row>
    <row r="107">
      <c r="A107" s="5" t="n"/>
      <c r="B107" s="6">
        <f>IF(A107="","",DATE(2026,9,30))</f>
        <v/>
      </c>
      <c r="C107" s="7" t="n"/>
      <c r="D107" s="8">
        <f>IF(OR(C107="",t=""),"",_xlfn.IFS(C107&gt;=t,"C",C107&gt;=t/2,"B",C107&gt;=t/4,"A",TRUE,"S"))</f>
        <v/>
      </c>
      <c r="E107" s="9">
        <f>IF(OR(A107="",t=""),"",t)</f>
        <v/>
      </c>
      <c r="F107" s="8">
        <f>IF(A107="","","orange_xgb_sigmoid")</f>
        <v/>
      </c>
      <c r="G107" s="8">
        <f>IF(D107="C","승인 필요","")</f>
        <v/>
      </c>
    </row>
    <row r="108">
      <c r="A108" s="5" t="n"/>
      <c r="B108" s="6">
        <f>IF(A108="","",DATE(2026,9,30))</f>
        <v/>
      </c>
      <c r="C108" s="7" t="n"/>
      <c r="D108" s="8">
        <f>IF(OR(C108="",t=""),"",_xlfn.IFS(C108&gt;=t,"C",C108&gt;=t/2,"B",C108&gt;=t/4,"A",TRUE,"S"))</f>
        <v/>
      </c>
      <c r="E108" s="9">
        <f>IF(OR(A108="",t=""),"",t)</f>
        <v/>
      </c>
      <c r="F108" s="8">
        <f>IF(A108="","","orange_xgb_sigmoid")</f>
        <v/>
      </c>
      <c r="G108" s="8">
        <f>IF(D108="C","승인 필요","")</f>
        <v/>
      </c>
    </row>
    <row r="109">
      <c r="A109" s="5" t="n"/>
      <c r="B109" s="6">
        <f>IF(A109="","",DATE(2026,9,30))</f>
        <v/>
      </c>
      <c r="C109" s="7" t="n"/>
      <c r="D109" s="8">
        <f>IF(OR(C109="",t=""),"",_xlfn.IFS(C109&gt;=t,"C",C109&gt;=t/2,"B",C109&gt;=t/4,"A",TRUE,"S"))</f>
        <v/>
      </c>
      <c r="E109" s="9">
        <f>IF(OR(A109="",t=""),"",t)</f>
        <v/>
      </c>
      <c r="F109" s="8">
        <f>IF(A109="","","orange_xgb_sigmoid")</f>
        <v/>
      </c>
      <c r="G109" s="8">
        <f>IF(D109="C","승인 필요","")</f>
        <v/>
      </c>
    </row>
    <row r="110">
      <c r="A110" s="5" t="n"/>
      <c r="B110" s="6">
        <f>IF(A110="","",DATE(2026,9,30))</f>
        <v/>
      </c>
      <c r="C110" s="7" t="n"/>
      <c r="D110" s="8">
        <f>IF(OR(C110="",t=""),"",_xlfn.IFS(C110&gt;=t,"C",C110&gt;=t/2,"B",C110&gt;=t/4,"A",TRUE,"S"))</f>
        <v/>
      </c>
      <c r="E110" s="9">
        <f>IF(OR(A110="",t=""),"",t)</f>
        <v/>
      </c>
      <c r="F110" s="8">
        <f>IF(A110="","","orange_xgb_sigmoid")</f>
        <v/>
      </c>
      <c r="G110" s="8">
        <f>IF(D110="C","승인 필요","")</f>
        <v/>
      </c>
    </row>
    <row r="111">
      <c r="A111" s="5" t="n"/>
      <c r="B111" s="6">
        <f>IF(A111="","",DATE(2026,9,30))</f>
        <v/>
      </c>
      <c r="C111" s="7" t="n"/>
      <c r="D111" s="8">
        <f>IF(OR(C111="",t=""),"",_xlfn.IFS(C111&gt;=t,"C",C111&gt;=t/2,"B",C111&gt;=t/4,"A",TRUE,"S"))</f>
        <v/>
      </c>
      <c r="E111" s="9">
        <f>IF(OR(A111="",t=""),"",t)</f>
        <v/>
      </c>
      <c r="F111" s="8">
        <f>IF(A111="","","orange_xgb_sigmoid")</f>
        <v/>
      </c>
      <c r="G111" s="8">
        <f>IF(D111="C","승인 필요","")</f>
        <v/>
      </c>
    </row>
    <row r="112">
      <c r="A112" s="5" t="n"/>
      <c r="B112" s="6">
        <f>IF(A112="","",DATE(2026,9,30))</f>
        <v/>
      </c>
      <c r="C112" s="7" t="n"/>
      <c r="D112" s="8">
        <f>IF(OR(C112="",t=""),"",_xlfn.IFS(C112&gt;=t,"C",C112&gt;=t/2,"B",C112&gt;=t/4,"A",TRUE,"S"))</f>
        <v/>
      </c>
      <c r="E112" s="9">
        <f>IF(OR(A112="",t=""),"",t)</f>
        <v/>
      </c>
      <c r="F112" s="8">
        <f>IF(A112="","","orange_xgb_sigmoid")</f>
        <v/>
      </c>
      <c r="G112" s="8">
        <f>IF(D112="C","승인 필요","")</f>
        <v/>
      </c>
    </row>
    <row r="113">
      <c r="A113" s="5" t="n"/>
      <c r="B113" s="6">
        <f>IF(A113="","",DATE(2026,9,30))</f>
        <v/>
      </c>
      <c r="C113" s="7" t="n"/>
      <c r="D113" s="8">
        <f>IF(OR(C113="",t=""),"",_xlfn.IFS(C113&gt;=t,"C",C113&gt;=t/2,"B",C113&gt;=t/4,"A",TRUE,"S"))</f>
        <v/>
      </c>
      <c r="E113" s="9">
        <f>IF(OR(A113="",t=""),"",t)</f>
        <v/>
      </c>
      <c r="F113" s="8">
        <f>IF(A113="","","orange_xgb_sigmoid")</f>
        <v/>
      </c>
      <c r="G113" s="8">
        <f>IF(D113="C","승인 필요","")</f>
        <v/>
      </c>
    </row>
    <row r="114">
      <c r="A114" s="5" t="n"/>
      <c r="B114" s="6">
        <f>IF(A114="","",DATE(2026,9,30))</f>
        <v/>
      </c>
      <c r="C114" s="7" t="n"/>
      <c r="D114" s="8">
        <f>IF(OR(C114="",t=""),"",_xlfn.IFS(C114&gt;=t,"C",C114&gt;=t/2,"B",C114&gt;=t/4,"A",TRUE,"S"))</f>
        <v/>
      </c>
      <c r="E114" s="9">
        <f>IF(OR(A114="",t=""),"",t)</f>
        <v/>
      </c>
      <c r="F114" s="8">
        <f>IF(A114="","","orange_xgb_sigmoid")</f>
        <v/>
      </c>
      <c r="G114" s="8">
        <f>IF(D114="C","승인 필요","")</f>
        <v/>
      </c>
    </row>
    <row r="115">
      <c r="A115" s="5" t="n"/>
      <c r="B115" s="6">
        <f>IF(A115="","",DATE(2026,9,30))</f>
        <v/>
      </c>
      <c r="C115" s="7" t="n"/>
      <c r="D115" s="8">
        <f>IF(OR(C115="",t=""),"",_xlfn.IFS(C115&gt;=t,"C",C115&gt;=t/2,"B",C115&gt;=t/4,"A",TRUE,"S"))</f>
        <v/>
      </c>
      <c r="E115" s="9">
        <f>IF(OR(A115="",t=""),"",t)</f>
        <v/>
      </c>
      <c r="F115" s="8">
        <f>IF(A115="","","orange_xgb_sigmoid")</f>
        <v/>
      </c>
      <c r="G115" s="8">
        <f>IF(D115="C","승인 필요","")</f>
        <v/>
      </c>
    </row>
    <row r="116">
      <c r="A116" s="5" t="n"/>
      <c r="B116" s="6">
        <f>IF(A116="","",DATE(2026,9,30))</f>
        <v/>
      </c>
      <c r="C116" s="7" t="n"/>
      <c r="D116" s="8">
        <f>IF(OR(C116="",t=""),"",_xlfn.IFS(C116&gt;=t,"C",C116&gt;=t/2,"B",C116&gt;=t/4,"A",TRUE,"S"))</f>
        <v/>
      </c>
      <c r="E116" s="9">
        <f>IF(OR(A116="",t=""),"",t)</f>
        <v/>
      </c>
      <c r="F116" s="8">
        <f>IF(A116="","","orange_xgb_sigmoid")</f>
        <v/>
      </c>
      <c r="G116" s="8">
        <f>IF(D116="C","승인 필요","")</f>
        <v/>
      </c>
    </row>
    <row r="117">
      <c r="A117" s="5" t="n"/>
      <c r="B117" s="6">
        <f>IF(A117="","",DATE(2026,9,30))</f>
        <v/>
      </c>
      <c r="C117" s="7" t="n"/>
      <c r="D117" s="8">
        <f>IF(OR(C117="",t=""),"",_xlfn.IFS(C117&gt;=t,"C",C117&gt;=t/2,"B",C117&gt;=t/4,"A",TRUE,"S"))</f>
        <v/>
      </c>
      <c r="E117" s="9">
        <f>IF(OR(A117="",t=""),"",t)</f>
        <v/>
      </c>
      <c r="F117" s="8">
        <f>IF(A117="","","orange_xgb_sigmoid")</f>
        <v/>
      </c>
      <c r="G117" s="8">
        <f>IF(D117="C","승인 필요","")</f>
        <v/>
      </c>
    </row>
    <row r="118">
      <c r="A118" s="5" t="n"/>
      <c r="B118" s="6">
        <f>IF(A118="","",DATE(2026,9,30))</f>
        <v/>
      </c>
      <c r="C118" s="7" t="n"/>
      <c r="D118" s="8">
        <f>IF(OR(C118="",t=""),"",_xlfn.IFS(C118&gt;=t,"C",C118&gt;=t/2,"B",C118&gt;=t/4,"A",TRUE,"S"))</f>
        <v/>
      </c>
      <c r="E118" s="9">
        <f>IF(OR(A118="",t=""),"",t)</f>
        <v/>
      </c>
      <c r="F118" s="8">
        <f>IF(A118="","","orange_xgb_sigmoid")</f>
        <v/>
      </c>
      <c r="G118" s="8">
        <f>IF(D118="C","승인 필요","")</f>
        <v/>
      </c>
    </row>
    <row r="119">
      <c r="A119" s="5" t="n"/>
      <c r="B119" s="6">
        <f>IF(A119="","",DATE(2026,9,30))</f>
        <v/>
      </c>
      <c r="C119" s="7" t="n"/>
      <c r="D119" s="8">
        <f>IF(OR(C119="",t=""),"",_xlfn.IFS(C119&gt;=t,"C",C119&gt;=t/2,"B",C119&gt;=t/4,"A",TRUE,"S"))</f>
        <v/>
      </c>
      <c r="E119" s="9">
        <f>IF(OR(A119="",t=""),"",t)</f>
        <v/>
      </c>
      <c r="F119" s="8">
        <f>IF(A119="","","orange_xgb_sigmoid")</f>
        <v/>
      </c>
      <c r="G119" s="8">
        <f>IF(D119="C","승인 필요","")</f>
        <v/>
      </c>
    </row>
    <row r="120">
      <c r="A120" s="5" t="n"/>
      <c r="B120" s="6">
        <f>IF(A120="","",DATE(2026,9,30))</f>
        <v/>
      </c>
      <c r="C120" s="7" t="n"/>
      <c r="D120" s="8">
        <f>IF(OR(C120="",t=""),"",_xlfn.IFS(C120&gt;=t,"C",C120&gt;=t/2,"B",C120&gt;=t/4,"A",TRUE,"S"))</f>
        <v/>
      </c>
      <c r="E120" s="9">
        <f>IF(OR(A120="",t=""),"",t)</f>
        <v/>
      </c>
      <c r="F120" s="8">
        <f>IF(A120="","","orange_xgb_sigmoid")</f>
        <v/>
      </c>
      <c r="G120" s="8">
        <f>IF(D120="C","승인 필요","")</f>
        <v/>
      </c>
    </row>
    <row r="121">
      <c r="A121" s="5" t="n"/>
      <c r="B121" s="6">
        <f>IF(A121="","",DATE(2026,9,30))</f>
        <v/>
      </c>
      <c r="C121" s="7" t="n"/>
      <c r="D121" s="8">
        <f>IF(OR(C121="",t=""),"",_xlfn.IFS(C121&gt;=t,"C",C121&gt;=t/2,"B",C121&gt;=t/4,"A",TRUE,"S"))</f>
        <v/>
      </c>
      <c r="E121" s="9">
        <f>IF(OR(A121="",t=""),"",t)</f>
        <v/>
      </c>
      <c r="F121" s="8">
        <f>IF(A121="","","orange_xgb_sigmoid")</f>
        <v/>
      </c>
      <c r="G121" s="8">
        <f>IF(D121="C","승인 필요","")</f>
        <v/>
      </c>
    </row>
    <row r="122">
      <c r="A122" s="5" t="n"/>
      <c r="B122" s="6">
        <f>IF(A122="","",DATE(2026,9,30))</f>
        <v/>
      </c>
      <c r="C122" s="7" t="n"/>
      <c r="D122" s="8">
        <f>IF(OR(C122="",t=""),"",_xlfn.IFS(C122&gt;=t,"C",C122&gt;=t/2,"B",C122&gt;=t/4,"A",TRUE,"S"))</f>
        <v/>
      </c>
      <c r="E122" s="9">
        <f>IF(OR(A122="",t=""),"",t)</f>
        <v/>
      </c>
      <c r="F122" s="8">
        <f>IF(A122="","","orange_xgb_sigmoid")</f>
        <v/>
      </c>
      <c r="G122" s="8">
        <f>IF(D122="C","승인 필요","")</f>
        <v/>
      </c>
    </row>
    <row r="123">
      <c r="A123" s="5" t="n"/>
      <c r="B123" s="6">
        <f>IF(A123="","",DATE(2026,9,30))</f>
        <v/>
      </c>
      <c r="C123" s="7" t="n"/>
      <c r="D123" s="8">
        <f>IF(OR(C123="",t=""),"",_xlfn.IFS(C123&gt;=t,"C",C123&gt;=t/2,"B",C123&gt;=t/4,"A",TRUE,"S"))</f>
        <v/>
      </c>
      <c r="E123" s="9">
        <f>IF(OR(A123="",t=""),"",t)</f>
        <v/>
      </c>
      <c r="F123" s="8">
        <f>IF(A123="","","orange_xgb_sigmoid")</f>
        <v/>
      </c>
      <c r="G123" s="8">
        <f>IF(D123="C","승인 필요","")</f>
        <v/>
      </c>
    </row>
    <row r="124">
      <c r="A124" s="5" t="n"/>
      <c r="B124" s="6">
        <f>IF(A124="","",DATE(2026,9,30))</f>
        <v/>
      </c>
      <c r="C124" s="7" t="n"/>
      <c r="D124" s="8">
        <f>IF(OR(C124="",t=""),"",_xlfn.IFS(C124&gt;=t,"C",C124&gt;=t/2,"B",C124&gt;=t/4,"A",TRUE,"S"))</f>
        <v/>
      </c>
      <c r="E124" s="9">
        <f>IF(OR(A124="",t=""),"",t)</f>
        <v/>
      </c>
      <c r="F124" s="8">
        <f>IF(A124="","","orange_xgb_sigmoid")</f>
        <v/>
      </c>
      <c r="G124" s="8">
        <f>IF(D124="C","승인 필요","")</f>
        <v/>
      </c>
    </row>
    <row r="125">
      <c r="A125" s="5" t="n"/>
      <c r="B125" s="6">
        <f>IF(A125="","",DATE(2026,9,30))</f>
        <v/>
      </c>
      <c r="C125" s="7" t="n"/>
      <c r="D125" s="8">
        <f>IF(OR(C125="",t=""),"",_xlfn.IFS(C125&gt;=t,"C",C125&gt;=t/2,"B",C125&gt;=t/4,"A",TRUE,"S"))</f>
        <v/>
      </c>
      <c r="E125" s="9">
        <f>IF(OR(A125="",t=""),"",t)</f>
        <v/>
      </c>
      <c r="F125" s="8">
        <f>IF(A125="","","orange_xgb_sigmoid")</f>
        <v/>
      </c>
      <c r="G125" s="8">
        <f>IF(D125="C","승인 필요","")</f>
        <v/>
      </c>
    </row>
    <row r="126">
      <c r="A126" s="5" t="n"/>
      <c r="B126" s="6">
        <f>IF(A126="","",DATE(2026,9,30))</f>
        <v/>
      </c>
      <c r="C126" s="7" t="n"/>
      <c r="D126" s="8">
        <f>IF(OR(C126="",t=""),"",_xlfn.IFS(C126&gt;=t,"C",C126&gt;=t/2,"B",C126&gt;=t/4,"A",TRUE,"S"))</f>
        <v/>
      </c>
      <c r="E126" s="9">
        <f>IF(OR(A126="",t=""),"",t)</f>
        <v/>
      </c>
      <c r="F126" s="8">
        <f>IF(A126="","","orange_xgb_sigmoid")</f>
        <v/>
      </c>
      <c r="G126" s="8">
        <f>IF(D126="C","승인 필요","")</f>
        <v/>
      </c>
    </row>
    <row r="127">
      <c r="A127" s="5" t="n"/>
      <c r="B127" s="6">
        <f>IF(A127="","",DATE(2026,9,30))</f>
        <v/>
      </c>
      <c r="C127" s="7" t="n"/>
      <c r="D127" s="8">
        <f>IF(OR(C127="",t=""),"",_xlfn.IFS(C127&gt;=t,"C",C127&gt;=t/2,"B",C127&gt;=t/4,"A",TRUE,"S"))</f>
        <v/>
      </c>
      <c r="E127" s="9">
        <f>IF(OR(A127="",t=""),"",t)</f>
        <v/>
      </c>
      <c r="F127" s="8">
        <f>IF(A127="","","orange_xgb_sigmoid")</f>
        <v/>
      </c>
      <c r="G127" s="8">
        <f>IF(D127="C","승인 필요","")</f>
        <v/>
      </c>
    </row>
    <row r="128">
      <c r="A128" s="5" t="n"/>
      <c r="B128" s="6">
        <f>IF(A128="","",DATE(2026,9,30))</f>
        <v/>
      </c>
      <c r="C128" s="7" t="n"/>
      <c r="D128" s="8">
        <f>IF(OR(C128="",t=""),"",_xlfn.IFS(C128&gt;=t,"C",C128&gt;=t/2,"B",C128&gt;=t/4,"A",TRUE,"S"))</f>
        <v/>
      </c>
      <c r="E128" s="9">
        <f>IF(OR(A128="",t=""),"",t)</f>
        <v/>
      </c>
      <c r="F128" s="8">
        <f>IF(A128="","","orange_xgb_sigmoid")</f>
        <v/>
      </c>
      <c r="G128" s="8">
        <f>IF(D128="C","승인 필요","")</f>
        <v/>
      </c>
    </row>
    <row r="129">
      <c r="A129" s="5" t="n"/>
      <c r="B129" s="6">
        <f>IF(A129="","",DATE(2026,9,30))</f>
        <v/>
      </c>
      <c r="C129" s="7" t="n"/>
      <c r="D129" s="8">
        <f>IF(OR(C129="",t=""),"",_xlfn.IFS(C129&gt;=t,"C",C129&gt;=t/2,"B",C129&gt;=t/4,"A",TRUE,"S"))</f>
        <v/>
      </c>
      <c r="E129" s="9">
        <f>IF(OR(A129="",t=""),"",t)</f>
        <v/>
      </c>
      <c r="F129" s="8">
        <f>IF(A129="","","orange_xgb_sigmoid")</f>
        <v/>
      </c>
      <c r="G129" s="8">
        <f>IF(D129="C","승인 필요","")</f>
        <v/>
      </c>
    </row>
    <row r="130">
      <c r="A130" s="5" t="n"/>
      <c r="B130" s="6">
        <f>IF(A130="","",DATE(2026,9,30))</f>
        <v/>
      </c>
      <c r="C130" s="7" t="n"/>
      <c r="D130" s="8">
        <f>IF(OR(C130="",t=""),"",_xlfn.IFS(C130&gt;=t,"C",C130&gt;=t/2,"B",C130&gt;=t/4,"A",TRUE,"S"))</f>
        <v/>
      </c>
      <c r="E130" s="9">
        <f>IF(OR(A130="",t=""),"",t)</f>
        <v/>
      </c>
      <c r="F130" s="8">
        <f>IF(A130="","","orange_xgb_sigmoid")</f>
        <v/>
      </c>
      <c r="G130" s="8">
        <f>IF(D130="C","승인 필요","")</f>
        <v/>
      </c>
    </row>
    <row r="131">
      <c r="A131" s="5" t="n"/>
      <c r="B131" s="6">
        <f>IF(A131="","",DATE(2026,9,30))</f>
        <v/>
      </c>
      <c r="C131" s="7" t="n"/>
      <c r="D131" s="8">
        <f>IF(OR(C131="",t=""),"",_xlfn.IFS(C131&gt;=t,"C",C131&gt;=t/2,"B",C131&gt;=t/4,"A",TRUE,"S"))</f>
        <v/>
      </c>
      <c r="E131" s="9">
        <f>IF(OR(A131="",t=""),"",t)</f>
        <v/>
      </c>
      <c r="F131" s="8">
        <f>IF(A131="","","orange_xgb_sigmoid")</f>
        <v/>
      </c>
      <c r="G131" s="8">
        <f>IF(D131="C","승인 필요","")</f>
        <v/>
      </c>
    </row>
    <row r="132">
      <c r="A132" s="5" t="n"/>
      <c r="B132" s="6">
        <f>IF(A132="","",DATE(2026,9,30))</f>
        <v/>
      </c>
      <c r="C132" s="7" t="n"/>
      <c r="D132" s="8">
        <f>IF(OR(C132="",t=""),"",_xlfn.IFS(C132&gt;=t,"C",C132&gt;=t/2,"B",C132&gt;=t/4,"A",TRUE,"S"))</f>
        <v/>
      </c>
      <c r="E132" s="9">
        <f>IF(OR(A132="",t=""),"",t)</f>
        <v/>
      </c>
      <c r="F132" s="8">
        <f>IF(A132="","","orange_xgb_sigmoid")</f>
        <v/>
      </c>
      <c r="G132" s="8">
        <f>IF(D132="C","승인 필요","")</f>
        <v/>
      </c>
    </row>
    <row r="133">
      <c r="A133" s="5" t="n"/>
      <c r="B133" s="6">
        <f>IF(A133="","",DATE(2026,9,30))</f>
        <v/>
      </c>
      <c r="C133" s="7" t="n"/>
      <c r="D133" s="8">
        <f>IF(OR(C133="",t=""),"",_xlfn.IFS(C133&gt;=t,"C",C133&gt;=t/2,"B",C133&gt;=t/4,"A",TRUE,"S"))</f>
        <v/>
      </c>
      <c r="E133" s="9">
        <f>IF(OR(A133="",t=""),"",t)</f>
        <v/>
      </c>
      <c r="F133" s="8">
        <f>IF(A133="","","orange_xgb_sigmoid")</f>
        <v/>
      </c>
      <c r="G133" s="8">
        <f>IF(D133="C","승인 필요","")</f>
        <v/>
      </c>
    </row>
    <row r="134">
      <c r="A134" s="5" t="n"/>
      <c r="B134" s="6">
        <f>IF(A134="","",DATE(2026,9,30))</f>
        <v/>
      </c>
      <c r="C134" s="7" t="n"/>
      <c r="D134" s="8">
        <f>IF(OR(C134="",t=""),"",_xlfn.IFS(C134&gt;=t,"C",C134&gt;=t/2,"B",C134&gt;=t/4,"A",TRUE,"S"))</f>
        <v/>
      </c>
      <c r="E134" s="9">
        <f>IF(OR(A134="",t=""),"",t)</f>
        <v/>
      </c>
      <c r="F134" s="8">
        <f>IF(A134="","","orange_xgb_sigmoid")</f>
        <v/>
      </c>
      <c r="G134" s="8">
        <f>IF(D134="C","승인 필요","")</f>
        <v/>
      </c>
    </row>
    <row r="135">
      <c r="A135" s="5" t="n"/>
      <c r="B135" s="6">
        <f>IF(A135="","",DATE(2026,9,30))</f>
        <v/>
      </c>
      <c r="C135" s="7" t="n"/>
      <c r="D135" s="8">
        <f>IF(OR(C135="",t=""),"",_xlfn.IFS(C135&gt;=t,"C",C135&gt;=t/2,"B",C135&gt;=t/4,"A",TRUE,"S"))</f>
        <v/>
      </c>
      <c r="E135" s="9">
        <f>IF(OR(A135="",t=""),"",t)</f>
        <v/>
      </c>
      <c r="F135" s="8">
        <f>IF(A135="","","orange_xgb_sigmoid")</f>
        <v/>
      </c>
      <c r="G135" s="8">
        <f>IF(D135="C","승인 필요","")</f>
        <v/>
      </c>
    </row>
    <row r="136">
      <c r="A136" s="5" t="n"/>
      <c r="B136" s="6">
        <f>IF(A136="","",DATE(2026,9,30))</f>
        <v/>
      </c>
      <c r="C136" s="7" t="n"/>
      <c r="D136" s="8">
        <f>IF(OR(C136="",t=""),"",_xlfn.IFS(C136&gt;=t,"C",C136&gt;=t/2,"B",C136&gt;=t/4,"A",TRUE,"S"))</f>
        <v/>
      </c>
      <c r="E136" s="9">
        <f>IF(OR(A136="",t=""),"",t)</f>
        <v/>
      </c>
      <c r="F136" s="8">
        <f>IF(A136="","","orange_xgb_sigmoid")</f>
        <v/>
      </c>
      <c r="G136" s="8">
        <f>IF(D136="C","승인 필요","")</f>
        <v/>
      </c>
    </row>
    <row r="137">
      <c r="A137" s="5" t="n"/>
      <c r="B137" s="6">
        <f>IF(A137="","",DATE(2026,9,30))</f>
        <v/>
      </c>
      <c r="C137" s="7" t="n"/>
      <c r="D137" s="8">
        <f>IF(OR(C137="",t=""),"",_xlfn.IFS(C137&gt;=t,"C",C137&gt;=t/2,"B",C137&gt;=t/4,"A",TRUE,"S"))</f>
        <v/>
      </c>
      <c r="E137" s="9">
        <f>IF(OR(A137="",t=""),"",t)</f>
        <v/>
      </c>
      <c r="F137" s="8">
        <f>IF(A137="","","orange_xgb_sigmoid")</f>
        <v/>
      </c>
      <c r="G137" s="8">
        <f>IF(D137="C","승인 필요","")</f>
        <v/>
      </c>
    </row>
    <row r="138">
      <c r="A138" s="5" t="n"/>
      <c r="B138" s="6">
        <f>IF(A138="","",DATE(2026,9,30))</f>
        <v/>
      </c>
      <c r="C138" s="7" t="n"/>
      <c r="D138" s="8">
        <f>IF(OR(C138="",t=""),"",_xlfn.IFS(C138&gt;=t,"C",C138&gt;=t/2,"B",C138&gt;=t/4,"A",TRUE,"S"))</f>
        <v/>
      </c>
      <c r="E138" s="9">
        <f>IF(OR(A138="",t=""),"",t)</f>
        <v/>
      </c>
      <c r="F138" s="8">
        <f>IF(A138="","","orange_xgb_sigmoid")</f>
        <v/>
      </c>
      <c r="G138" s="8">
        <f>IF(D138="C","승인 필요","")</f>
        <v/>
      </c>
    </row>
    <row r="139">
      <c r="A139" s="5" t="n"/>
      <c r="B139" s="6">
        <f>IF(A139="","",DATE(2026,9,30))</f>
        <v/>
      </c>
      <c r="C139" s="7" t="n"/>
      <c r="D139" s="8">
        <f>IF(OR(C139="",t=""),"",_xlfn.IFS(C139&gt;=t,"C",C139&gt;=t/2,"B",C139&gt;=t/4,"A",TRUE,"S"))</f>
        <v/>
      </c>
      <c r="E139" s="9">
        <f>IF(OR(A139="",t=""),"",t)</f>
        <v/>
      </c>
      <c r="F139" s="8">
        <f>IF(A139="","","orange_xgb_sigmoid")</f>
        <v/>
      </c>
      <c r="G139" s="8">
        <f>IF(D139="C","승인 필요","")</f>
        <v/>
      </c>
    </row>
    <row r="140">
      <c r="A140" s="5" t="n"/>
      <c r="B140" s="6">
        <f>IF(A140="","",DATE(2026,9,30))</f>
        <v/>
      </c>
      <c r="C140" s="7" t="n"/>
      <c r="D140" s="8">
        <f>IF(OR(C140="",t=""),"",_xlfn.IFS(C140&gt;=t,"C",C140&gt;=t/2,"B",C140&gt;=t/4,"A",TRUE,"S"))</f>
        <v/>
      </c>
      <c r="E140" s="9">
        <f>IF(OR(A140="",t=""),"",t)</f>
        <v/>
      </c>
      <c r="F140" s="8">
        <f>IF(A140="","","orange_xgb_sigmoid")</f>
        <v/>
      </c>
      <c r="G140" s="8">
        <f>IF(D140="C","승인 필요","")</f>
        <v/>
      </c>
    </row>
    <row r="141">
      <c r="A141" s="5" t="n"/>
      <c r="B141" s="6">
        <f>IF(A141="","",DATE(2026,9,30))</f>
        <v/>
      </c>
      <c r="C141" s="7" t="n"/>
      <c r="D141" s="8">
        <f>IF(OR(C141="",t=""),"",_xlfn.IFS(C141&gt;=t,"C",C141&gt;=t/2,"B",C141&gt;=t/4,"A",TRUE,"S"))</f>
        <v/>
      </c>
      <c r="E141" s="9">
        <f>IF(OR(A141="",t=""),"",t)</f>
        <v/>
      </c>
      <c r="F141" s="8">
        <f>IF(A141="","","orange_xgb_sigmoid")</f>
        <v/>
      </c>
      <c r="G141" s="8">
        <f>IF(D141="C","승인 필요","")</f>
        <v/>
      </c>
    </row>
    <row r="142">
      <c r="A142" s="5" t="n"/>
      <c r="B142" s="6">
        <f>IF(A142="","",DATE(2026,9,30))</f>
        <v/>
      </c>
      <c r="C142" s="7" t="n"/>
      <c r="D142" s="8">
        <f>IF(OR(C142="",t=""),"",_xlfn.IFS(C142&gt;=t,"C",C142&gt;=t/2,"B",C142&gt;=t/4,"A",TRUE,"S"))</f>
        <v/>
      </c>
      <c r="E142" s="9">
        <f>IF(OR(A142="",t=""),"",t)</f>
        <v/>
      </c>
      <c r="F142" s="8">
        <f>IF(A142="","","orange_xgb_sigmoid")</f>
        <v/>
      </c>
      <c r="G142" s="8">
        <f>IF(D142="C","승인 필요","")</f>
        <v/>
      </c>
    </row>
    <row r="143">
      <c r="A143" s="5" t="n"/>
      <c r="B143" s="6">
        <f>IF(A143="","",DATE(2026,9,30))</f>
        <v/>
      </c>
      <c r="C143" s="7" t="n"/>
      <c r="D143" s="8">
        <f>IF(OR(C143="",t=""),"",_xlfn.IFS(C143&gt;=t,"C",C143&gt;=t/2,"B",C143&gt;=t/4,"A",TRUE,"S"))</f>
        <v/>
      </c>
      <c r="E143" s="9">
        <f>IF(OR(A143="",t=""),"",t)</f>
        <v/>
      </c>
      <c r="F143" s="8">
        <f>IF(A143="","","orange_xgb_sigmoid")</f>
        <v/>
      </c>
      <c r="G143" s="8">
        <f>IF(D143="C","승인 필요","")</f>
        <v/>
      </c>
    </row>
    <row r="144">
      <c r="A144" s="5" t="n"/>
      <c r="B144" s="6">
        <f>IF(A144="","",DATE(2026,9,30))</f>
        <v/>
      </c>
      <c r="C144" s="7" t="n"/>
      <c r="D144" s="8">
        <f>IF(OR(C144="",t=""),"",_xlfn.IFS(C144&gt;=t,"C",C144&gt;=t/2,"B",C144&gt;=t/4,"A",TRUE,"S"))</f>
        <v/>
      </c>
      <c r="E144" s="9">
        <f>IF(OR(A144="",t=""),"",t)</f>
        <v/>
      </c>
      <c r="F144" s="8">
        <f>IF(A144="","","orange_xgb_sigmoid")</f>
        <v/>
      </c>
      <c r="G144" s="8">
        <f>IF(D144="C","승인 필요","")</f>
        <v/>
      </c>
    </row>
    <row r="145">
      <c r="A145" s="5" t="n"/>
      <c r="B145" s="6">
        <f>IF(A145="","",DATE(2026,9,30))</f>
        <v/>
      </c>
      <c r="C145" s="7" t="n"/>
      <c r="D145" s="8">
        <f>IF(OR(C145="",t=""),"",_xlfn.IFS(C145&gt;=t,"C",C145&gt;=t/2,"B",C145&gt;=t/4,"A",TRUE,"S"))</f>
        <v/>
      </c>
      <c r="E145" s="9">
        <f>IF(OR(A145="",t=""),"",t)</f>
        <v/>
      </c>
      <c r="F145" s="8">
        <f>IF(A145="","","orange_xgb_sigmoid")</f>
        <v/>
      </c>
      <c r="G145" s="8">
        <f>IF(D145="C","승인 필요","")</f>
        <v/>
      </c>
    </row>
    <row r="146">
      <c r="A146" s="5" t="n"/>
      <c r="B146" s="6">
        <f>IF(A146="","",DATE(2026,9,30))</f>
        <v/>
      </c>
      <c r="C146" s="7" t="n"/>
      <c r="D146" s="8">
        <f>IF(OR(C146="",t=""),"",_xlfn.IFS(C146&gt;=t,"C",C146&gt;=t/2,"B",C146&gt;=t/4,"A",TRUE,"S"))</f>
        <v/>
      </c>
      <c r="E146" s="9">
        <f>IF(OR(A146="",t=""),"",t)</f>
        <v/>
      </c>
      <c r="F146" s="8">
        <f>IF(A146="","","orange_xgb_sigmoid")</f>
        <v/>
      </c>
      <c r="G146" s="8">
        <f>IF(D146="C","승인 필요","")</f>
        <v/>
      </c>
    </row>
    <row r="147">
      <c r="A147" s="5" t="n"/>
      <c r="B147" s="6">
        <f>IF(A147="","",DATE(2026,9,30))</f>
        <v/>
      </c>
      <c r="C147" s="7" t="n"/>
      <c r="D147" s="8">
        <f>IF(OR(C147="",t=""),"",_xlfn.IFS(C147&gt;=t,"C",C147&gt;=t/2,"B",C147&gt;=t/4,"A",TRUE,"S"))</f>
        <v/>
      </c>
      <c r="E147" s="9">
        <f>IF(OR(A147="",t=""),"",t)</f>
        <v/>
      </c>
      <c r="F147" s="8">
        <f>IF(A147="","","orange_xgb_sigmoid")</f>
        <v/>
      </c>
      <c r="G147" s="8">
        <f>IF(D147="C","승인 필요","")</f>
        <v/>
      </c>
    </row>
    <row r="148">
      <c r="A148" s="5" t="n"/>
      <c r="B148" s="6">
        <f>IF(A148="","",DATE(2026,9,30))</f>
        <v/>
      </c>
      <c r="C148" s="7" t="n"/>
      <c r="D148" s="8">
        <f>IF(OR(C148="",t=""),"",_xlfn.IFS(C148&gt;=t,"C",C148&gt;=t/2,"B",C148&gt;=t/4,"A",TRUE,"S"))</f>
        <v/>
      </c>
      <c r="E148" s="9">
        <f>IF(OR(A148="",t=""),"",t)</f>
        <v/>
      </c>
      <c r="F148" s="8">
        <f>IF(A148="","","orange_xgb_sigmoid")</f>
        <v/>
      </c>
      <c r="G148" s="8">
        <f>IF(D148="C","승인 필요","")</f>
        <v/>
      </c>
    </row>
    <row r="149">
      <c r="A149" s="5" t="n"/>
      <c r="B149" s="6">
        <f>IF(A149="","",DATE(2026,9,30))</f>
        <v/>
      </c>
      <c r="C149" s="7" t="n"/>
      <c r="D149" s="8">
        <f>IF(OR(C149="",t=""),"",_xlfn.IFS(C149&gt;=t,"C",C149&gt;=t/2,"B",C149&gt;=t/4,"A",TRUE,"S"))</f>
        <v/>
      </c>
      <c r="E149" s="9">
        <f>IF(OR(A149="",t=""),"",t)</f>
        <v/>
      </c>
      <c r="F149" s="8">
        <f>IF(A149="","","orange_xgb_sigmoid")</f>
        <v/>
      </c>
      <c r="G149" s="8">
        <f>IF(D149="C","승인 필요","")</f>
        <v/>
      </c>
    </row>
    <row r="150">
      <c r="A150" s="5" t="n"/>
      <c r="B150" s="6">
        <f>IF(A150="","",DATE(2026,9,30))</f>
        <v/>
      </c>
      <c r="C150" s="7" t="n"/>
      <c r="D150" s="8">
        <f>IF(OR(C150="",t=""),"",_xlfn.IFS(C150&gt;=t,"C",C150&gt;=t/2,"B",C150&gt;=t/4,"A",TRUE,"S"))</f>
        <v/>
      </c>
      <c r="E150" s="9">
        <f>IF(OR(A150="",t=""),"",t)</f>
        <v/>
      </c>
      <c r="F150" s="8">
        <f>IF(A150="","","orange_xgb_sigmoid")</f>
        <v/>
      </c>
      <c r="G150" s="8">
        <f>IF(D150="C","승인 필요","")</f>
        <v/>
      </c>
    </row>
    <row r="151">
      <c r="A151" s="5" t="n"/>
      <c r="B151" s="6">
        <f>IF(A151="","",DATE(2026,9,30))</f>
        <v/>
      </c>
      <c r="C151" s="7" t="n"/>
      <c r="D151" s="8">
        <f>IF(OR(C151="",t=""),"",_xlfn.IFS(C151&gt;=t,"C",C151&gt;=t/2,"B",C151&gt;=t/4,"A",TRUE,"S"))</f>
        <v/>
      </c>
      <c r="E151" s="9">
        <f>IF(OR(A151="",t=""),"",t)</f>
        <v/>
      </c>
      <c r="F151" s="8">
        <f>IF(A151="","","orange_xgb_sigmoid")</f>
        <v/>
      </c>
      <c r="G151" s="8">
        <f>IF(D151="C","승인 필요","")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8" customWidth="1" min="4" max="4"/>
    <col width="34" customWidth="1" min="5" max="5"/>
  </cols>
  <sheetData>
    <row r="1">
      <c r="A1" s="10" t="inlineStr">
        <is>
          <t>임계값 t와 등급 경계</t>
        </is>
      </c>
    </row>
    <row r="2"/>
    <row r="3">
      <c r="A3" s="11" t="inlineStr">
        <is>
          <t>t (블록 A Step 4)</t>
        </is>
      </c>
      <c r="B3" s="7" t="n"/>
      <c r="C3" s="8" t="inlineStr">
        <is>
          <t>← 노란 칸에 내 t(예: Calibration Plot에서 읽은 값)를 넣는다</t>
        </is>
      </c>
    </row>
    <row r="4"/>
    <row r="5">
      <c r="A5" s="4" t="inlineStr">
        <is>
          <t>등급</t>
        </is>
      </c>
      <c r="B5" s="4" t="inlineStr">
        <is>
          <t>조건</t>
        </is>
      </c>
      <c r="C5" s="4" t="inlineStr">
        <is>
          <t>경계값</t>
        </is>
      </c>
      <c r="D5" s="4" t="inlineStr">
        <is>
          <t>뜻</t>
        </is>
      </c>
      <c r="E5" s="4" t="inlineStr">
        <is>
          <t>결제조건 [교육용 가정]</t>
        </is>
      </c>
    </row>
    <row r="6">
      <c r="A6" s="8" t="inlineStr">
        <is>
          <t>C</t>
        </is>
      </c>
      <c r="B6" s="8" t="inlineStr">
        <is>
          <t>pd_30d ≥ t</t>
        </is>
      </c>
      <c r="C6" s="9">
        <f>IF(t="","",t)</f>
        <v/>
      </c>
      <c r="D6" s="8" t="inlineStr">
        <is>
          <t>30일 내 연체 예상</t>
        </is>
      </c>
      <c r="E6" s="8" t="inlineStr">
        <is>
          <t>선수금 · L/C만(신규 O/A 금지)</t>
        </is>
      </c>
    </row>
    <row r="7">
      <c r="A7" s="8" t="inlineStr">
        <is>
          <t>B</t>
        </is>
      </c>
      <c r="B7" s="8" t="inlineStr">
        <is>
          <t>t/2 ≤ pd_30d &lt; t</t>
        </is>
      </c>
      <c r="C7" s="9">
        <f>IF(t="","",t/2)</f>
        <v/>
      </c>
      <c r="D7" s="8" t="inlineStr">
        <is>
          <t>관찰</t>
        </is>
      </c>
      <c r="E7" s="8" t="inlineStr">
        <is>
          <t>결제기간 단축 · 부보 검토</t>
        </is>
      </c>
    </row>
    <row r="8">
      <c r="A8" s="8" t="inlineStr">
        <is>
          <t>A</t>
        </is>
      </c>
      <c r="B8" s="8" t="inlineStr">
        <is>
          <t>t/4 ≤ pd_30d &lt; t/2</t>
        </is>
      </c>
      <c r="C8" s="9">
        <f>IF(t="","",t/4)</f>
        <v/>
      </c>
      <c r="D8" s="8" t="inlineStr">
        <is>
          <t>낮음</t>
        </is>
      </c>
      <c r="E8" s="8" t="inlineStr">
        <is>
          <t>O/A 유지</t>
        </is>
      </c>
    </row>
    <row r="9">
      <c r="A9" s="8" t="inlineStr">
        <is>
          <t>S</t>
        </is>
      </c>
      <c r="B9" s="8" t="inlineStr">
        <is>
          <t>pd_30d &lt; t/4</t>
        </is>
      </c>
      <c r="C9" s="9" t="inlineStr"/>
      <c r="D9" s="8" t="inlineStr">
        <is>
          <t>매우 낮음</t>
        </is>
      </c>
      <c r="E9" s="8" t="inlineStr">
        <is>
          <t>O/A 유지</t>
        </is>
      </c>
    </row>
    <row r="10"/>
    <row r="11">
      <c r="A11" s="4" t="inlineStr">
        <is>
          <t>등급</t>
        </is>
      </c>
      <c r="B11" s="4" t="inlineStr">
        <is>
          <t>바이어 수</t>
        </is>
      </c>
      <c r="C11" s="4" t="inlineStr">
        <is>
          <t>비율</t>
        </is>
      </c>
    </row>
    <row r="12">
      <c r="A12" s="8" t="inlineStr">
        <is>
          <t>S</t>
        </is>
      </c>
      <c r="B12" s="8">
        <f>COUNTIF(pred!$D$2:$D$151,"S")</f>
        <v/>
      </c>
      <c r="C12" s="12">
        <f>IF($B$16=0,"",B12/$B$16)</f>
        <v/>
      </c>
    </row>
    <row r="13">
      <c r="A13" s="8" t="inlineStr">
        <is>
          <t>A</t>
        </is>
      </c>
      <c r="B13" s="8">
        <f>COUNTIF(pred!$D$2:$D$151,"A")</f>
        <v/>
      </c>
      <c r="C13" s="12">
        <f>IF($B$16=0,"",B13/$B$16)</f>
        <v/>
      </c>
    </row>
    <row r="14">
      <c r="A14" s="8" t="inlineStr">
        <is>
          <t>B</t>
        </is>
      </c>
      <c r="B14" s="8">
        <f>COUNTIF(pred!$D$2:$D$151,"B")</f>
        <v/>
      </c>
      <c r="C14" s="12">
        <f>IF($B$16=0,"",B14/$B$16)</f>
        <v/>
      </c>
    </row>
    <row r="15">
      <c r="A15" s="8" t="inlineStr">
        <is>
          <t>C</t>
        </is>
      </c>
      <c r="B15" s="8">
        <f>COUNTIF(pred!$D$2:$D$151,"C")</f>
        <v/>
      </c>
      <c r="C15" s="12">
        <f>IF($B$16=0,"",B15/$B$16)</f>
        <v/>
      </c>
    </row>
    <row r="16">
      <c r="A16" s="8" t="inlineStr">
        <is>
          <t>합계</t>
        </is>
      </c>
      <c r="B16" s="8">
        <f>SUM(B12:B15)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" customWidth="1" min="5" max="5"/>
    <col width="8" customWidth="1" min="6" max="6"/>
    <col width="9" customWidth="1" min="7" max="7"/>
    <col width="9" customWidth="1" min="8" max="8"/>
    <col width="12" customWidth="1" min="9" max="9"/>
  </cols>
  <sheetData>
    <row r="1">
      <c r="A1" s="4" t="inlineStr">
        <is>
          <t>buyer_id</t>
        </is>
      </c>
      <c r="B1" s="4" t="inlineStr">
        <is>
          <t>pd_30d</t>
        </is>
      </c>
      <c r="C1" s="4" t="inlineStr">
        <is>
          <t>late_30d</t>
        </is>
      </c>
      <c r="D1" s="4" t="inlineStr">
        <is>
          <t>grade</t>
        </is>
      </c>
      <c r="F1" s="4" t="inlineStr">
        <is>
          <t>등급</t>
        </is>
      </c>
      <c r="G1" s="4" t="inlineStr">
        <is>
          <t>행 수</t>
        </is>
      </c>
      <c r="H1" s="4" t="inlineStr">
        <is>
          <t>연체 수</t>
        </is>
      </c>
      <c r="I1" s="4" t="inlineStr">
        <is>
          <t>실제 연체율</t>
        </is>
      </c>
    </row>
    <row r="2">
      <c r="D2" s="8">
        <f>IF(OR(B2="",t=""),"",_xlfn.IFS(B2&gt;=t,"C",B2&gt;=t/2,"B",B2&gt;=t/4,"A",TRUE,"S"))</f>
        <v/>
      </c>
      <c r="F2" s="8" t="inlineStr">
        <is>
          <t>S</t>
        </is>
      </c>
      <c r="G2" s="8">
        <f>COUNTIF($D$2:$D$1201,"S")</f>
        <v/>
      </c>
      <c r="H2" s="8">
        <f>COUNTIFS($D$2:$D$1201,"S",$C$2:$C$1201,1)</f>
        <v/>
      </c>
      <c r="I2" s="12">
        <f>IF(G2=0,"",H2/G2)</f>
        <v/>
      </c>
    </row>
    <row r="3">
      <c r="D3" s="8">
        <f>IF(OR(B3="",t=""),"",_xlfn.IFS(B3&gt;=t,"C",B3&gt;=t/2,"B",B3&gt;=t/4,"A",TRUE,"S"))</f>
        <v/>
      </c>
      <c r="F3" s="8" t="inlineStr">
        <is>
          <t>A</t>
        </is>
      </c>
      <c r="G3" s="8">
        <f>COUNTIF($D$2:$D$1201,"A")</f>
        <v/>
      </c>
      <c r="H3" s="8">
        <f>COUNTIFS($D$2:$D$1201,"A",$C$2:$C$1201,1)</f>
        <v/>
      </c>
      <c r="I3" s="12">
        <f>IF(G3=0,"",H3/G3)</f>
        <v/>
      </c>
    </row>
    <row r="4">
      <c r="D4" s="8">
        <f>IF(OR(B4="",t=""),"",_xlfn.IFS(B4&gt;=t,"C",B4&gt;=t/2,"B",B4&gt;=t/4,"A",TRUE,"S"))</f>
        <v/>
      </c>
      <c r="F4" s="8" t="inlineStr">
        <is>
          <t>B</t>
        </is>
      </c>
      <c r="G4" s="8">
        <f>COUNTIF($D$2:$D$1201,"B")</f>
        <v/>
      </c>
      <c r="H4" s="8">
        <f>COUNTIFS($D$2:$D$1201,"B",$C$2:$C$1201,1)</f>
        <v/>
      </c>
      <c r="I4" s="12">
        <f>IF(G4=0,"",H4/G4)</f>
        <v/>
      </c>
    </row>
    <row r="5">
      <c r="D5" s="8">
        <f>IF(OR(B5="",t=""),"",_xlfn.IFS(B5&gt;=t,"C",B5&gt;=t/2,"B",B5&gt;=t/4,"A",TRUE,"S"))</f>
        <v/>
      </c>
      <c r="F5" s="8" t="inlineStr">
        <is>
          <t>C</t>
        </is>
      </c>
      <c r="G5" s="8">
        <f>COUNTIF($D$2:$D$1201,"C")</f>
        <v/>
      </c>
      <c r="H5" s="8">
        <f>COUNTIFS($D$2:$D$1201,"C",$C$2:$C$1201,1)</f>
        <v/>
      </c>
      <c r="I5" s="12">
        <f>IF(G5=0,"",H5/G5)</f>
        <v/>
      </c>
    </row>
    <row r="6">
      <c r="D6" s="8">
        <f>IF(OR(B6="",t=""),"",_xlfn.IFS(B6&gt;=t,"C",B6&gt;=t/2,"B",B6&gt;=t/4,"A",TRUE,"S"))</f>
        <v/>
      </c>
    </row>
    <row r="7">
      <c r="D7" s="8">
        <f>IF(OR(B7="",t=""),"",_xlfn.IFS(B7&gt;=t,"C",B7&gt;=t/2,"B",B7&gt;=t/4,"A",TRUE,"S"))</f>
        <v/>
      </c>
      <c r="F7" s="11" t="inlineStr">
        <is>
          <t>단조성</t>
        </is>
      </c>
      <c r="G7" s="8">
        <f>IF(OR(G2=0,G5=0),"",IF(AND(I2&lt;=I5,OR(G4=0,AND(I2&lt;=I4,I4&lt;=I5))),"S ≤ B ≤ C — 순서대로 오른다","순서가 뒤집혔다 — t와 수식 순서를 다시 본다"))</f>
        <v/>
      </c>
    </row>
    <row r="8">
      <c r="D8" s="8">
        <f>IF(OR(B8="",t=""),"",_xlfn.IFS(B8&gt;=t,"C",B8&gt;=t/2,"B",B8&gt;=t/4,"A",TRUE,"S"))</f>
        <v/>
      </c>
    </row>
    <row r="9">
      <c r="D9" s="8">
        <f>IF(OR(B9="",t=""),"",_xlfn.IFS(B9&gt;=t,"C",B9&gt;=t/2,"B",B9&gt;=t/4,"A",TRUE,"S"))</f>
        <v/>
      </c>
      <c r="F9" s="13" t="inlineStr">
        <is>
          <t>붙여넣기: A buyer_id · B 연체 확률(이름 끝 '(1)') · C late_30d(정답) — d3_test_pred.xlsx(시험셋)에서. A는 행이 적어 흔들릴 수 있다.</t>
        </is>
      </c>
    </row>
    <row r="10">
      <c r="D10" s="8">
        <f>IF(OR(B10="",t=""),"",_xlfn.IFS(B10&gt;=t,"C",B10&gt;=t/2,"B",B10&gt;=t/4,"A",TRUE,"S"))</f>
        <v/>
      </c>
    </row>
    <row r="11">
      <c r="D11" s="8">
        <f>IF(OR(B11="",t=""),"",_xlfn.IFS(B11&gt;=t,"C",B11&gt;=t/2,"B",B11&gt;=t/4,"A",TRUE,"S"))</f>
        <v/>
      </c>
    </row>
    <row r="12">
      <c r="D12" s="8">
        <f>IF(OR(B12="",t=""),"",_xlfn.IFS(B12&gt;=t,"C",B12&gt;=t/2,"B",B12&gt;=t/4,"A",TRUE,"S"))</f>
        <v/>
      </c>
    </row>
    <row r="13">
      <c r="D13" s="8">
        <f>IF(OR(B13="",t=""),"",_xlfn.IFS(B13&gt;=t,"C",B13&gt;=t/2,"B",B13&gt;=t/4,"A",TRUE,"S"))</f>
        <v/>
      </c>
    </row>
    <row r="14">
      <c r="D14" s="8">
        <f>IF(OR(B14="",t=""),"",_xlfn.IFS(B14&gt;=t,"C",B14&gt;=t/2,"B",B14&gt;=t/4,"A",TRUE,"S"))</f>
        <v/>
      </c>
    </row>
    <row r="15">
      <c r="D15" s="8">
        <f>IF(OR(B15="",t=""),"",_xlfn.IFS(B15&gt;=t,"C",B15&gt;=t/2,"B",B15&gt;=t/4,"A",TRUE,"S"))</f>
        <v/>
      </c>
    </row>
    <row r="16">
      <c r="D16" s="8">
        <f>IF(OR(B16="",t=""),"",_xlfn.IFS(B16&gt;=t,"C",B16&gt;=t/2,"B",B16&gt;=t/4,"A",TRUE,"S"))</f>
        <v/>
      </c>
    </row>
    <row r="17">
      <c r="D17" s="8">
        <f>IF(OR(B17="",t=""),"",_xlfn.IFS(B17&gt;=t,"C",B17&gt;=t/2,"B",B17&gt;=t/4,"A",TRUE,"S"))</f>
        <v/>
      </c>
    </row>
    <row r="18">
      <c r="D18" s="8">
        <f>IF(OR(B18="",t=""),"",_xlfn.IFS(B18&gt;=t,"C",B18&gt;=t/2,"B",B18&gt;=t/4,"A",TRUE,"S"))</f>
        <v/>
      </c>
    </row>
    <row r="19">
      <c r="D19" s="8">
        <f>IF(OR(B19="",t=""),"",_xlfn.IFS(B19&gt;=t,"C",B19&gt;=t/2,"B",B19&gt;=t/4,"A",TRUE,"S"))</f>
        <v/>
      </c>
    </row>
    <row r="20">
      <c r="D20" s="8">
        <f>IF(OR(B20="",t=""),"",_xlfn.IFS(B20&gt;=t,"C",B20&gt;=t/2,"B",B20&gt;=t/4,"A",TRUE,"S"))</f>
        <v/>
      </c>
    </row>
    <row r="21">
      <c r="D21" s="8">
        <f>IF(OR(B21="",t=""),"",_xlfn.IFS(B21&gt;=t,"C",B21&gt;=t/2,"B",B21&gt;=t/4,"A",TRUE,"S"))</f>
        <v/>
      </c>
    </row>
    <row r="22">
      <c r="D22" s="8">
        <f>IF(OR(B22="",t=""),"",_xlfn.IFS(B22&gt;=t,"C",B22&gt;=t/2,"B",B22&gt;=t/4,"A",TRUE,"S"))</f>
        <v/>
      </c>
    </row>
    <row r="23">
      <c r="D23" s="8">
        <f>IF(OR(B23="",t=""),"",_xlfn.IFS(B23&gt;=t,"C",B23&gt;=t/2,"B",B23&gt;=t/4,"A",TRUE,"S"))</f>
        <v/>
      </c>
    </row>
    <row r="24">
      <c r="D24" s="8">
        <f>IF(OR(B24="",t=""),"",_xlfn.IFS(B24&gt;=t,"C",B24&gt;=t/2,"B",B24&gt;=t/4,"A",TRUE,"S"))</f>
        <v/>
      </c>
    </row>
    <row r="25">
      <c r="D25" s="8">
        <f>IF(OR(B25="",t=""),"",_xlfn.IFS(B25&gt;=t,"C",B25&gt;=t/2,"B",B25&gt;=t/4,"A",TRUE,"S"))</f>
        <v/>
      </c>
    </row>
    <row r="26">
      <c r="D26" s="8">
        <f>IF(OR(B26="",t=""),"",_xlfn.IFS(B26&gt;=t,"C",B26&gt;=t/2,"B",B26&gt;=t/4,"A",TRUE,"S"))</f>
        <v/>
      </c>
    </row>
    <row r="27">
      <c r="D27" s="8">
        <f>IF(OR(B27="",t=""),"",_xlfn.IFS(B27&gt;=t,"C",B27&gt;=t/2,"B",B27&gt;=t/4,"A",TRUE,"S"))</f>
        <v/>
      </c>
    </row>
    <row r="28">
      <c r="D28" s="8">
        <f>IF(OR(B28="",t=""),"",_xlfn.IFS(B28&gt;=t,"C",B28&gt;=t/2,"B",B28&gt;=t/4,"A",TRUE,"S"))</f>
        <v/>
      </c>
    </row>
    <row r="29">
      <c r="D29" s="8">
        <f>IF(OR(B29="",t=""),"",_xlfn.IFS(B29&gt;=t,"C",B29&gt;=t/2,"B",B29&gt;=t/4,"A",TRUE,"S"))</f>
        <v/>
      </c>
    </row>
    <row r="30">
      <c r="D30" s="8">
        <f>IF(OR(B30="",t=""),"",_xlfn.IFS(B30&gt;=t,"C",B30&gt;=t/2,"B",B30&gt;=t/4,"A",TRUE,"S"))</f>
        <v/>
      </c>
    </row>
    <row r="31">
      <c r="D31" s="8">
        <f>IF(OR(B31="",t=""),"",_xlfn.IFS(B31&gt;=t,"C",B31&gt;=t/2,"B",B31&gt;=t/4,"A",TRUE,"S"))</f>
        <v/>
      </c>
    </row>
    <row r="32">
      <c r="D32" s="8">
        <f>IF(OR(B32="",t=""),"",_xlfn.IFS(B32&gt;=t,"C",B32&gt;=t/2,"B",B32&gt;=t/4,"A",TRUE,"S"))</f>
        <v/>
      </c>
    </row>
    <row r="33">
      <c r="D33" s="8">
        <f>IF(OR(B33="",t=""),"",_xlfn.IFS(B33&gt;=t,"C",B33&gt;=t/2,"B",B33&gt;=t/4,"A",TRUE,"S"))</f>
        <v/>
      </c>
    </row>
    <row r="34">
      <c r="D34" s="8">
        <f>IF(OR(B34="",t=""),"",_xlfn.IFS(B34&gt;=t,"C",B34&gt;=t/2,"B",B34&gt;=t/4,"A",TRUE,"S"))</f>
        <v/>
      </c>
    </row>
    <row r="35">
      <c r="D35" s="8">
        <f>IF(OR(B35="",t=""),"",_xlfn.IFS(B35&gt;=t,"C",B35&gt;=t/2,"B",B35&gt;=t/4,"A",TRUE,"S"))</f>
        <v/>
      </c>
    </row>
    <row r="36">
      <c r="D36" s="8">
        <f>IF(OR(B36="",t=""),"",_xlfn.IFS(B36&gt;=t,"C",B36&gt;=t/2,"B",B36&gt;=t/4,"A",TRUE,"S"))</f>
        <v/>
      </c>
    </row>
    <row r="37">
      <c r="D37" s="8">
        <f>IF(OR(B37="",t=""),"",_xlfn.IFS(B37&gt;=t,"C",B37&gt;=t/2,"B",B37&gt;=t/4,"A",TRUE,"S"))</f>
        <v/>
      </c>
    </row>
    <row r="38">
      <c r="D38" s="8">
        <f>IF(OR(B38="",t=""),"",_xlfn.IFS(B38&gt;=t,"C",B38&gt;=t/2,"B",B38&gt;=t/4,"A",TRUE,"S"))</f>
        <v/>
      </c>
    </row>
    <row r="39">
      <c r="D39" s="8">
        <f>IF(OR(B39="",t=""),"",_xlfn.IFS(B39&gt;=t,"C",B39&gt;=t/2,"B",B39&gt;=t/4,"A",TRUE,"S"))</f>
        <v/>
      </c>
    </row>
    <row r="40">
      <c r="D40" s="8">
        <f>IF(OR(B40="",t=""),"",_xlfn.IFS(B40&gt;=t,"C",B40&gt;=t/2,"B",B40&gt;=t/4,"A",TRUE,"S"))</f>
        <v/>
      </c>
    </row>
    <row r="41">
      <c r="D41" s="8">
        <f>IF(OR(B41="",t=""),"",_xlfn.IFS(B41&gt;=t,"C",B41&gt;=t/2,"B",B41&gt;=t/4,"A",TRUE,"S"))</f>
        <v/>
      </c>
    </row>
    <row r="42">
      <c r="D42" s="8">
        <f>IF(OR(B42="",t=""),"",_xlfn.IFS(B42&gt;=t,"C",B42&gt;=t/2,"B",B42&gt;=t/4,"A",TRUE,"S"))</f>
        <v/>
      </c>
    </row>
    <row r="43">
      <c r="D43" s="8">
        <f>IF(OR(B43="",t=""),"",_xlfn.IFS(B43&gt;=t,"C",B43&gt;=t/2,"B",B43&gt;=t/4,"A",TRUE,"S"))</f>
        <v/>
      </c>
    </row>
    <row r="44">
      <c r="D44" s="8">
        <f>IF(OR(B44="",t=""),"",_xlfn.IFS(B44&gt;=t,"C",B44&gt;=t/2,"B",B44&gt;=t/4,"A",TRUE,"S"))</f>
        <v/>
      </c>
    </row>
    <row r="45">
      <c r="D45" s="8">
        <f>IF(OR(B45="",t=""),"",_xlfn.IFS(B45&gt;=t,"C",B45&gt;=t/2,"B",B45&gt;=t/4,"A",TRUE,"S"))</f>
        <v/>
      </c>
    </row>
    <row r="46">
      <c r="D46" s="8">
        <f>IF(OR(B46="",t=""),"",_xlfn.IFS(B46&gt;=t,"C",B46&gt;=t/2,"B",B46&gt;=t/4,"A",TRUE,"S"))</f>
        <v/>
      </c>
    </row>
    <row r="47">
      <c r="D47" s="8">
        <f>IF(OR(B47="",t=""),"",_xlfn.IFS(B47&gt;=t,"C",B47&gt;=t/2,"B",B47&gt;=t/4,"A",TRUE,"S"))</f>
        <v/>
      </c>
    </row>
    <row r="48">
      <c r="D48" s="8">
        <f>IF(OR(B48="",t=""),"",_xlfn.IFS(B48&gt;=t,"C",B48&gt;=t/2,"B",B48&gt;=t/4,"A",TRUE,"S"))</f>
        <v/>
      </c>
    </row>
    <row r="49">
      <c r="D49" s="8">
        <f>IF(OR(B49="",t=""),"",_xlfn.IFS(B49&gt;=t,"C",B49&gt;=t/2,"B",B49&gt;=t/4,"A",TRUE,"S"))</f>
        <v/>
      </c>
    </row>
    <row r="50">
      <c r="D50" s="8">
        <f>IF(OR(B50="",t=""),"",_xlfn.IFS(B50&gt;=t,"C",B50&gt;=t/2,"B",B50&gt;=t/4,"A",TRUE,"S"))</f>
        <v/>
      </c>
    </row>
    <row r="51">
      <c r="D51" s="8">
        <f>IF(OR(B51="",t=""),"",_xlfn.IFS(B51&gt;=t,"C",B51&gt;=t/2,"B",B51&gt;=t/4,"A",TRUE,"S"))</f>
        <v/>
      </c>
    </row>
    <row r="52">
      <c r="D52" s="8">
        <f>IF(OR(B52="",t=""),"",_xlfn.IFS(B52&gt;=t,"C",B52&gt;=t/2,"B",B52&gt;=t/4,"A",TRUE,"S"))</f>
        <v/>
      </c>
    </row>
    <row r="53">
      <c r="D53" s="8">
        <f>IF(OR(B53="",t=""),"",_xlfn.IFS(B53&gt;=t,"C",B53&gt;=t/2,"B",B53&gt;=t/4,"A",TRUE,"S"))</f>
        <v/>
      </c>
    </row>
    <row r="54">
      <c r="D54" s="8">
        <f>IF(OR(B54="",t=""),"",_xlfn.IFS(B54&gt;=t,"C",B54&gt;=t/2,"B",B54&gt;=t/4,"A",TRUE,"S"))</f>
        <v/>
      </c>
    </row>
    <row r="55">
      <c r="D55" s="8">
        <f>IF(OR(B55="",t=""),"",_xlfn.IFS(B55&gt;=t,"C",B55&gt;=t/2,"B",B55&gt;=t/4,"A",TRUE,"S"))</f>
        <v/>
      </c>
    </row>
    <row r="56">
      <c r="D56" s="8">
        <f>IF(OR(B56="",t=""),"",_xlfn.IFS(B56&gt;=t,"C",B56&gt;=t/2,"B",B56&gt;=t/4,"A",TRUE,"S"))</f>
        <v/>
      </c>
    </row>
    <row r="57">
      <c r="D57" s="8">
        <f>IF(OR(B57="",t=""),"",_xlfn.IFS(B57&gt;=t,"C",B57&gt;=t/2,"B",B57&gt;=t/4,"A",TRUE,"S"))</f>
        <v/>
      </c>
    </row>
    <row r="58">
      <c r="D58" s="8">
        <f>IF(OR(B58="",t=""),"",_xlfn.IFS(B58&gt;=t,"C",B58&gt;=t/2,"B",B58&gt;=t/4,"A",TRUE,"S"))</f>
        <v/>
      </c>
    </row>
    <row r="59">
      <c r="D59" s="8">
        <f>IF(OR(B59="",t=""),"",_xlfn.IFS(B59&gt;=t,"C",B59&gt;=t/2,"B",B59&gt;=t/4,"A",TRUE,"S"))</f>
        <v/>
      </c>
    </row>
    <row r="60">
      <c r="D60" s="8">
        <f>IF(OR(B60="",t=""),"",_xlfn.IFS(B60&gt;=t,"C",B60&gt;=t/2,"B",B60&gt;=t/4,"A",TRUE,"S"))</f>
        <v/>
      </c>
    </row>
    <row r="61">
      <c r="D61" s="8">
        <f>IF(OR(B61="",t=""),"",_xlfn.IFS(B61&gt;=t,"C",B61&gt;=t/2,"B",B61&gt;=t/4,"A",TRUE,"S"))</f>
        <v/>
      </c>
    </row>
    <row r="62">
      <c r="D62" s="8">
        <f>IF(OR(B62="",t=""),"",_xlfn.IFS(B62&gt;=t,"C",B62&gt;=t/2,"B",B62&gt;=t/4,"A",TRUE,"S"))</f>
        <v/>
      </c>
    </row>
    <row r="63">
      <c r="D63" s="8">
        <f>IF(OR(B63="",t=""),"",_xlfn.IFS(B63&gt;=t,"C",B63&gt;=t/2,"B",B63&gt;=t/4,"A",TRUE,"S"))</f>
        <v/>
      </c>
    </row>
    <row r="64">
      <c r="D64" s="8">
        <f>IF(OR(B64="",t=""),"",_xlfn.IFS(B64&gt;=t,"C",B64&gt;=t/2,"B",B64&gt;=t/4,"A",TRUE,"S"))</f>
        <v/>
      </c>
    </row>
    <row r="65">
      <c r="D65" s="8">
        <f>IF(OR(B65="",t=""),"",_xlfn.IFS(B65&gt;=t,"C",B65&gt;=t/2,"B",B65&gt;=t/4,"A",TRUE,"S"))</f>
        <v/>
      </c>
    </row>
    <row r="66">
      <c r="D66" s="8">
        <f>IF(OR(B66="",t=""),"",_xlfn.IFS(B66&gt;=t,"C",B66&gt;=t/2,"B",B66&gt;=t/4,"A",TRUE,"S"))</f>
        <v/>
      </c>
    </row>
    <row r="67">
      <c r="D67" s="8">
        <f>IF(OR(B67="",t=""),"",_xlfn.IFS(B67&gt;=t,"C",B67&gt;=t/2,"B",B67&gt;=t/4,"A",TRUE,"S"))</f>
        <v/>
      </c>
    </row>
    <row r="68">
      <c r="D68" s="8">
        <f>IF(OR(B68="",t=""),"",_xlfn.IFS(B68&gt;=t,"C",B68&gt;=t/2,"B",B68&gt;=t/4,"A",TRUE,"S"))</f>
        <v/>
      </c>
    </row>
    <row r="69">
      <c r="D69" s="8">
        <f>IF(OR(B69="",t=""),"",_xlfn.IFS(B69&gt;=t,"C",B69&gt;=t/2,"B",B69&gt;=t/4,"A",TRUE,"S"))</f>
        <v/>
      </c>
    </row>
    <row r="70">
      <c r="D70" s="8">
        <f>IF(OR(B70="",t=""),"",_xlfn.IFS(B70&gt;=t,"C",B70&gt;=t/2,"B",B70&gt;=t/4,"A",TRUE,"S"))</f>
        <v/>
      </c>
    </row>
    <row r="71">
      <c r="D71" s="8">
        <f>IF(OR(B71="",t=""),"",_xlfn.IFS(B71&gt;=t,"C",B71&gt;=t/2,"B",B71&gt;=t/4,"A",TRUE,"S"))</f>
        <v/>
      </c>
    </row>
    <row r="72">
      <c r="D72" s="8">
        <f>IF(OR(B72="",t=""),"",_xlfn.IFS(B72&gt;=t,"C",B72&gt;=t/2,"B",B72&gt;=t/4,"A",TRUE,"S"))</f>
        <v/>
      </c>
    </row>
    <row r="73">
      <c r="D73" s="8">
        <f>IF(OR(B73="",t=""),"",_xlfn.IFS(B73&gt;=t,"C",B73&gt;=t/2,"B",B73&gt;=t/4,"A",TRUE,"S"))</f>
        <v/>
      </c>
    </row>
    <row r="74">
      <c r="D74" s="8">
        <f>IF(OR(B74="",t=""),"",_xlfn.IFS(B74&gt;=t,"C",B74&gt;=t/2,"B",B74&gt;=t/4,"A",TRUE,"S"))</f>
        <v/>
      </c>
    </row>
    <row r="75">
      <c r="D75" s="8">
        <f>IF(OR(B75="",t=""),"",_xlfn.IFS(B75&gt;=t,"C",B75&gt;=t/2,"B",B75&gt;=t/4,"A",TRUE,"S"))</f>
        <v/>
      </c>
    </row>
    <row r="76">
      <c r="D76" s="8">
        <f>IF(OR(B76="",t=""),"",_xlfn.IFS(B76&gt;=t,"C",B76&gt;=t/2,"B",B76&gt;=t/4,"A",TRUE,"S"))</f>
        <v/>
      </c>
    </row>
    <row r="77">
      <c r="D77" s="8">
        <f>IF(OR(B77="",t=""),"",_xlfn.IFS(B77&gt;=t,"C",B77&gt;=t/2,"B",B77&gt;=t/4,"A",TRUE,"S"))</f>
        <v/>
      </c>
    </row>
    <row r="78">
      <c r="D78" s="8">
        <f>IF(OR(B78="",t=""),"",_xlfn.IFS(B78&gt;=t,"C",B78&gt;=t/2,"B",B78&gt;=t/4,"A",TRUE,"S"))</f>
        <v/>
      </c>
    </row>
    <row r="79">
      <c r="D79" s="8">
        <f>IF(OR(B79="",t=""),"",_xlfn.IFS(B79&gt;=t,"C",B79&gt;=t/2,"B",B79&gt;=t/4,"A",TRUE,"S"))</f>
        <v/>
      </c>
    </row>
    <row r="80">
      <c r="D80" s="8">
        <f>IF(OR(B80="",t=""),"",_xlfn.IFS(B80&gt;=t,"C",B80&gt;=t/2,"B",B80&gt;=t/4,"A",TRUE,"S"))</f>
        <v/>
      </c>
    </row>
    <row r="81">
      <c r="D81" s="8">
        <f>IF(OR(B81="",t=""),"",_xlfn.IFS(B81&gt;=t,"C",B81&gt;=t/2,"B",B81&gt;=t/4,"A",TRUE,"S"))</f>
        <v/>
      </c>
    </row>
    <row r="82">
      <c r="D82" s="8">
        <f>IF(OR(B82="",t=""),"",_xlfn.IFS(B82&gt;=t,"C",B82&gt;=t/2,"B",B82&gt;=t/4,"A",TRUE,"S"))</f>
        <v/>
      </c>
    </row>
    <row r="83">
      <c r="D83" s="8">
        <f>IF(OR(B83="",t=""),"",_xlfn.IFS(B83&gt;=t,"C",B83&gt;=t/2,"B",B83&gt;=t/4,"A",TRUE,"S"))</f>
        <v/>
      </c>
    </row>
    <row r="84">
      <c r="D84" s="8">
        <f>IF(OR(B84="",t=""),"",_xlfn.IFS(B84&gt;=t,"C",B84&gt;=t/2,"B",B84&gt;=t/4,"A",TRUE,"S"))</f>
        <v/>
      </c>
    </row>
    <row r="85">
      <c r="D85" s="8">
        <f>IF(OR(B85="",t=""),"",_xlfn.IFS(B85&gt;=t,"C",B85&gt;=t/2,"B",B85&gt;=t/4,"A",TRUE,"S"))</f>
        <v/>
      </c>
    </row>
    <row r="86">
      <c r="D86" s="8">
        <f>IF(OR(B86="",t=""),"",_xlfn.IFS(B86&gt;=t,"C",B86&gt;=t/2,"B",B86&gt;=t/4,"A",TRUE,"S"))</f>
        <v/>
      </c>
    </row>
    <row r="87">
      <c r="D87" s="8">
        <f>IF(OR(B87="",t=""),"",_xlfn.IFS(B87&gt;=t,"C",B87&gt;=t/2,"B",B87&gt;=t/4,"A",TRUE,"S"))</f>
        <v/>
      </c>
    </row>
    <row r="88">
      <c r="D88" s="8">
        <f>IF(OR(B88="",t=""),"",_xlfn.IFS(B88&gt;=t,"C",B88&gt;=t/2,"B",B88&gt;=t/4,"A",TRUE,"S"))</f>
        <v/>
      </c>
    </row>
    <row r="89">
      <c r="D89" s="8">
        <f>IF(OR(B89="",t=""),"",_xlfn.IFS(B89&gt;=t,"C",B89&gt;=t/2,"B",B89&gt;=t/4,"A",TRUE,"S"))</f>
        <v/>
      </c>
    </row>
    <row r="90">
      <c r="D90" s="8">
        <f>IF(OR(B90="",t=""),"",_xlfn.IFS(B90&gt;=t,"C",B90&gt;=t/2,"B",B90&gt;=t/4,"A",TRUE,"S"))</f>
        <v/>
      </c>
    </row>
    <row r="91">
      <c r="D91" s="8">
        <f>IF(OR(B91="",t=""),"",_xlfn.IFS(B91&gt;=t,"C",B91&gt;=t/2,"B",B91&gt;=t/4,"A",TRUE,"S"))</f>
        <v/>
      </c>
    </row>
    <row r="92">
      <c r="D92" s="8">
        <f>IF(OR(B92="",t=""),"",_xlfn.IFS(B92&gt;=t,"C",B92&gt;=t/2,"B",B92&gt;=t/4,"A",TRUE,"S"))</f>
        <v/>
      </c>
    </row>
    <row r="93">
      <c r="D93" s="8">
        <f>IF(OR(B93="",t=""),"",_xlfn.IFS(B93&gt;=t,"C",B93&gt;=t/2,"B",B93&gt;=t/4,"A",TRUE,"S"))</f>
        <v/>
      </c>
    </row>
    <row r="94">
      <c r="D94" s="8">
        <f>IF(OR(B94="",t=""),"",_xlfn.IFS(B94&gt;=t,"C",B94&gt;=t/2,"B",B94&gt;=t/4,"A",TRUE,"S"))</f>
        <v/>
      </c>
    </row>
    <row r="95">
      <c r="D95" s="8">
        <f>IF(OR(B95="",t=""),"",_xlfn.IFS(B95&gt;=t,"C",B95&gt;=t/2,"B",B95&gt;=t/4,"A",TRUE,"S"))</f>
        <v/>
      </c>
    </row>
    <row r="96">
      <c r="D96" s="8">
        <f>IF(OR(B96="",t=""),"",_xlfn.IFS(B96&gt;=t,"C",B96&gt;=t/2,"B",B96&gt;=t/4,"A",TRUE,"S"))</f>
        <v/>
      </c>
    </row>
    <row r="97">
      <c r="D97" s="8">
        <f>IF(OR(B97="",t=""),"",_xlfn.IFS(B97&gt;=t,"C",B97&gt;=t/2,"B",B97&gt;=t/4,"A",TRUE,"S"))</f>
        <v/>
      </c>
    </row>
    <row r="98">
      <c r="D98" s="8">
        <f>IF(OR(B98="",t=""),"",_xlfn.IFS(B98&gt;=t,"C",B98&gt;=t/2,"B",B98&gt;=t/4,"A",TRUE,"S"))</f>
        <v/>
      </c>
    </row>
    <row r="99">
      <c r="D99" s="8">
        <f>IF(OR(B99="",t=""),"",_xlfn.IFS(B99&gt;=t,"C",B99&gt;=t/2,"B",B99&gt;=t/4,"A",TRUE,"S"))</f>
        <v/>
      </c>
    </row>
    <row r="100">
      <c r="D100" s="8">
        <f>IF(OR(B100="",t=""),"",_xlfn.IFS(B100&gt;=t,"C",B100&gt;=t/2,"B",B100&gt;=t/4,"A",TRUE,"S"))</f>
        <v/>
      </c>
    </row>
    <row r="101">
      <c r="D101" s="8">
        <f>IF(OR(B101="",t=""),"",_xlfn.IFS(B101&gt;=t,"C",B101&gt;=t/2,"B",B101&gt;=t/4,"A",TRUE,"S"))</f>
        <v/>
      </c>
    </row>
    <row r="102">
      <c r="D102" s="8">
        <f>IF(OR(B102="",t=""),"",_xlfn.IFS(B102&gt;=t,"C",B102&gt;=t/2,"B",B102&gt;=t/4,"A",TRUE,"S"))</f>
        <v/>
      </c>
    </row>
    <row r="103">
      <c r="D103" s="8">
        <f>IF(OR(B103="",t=""),"",_xlfn.IFS(B103&gt;=t,"C",B103&gt;=t/2,"B",B103&gt;=t/4,"A",TRUE,"S"))</f>
        <v/>
      </c>
    </row>
    <row r="104">
      <c r="D104" s="8">
        <f>IF(OR(B104="",t=""),"",_xlfn.IFS(B104&gt;=t,"C",B104&gt;=t/2,"B",B104&gt;=t/4,"A",TRUE,"S"))</f>
        <v/>
      </c>
    </row>
    <row r="105">
      <c r="D105" s="8">
        <f>IF(OR(B105="",t=""),"",_xlfn.IFS(B105&gt;=t,"C",B105&gt;=t/2,"B",B105&gt;=t/4,"A",TRUE,"S"))</f>
        <v/>
      </c>
    </row>
    <row r="106">
      <c r="D106" s="8">
        <f>IF(OR(B106="",t=""),"",_xlfn.IFS(B106&gt;=t,"C",B106&gt;=t/2,"B",B106&gt;=t/4,"A",TRUE,"S"))</f>
        <v/>
      </c>
    </row>
    <row r="107">
      <c r="D107" s="8">
        <f>IF(OR(B107="",t=""),"",_xlfn.IFS(B107&gt;=t,"C",B107&gt;=t/2,"B",B107&gt;=t/4,"A",TRUE,"S"))</f>
        <v/>
      </c>
    </row>
    <row r="108">
      <c r="D108" s="8">
        <f>IF(OR(B108="",t=""),"",_xlfn.IFS(B108&gt;=t,"C",B108&gt;=t/2,"B",B108&gt;=t/4,"A",TRUE,"S"))</f>
        <v/>
      </c>
    </row>
    <row r="109">
      <c r="D109" s="8">
        <f>IF(OR(B109="",t=""),"",_xlfn.IFS(B109&gt;=t,"C",B109&gt;=t/2,"B",B109&gt;=t/4,"A",TRUE,"S"))</f>
        <v/>
      </c>
    </row>
    <row r="110">
      <c r="D110" s="8">
        <f>IF(OR(B110="",t=""),"",_xlfn.IFS(B110&gt;=t,"C",B110&gt;=t/2,"B",B110&gt;=t/4,"A",TRUE,"S"))</f>
        <v/>
      </c>
    </row>
    <row r="111">
      <c r="D111" s="8">
        <f>IF(OR(B111="",t=""),"",_xlfn.IFS(B111&gt;=t,"C",B111&gt;=t/2,"B",B111&gt;=t/4,"A",TRUE,"S"))</f>
        <v/>
      </c>
    </row>
    <row r="112">
      <c r="D112" s="8">
        <f>IF(OR(B112="",t=""),"",_xlfn.IFS(B112&gt;=t,"C",B112&gt;=t/2,"B",B112&gt;=t/4,"A",TRUE,"S"))</f>
        <v/>
      </c>
    </row>
    <row r="113">
      <c r="D113" s="8">
        <f>IF(OR(B113="",t=""),"",_xlfn.IFS(B113&gt;=t,"C",B113&gt;=t/2,"B",B113&gt;=t/4,"A",TRUE,"S"))</f>
        <v/>
      </c>
    </row>
    <row r="114">
      <c r="D114" s="8">
        <f>IF(OR(B114="",t=""),"",_xlfn.IFS(B114&gt;=t,"C",B114&gt;=t/2,"B",B114&gt;=t/4,"A",TRUE,"S"))</f>
        <v/>
      </c>
    </row>
    <row r="115">
      <c r="D115" s="8">
        <f>IF(OR(B115="",t=""),"",_xlfn.IFS(B115&gt;=t,"C",B115&gt;=t/2,"B",B115&gt;=t/4,"A",TRUE,"S"))</f>
        <v/>
      </c>
    </row>
    <row r="116">
      <c r="D116" s="8">
        <f>IF(OR(B116="",t=""),"",_xlfn.IFS(B116&gt;=t,"C",B116&gt;=t/2,"B",B116&gt;=t/4,"A",TRUE,"S"))</f>
        <v/>
      </c>
    </row>
    <row r="117">
      <c r="D117" s="8">
        <f>IF(OR(B117="",t=""),"",_xlfn.IFS(B117&gt;=t,"C",B117&gt;=t/2,"B",B117&gt;=t/4,"A",TRUE,"S"))</f>
        <v/>
      </c>
    </row>
    <row r="118">
      <c r="D118" s="8">
        <f>IF(OR(B118="",t=""),"",_xlfn.IFS(B118&gt;=t,"C",B118&gt;=t/2,"B",B118&gt;=t/4,"A",TRUE,"S"))</f>
        <v/>
      </c>
    </row>
    <row r="119">
      <c r="D119" s="8">
        <f>IF(OR(B119="",t=""),"",_xlfn.IFS(B119&gt;=t,"C",B119&gt;=t/2,"B",B119&gt;=t/4,"A",TRUE,"S"))</f>
        <v/>
      </c>
    </row>
    <row r="120">
      <c r="D120" s="8">
        <f>IF(OR(B120="",t=""),"",_xlfn.IFS(B120&gt;=t,"C",B120&gt;=t/2,"B",B120&gt;=t/4,"A",TRUE,"S"))</f>
        <v/>
      </c>
    </row>
    <row r="121">
      <c r="D121" s="8">
        <f>IF(OR(B121="",t=""),"",_xlfn.IFS(B121&gt;=t,"C",B121&gt;=t/2,"B",B121&gt;=t/4,"A",TRUE,"S"))</f>
        <v/>
      </c>
    </row>
    <row r="122">
      <c r="D122" s="8">
        <f>IF(OR(B122="",t=""),"",_xlfn.IFS(B122&gt;=t,"C",B122&gt;=t/2,"B",B122&gt;=t/4,"A",TRUE,"S"))</f>
        <v/>
      </c>
    </row>
    <row r="123">
      <c r="D123" s="8">
        <f>IF(OR(B123="",t=""),"",_xlfn.IFS(B123&gt;=t,"C",B123&gt;=t/2,"B",B123&gt;=t/4,"A",TRUE,"S"))</f>
        <v/>
      </c>
    </row>
    <row r="124">
      <c r="D124" s="8">
        <f>IF(OR(B124="",t=""),"",_xlfn.IFS(B124&gt;=t,"C",B124&gt;=t/2,"B",B124&gt;=t/4,"A",TRUE,"S"))</f>
        <v/>
      </c>
    </row>
    <row r="125">
      <c r="D125" s="8">
        <f>IF(OR(B125="",t=""),"",_xlfn.IFS(B125&gt;=t,"C",B125&gt;=t/2,"B",B125&gt;=t/4,"A",TRUE,"S"))</f>
        <v/>
      </c>
    </row>
    <row r="126">
      <c r="D126" s="8">
        <f>IF(OR(B126="",t=""),"",_xlfn.IFS(B126&gt;=t,"C",B126&gt;=t/2,"B",B126&gt;=t/4,"A",TRUE,"S"))</f>
        <v/>
      </c>
    </row>
    <row r="127">
      <c r="D127" s="8">
        <f>IF(OR(B127="",t=""),"",_xlfn.IFS(B127&gt;=t,"C",B127&gt;=t/2,"B",B127&gt;=t/4,"A",TRUE,"S"))</f>
        <v/>
      </c>
    </row>
    <row r="128">
      <c r="D128" s="8">
        <f>IF(OR(B128="",t=""),"",_xlfn.IFS(B128&gt;=t,"C",B128&gt;=t/2,"B",B128&gt;=t/4,"A",TRUE,"S"))</f>
        <v/>
      </c>
    </row>
    <row r="129">
      <c r="D129" s="8">
        <f>IF(OR(B129="",t=""),"",_xlfn.IFS(B129&gt;=t,"C",B129&gt;=t/2,"B",B129&gt;=t/4,"A",TRUE,"S"))</f>
        <v/>
      </c>
    </row>
    <row r="130">
      <c r="D130" s="8">
        <f>IF(OR(B130="",t=""),"",_xlfn.IFS(B130&gt;=t,"C",B130&gt;=t/2,"B",B130&gt;=t/4,"A",TRUE,"S"))</f>
        <v/>
      </c>
    </row>
    <row r="131">
      <c r="D131" s="8">
        <f>IF(OR(B131="",t=""),"",_xlfn.IFS(B131&gt;=t,"C",B131&gt;=t/2,"B",B131&gt;=t/4,"A",TRUE,"S"))</f>
        <v/>
      </c>
    </row>
    <row r="132">
      <c r="D132" s="8">
        <f>IF(OR(B132="",t=""),"",_xlfn.IFS(B132&gt;=t,"C",B132&gt;=t/2,"B",B132&gt;=t/4,"A",TRUE,"S"))</f>
        <v/>
      </c>
    </row>
    <row r="133">
      <c r="D133" s="8">
        <f>IF(OR(B133="",t=""),"",_xlfn.IFS(B133&gt;=t,"C",B133&gt;=t/2,"B",B133&gt;=t/4,"A",TRUE,"S"))</f>
        <v/>
      </c>
    </row>
    <row r="134">
      <c r="D134" s="8">
        <f>IF(OR(B134="",t=""),"",_xlfn.IFS(B134&gt;=t,"C",B134&gt;=t/2,"B",B134&gt;=t/4,"A",TRUE,"S"))</f>
        <v/>
      </c>
    </row>
    <row r="135">
      <c r="D135" s="8">
        <f>IF(OR(B135="",t=""),"",_xlfn.IFS(B135&gt;=t,"C",B135&gt;=t/2,"B",B135&gt;=t/4,"A",TRUE,"S"))</f>
        <v/>
      </c>
    </row>
    <row r="136">
      <c r="D136" s="8">
        <f>IF(OR(B136="",t=""),"",_xlfn.IFS(B136&gt;=t,"C",B136&gt;=t/2,"B",B136&gt;=t/4,"A",TRUE,"S"))</f>
        <v/>
      </c>
    </row>
    <row r="137">
      <c r="D137" s="8">
        <f>IF(OR(B137="",t=""),"",_xlfn.IFS(B137&gt;=t,"C",B137&gt;=t/2,"B",B137&gt;=t/4,"A",TRUE,"S"))</f>
        <v/>
      </c>
    </row>
    <row r="138">
      <c r="D138" s="8">
        <f>IF(OR(B138="",t=""),"",_xlfn.IFS(B138&gt;=t,"C",B138&gt;=t/2,"B",B138&gt;=t/4,"A",TRUE,"S"))</f>
        <v/>
      </c>
    </row>
    <row r="139">
      <c r="D139" s="8">
        <f>IF(OR(B139="",t=""),"",_xlfn.IFS(B139&gt;=t,"C",B139&gt;=t/2,"B",B139&gt;=t/4,"A",TRUE,"S"))</f>
        <v/>
      </c>
    </row>
    <row r="140">
      <c r="D140" s="8">
        <f>IF(OR(B140="",t=""),"",_xlfn.IFS(B140&gt;=t,"C",B140&gt;=t/2,"B",B140&gt;=t/4,"A",TRUE,"S"))</f>
        <v/>
      </c>
    </row>
    <row r="141">
      <c r="D141" s="8">
        <f>IF(OR(B141="",t=""),"",_xlfn.IFS(B141&gt;=t,"C",B141&gt;=t/2,"B",B141&gt;=t/4,"A",TRUE,"S"))</f>
        <v/>
      </c>
    </row>
    <row r="142">
      <c r="D142" s="8">
        <f>IF(OR(B142="",t=""),"",_xlfn.IFS(B142&gt;=t,"C",B142&gt;=t/2,"B",B142&gt;=t/4,"A",TRUE,"S"))</f>
        <v/>
      </c>
    </row>
    <row r="143">
      <c r="D143" s="8">
        <f>IF(OR(B143="",t=""),"",_xlfn.IFS(B143&gt;=t,"C",B143&gt;=t/2,"B",B143&gt;=t/4,"A",TRUE,"S"))</f>
        <v/>
      </c>
    </row>
    <row r="144">
      <c r="D144" s="8">
        <f>IF(OR(B144="",t=""),"",_xlfn.IFS(B144&gt;=t,"C",B144&gt;=t/2,"B",B144&gt;=t/4,"A",TRUE,"S"))</f>
        <v/>
      </c>
    </row>
    <row r="145">
      <c r="D145" s="8">
        <f>IF(OR(B145="",t=""),"",_xlfn.IFS(B145&gt;=t,"C",B145&gt;=t/2,"B",B145&gt;=t/4,"A",TRUE,"S"))</f>
        <v/>
      </c>
    </row>
    <row r="146">
      <c r="D146" s="8">
        <f>IF(OR(B146="",t=""),"",_xlfn.IFS(B146&gt;=t,"C",B146&gt;=t/2,"B",B146&gt;=t/4,"A",TRUE,"S"))</f>
        <v/>
      </c>
    </row>
    <row r="147">
      <c r="D147" s="8">
        <f>IF(OR(B147="",t=""),"",_xlfn.IFS(B147&gt;=t,"C",B147&gt;=t/2,"B",B147&gt;=t/4,"A",TRUE,"S"))</f>
        <v/>
      </c>
    </row>
    <row r="148">
      <c r="D148" s="8">
        <f>IF(OR(B148="",t=""),"",_xlfn.IFS(B148&gt;=t,"C",B148&gt;=t/2,"B",B148&gt;=t/4,"A",TRUE,"S"))</f>
        <v/>
      </c>
    </row>
    <row r="149">
      <c r="D149" s="8">
        <f>IF(OR(B149="",t=""),"",_xlfn.IFS(B149&gt;=t,"C",B149&gt;=t/2,"B",B149&gt;=t/4,"A",TRUE,"S"))</f>
        <v/>
      </c>
    </row>
    <row r="150">
      <c r="D150" s="8">
        <f>IF(OR(B150="",t=""),"",_xlfn.IFS(B150&gt;=t,"C",B150&gt;=t/2,"B",B150&gt;=t/4,"A",TRUE,"S"))</f>
        <v/>
      </c>
    </row>
    <row r="151">
      <c r="D151" s="8">
        <f>IF(OR(B151="",t=""),"",_xlfn.IFS(B151&gt;=t,"C",B151&gt;=t/2,"B",B151&gt;=t/4,"A",TRUE,"S"))</f>
        <v/>
      </c>
    </row>
    <row r="152">
      <c r="D152" s="8">
        <f>IF(OR(B152="",t=""),"",_xlfn.IFS(B152&gt;=t,"C",B152&gt;=t/2,"B",B152&gt;=t/4,"A",TRUE,"S"))</f>
        <v/>
      </c>
    </row>
    <row r="153">
      <c r="D153" s="8">
        <f>IF(OR(B153="",t=""),"",_xlfn.IFS(B153&gt;=t,"C",B153&gt;=t/2,"B",B153&gt;=t/4,"A",TRUE,"S"))</f>
        <v/>
      </c>
    </row>
    <row r="154">
      <c r="D154" s="8">
        <f>IF(OR(B154="",t=""),"",_xlfn.IFS(B154&gt;=t,"C",B154&gt;=t/2,"B",B154&gt;=t/4,"A",TRUE,"S"))</f>
        <v/>
      </c>
    </row>
    <row r="155">
      <c r="D155" s="8">
        <f>IF(OR(B155="",t=""),"",_xlfn.IFS(B155&gt;=t,"C",B155&gt;=t/2,"B",B155&gt;=t/4,"A",TRUE,"S"))</f>
        <v/>
      </c>
    </row>
    <row r="156">
      <c r="D156" s="8">
        <f>IF(OR(B156="",t=""),"",_xlfn.IFS(B156&gt;=t,"C",B156&gt;=t/2,"B",B156&gt;=t/4,"A",TRUE,"S"))</f>
        <v/>
      </c>
    </row>
    <row r="157">
      <c r="D157" s="8">
        <f>IF(OR(B157="",t=""),"",_xlfn.IFS(B157&gt;=t,"C",B157&gt;=t/2,"B",B157&gt;=t/4,"A",TRUE,"S"))</f>
        <v/>
      </c>
    </row>
    <row r="158">
      <c r="D158" s="8">
        <f>IF(OR(B158="",t=""),"",_xlfn.IFS(B158&gt;=t,"C",B158&gt;=t/2,"B",B158&gt;=t/4,"A",TRUE,"S"))</f>
        <v/>
      </c>
    </row>
    <row r="159">
      <c r="D159" s="8">
        <f>IF(OR(B159="",t=""),"",_xlfn.IFS(B159&gt;=t,"C",B159&gt;=t/2,"B",B159&gt;=t/4,"A",TRUE,"S"))</f>
        <v/>
      </c>
    </row>
    <row r="160">
      <c r="D160" s="8">
        <f>IF(OR(B160="",t=""),"",_xlfn.IFS(B160&gt;=t,"C",B160&gt;=t/2,"B",B160&gt;=t/4,"A",TRUE,"S"))</f>
        <v/>
      </c>
    </row>
    <row r="161">
      <c r="D161" s="8">
        <f>IF(OR(B161="",t=""),"",_xlfn.IFS(B161&gt;=t,"C",B161&gt;=t/2,"B",B161&gt;=t/4,"A",TRUE,"S"))</f>
        <v/>
      </c>
    </row>
    <row r="162">
      <c r="D162" s="8">
        <f>IF(OR(B162="",t=""),"",_xlfn.IFS(B162&gt;=t,"C",B162&gt;=t/2,"B",B162&gt;=t/4,"A",TRUE,"S"))</f>
        <v/>
      </c>
    </row>
    <row r="163">
      <c r="D163" s="8">
        <f>IF(OR(B163="",t=""),"",_xlfn.IFS(B163&gt;=t,"C",B163&gt;=t/2,"B",B163&gt;=t/4,"A",TRUE,"S"))</f>
        <v/>
      </c>
    </row>
    <row r="164">
      <c r="D164" s="8">
        <f>IF(OR(B164="",t=""),"",_xlfn.IFS(B164&gt;=t,"C",B164&gt;=t/2,"B",B164&gt;=t/4,"A",TRUE,"S"))</f>
        <v/>
      </c>
    </row>
    <row r="165">
      <c r="D165" s="8">
        <f>IF(OR(B165="",t=""),"",_xlfn.IFS(B165&gt;=t,"C",B165&gt;=t/2,"B",B165&gt;=t/4,"A",TRUE,"S"))</f>
        <v/>
      </c>
    </row>
    <row r="166">
      <c r="D166" s="8">
        <f>IF(OR(B166="",t=""),"",_xlfn.IFS(B166&gt;=t,"C",B166&gt;=t/2,"B",B166&gt;=t/4,"A",TRUE,"S"))</f>
        <v/>
      </c>
    </row>
    <row r="167">
      <c r="D167" s="8">
        <f>IF(OR(B167="",t=""),"",_xlfn.IFS(B167&gt;=t,"C",B167&gt;=t/2,"B",B167&gt;=t/4,"A",TRUE,"S"))</f>
        <v/>
      </c>
    </row>
    <row r="168">
      <c r="D168" s="8">
        <f>IF(OR(B168="",t=""),"",_xlfn.IFS(B168&gt;=t,"C",B168&gt;=t/2,"B",B168&gt;=t/4,"A",TRUE,"S"))</f>
        <v/>
      </c>
    </row>
    <row r="169">
      <c r="D169" s="8">
        <f>IF(OR(B169="",t=""),"",_xlfn.IFS(B169&gt;=t,"C",B169&gt;=t/2,"B",B169&gt;=t/4,"A",TRUE,"S"))</f>
        <v/>
      </c>
    </row>
    <row r="170">
      <c r="D170" s="8">
        <f>IF(OR(B170="",t=""),"",_xlfn.IFS(B170&gt;=t,"C",B170&gt;=t/2,"B",B170&gt;=t/4,"A",TRUE,"S"))</f>
        <v/>
      </c>
    </row>
    <row r="171">
      <c r="D171" s="8">
        <f>IF(OR(B171="",t=""),"",_xlfn.IFS(B171&gt;=t,"C",B171&gt;=t/2,"B",B171&gt;=t/4,"A",TRUE,"S"))</f>
        <v/>
      </c>
    </row>
    <row r="172">
      <c r="D172" s="8">
        <f>IF(OR(B172="",t=""),"",_xlfn.IFS(B172&gt;=t,"C",B172&gt;=t/2,"B",B172&gt;=t/4,"A",TRUE,"S"))</f>
        <v/>
      </c>
    </row>
    <row r="173">
      <c r="D173" s="8">
        <f>IF(OR(B173="",t=""),"",_xlfn.IFS(B173&gt;=t,"C",B173&gt;=t/2,"B",B173&gt;=t/4,"A",TRUE,"S"))</f>
        <v/>
      </c>
    </row>
    <row r="174">
      <c r="D174" s="8">
        <f>IF(OR(B174="",t=""),"",_xlfn.IFS(B174&gt;=t,"C",B174&gt;=t/2,"B",B174&gt;=t/4,"A",TRUE,"S"))</f>
        <v/>
      </c>
    </row>
    <row r="175">
      <c r="D175" s="8">
        <f>IF(OR(B175="",t=""),"",_xlfn.IFS(B175&gt;=t,"C",B175&gt;=t/2,"B",B175&gt;=t/4,"A",TRUE,"S"))</f>
        <v/>
      </c>
    </row>
    <row r="176">
      <c r="D176" s="8">
        <f>IF(OR(B176="",t=""),"",_xlfn.IFS(B176&gt;=t,"C",B176&gt;=t/2,"B",B176&gt;=t/4,"A",TRUE,"S"))</f>
        <v/>
      </c>
    </row>
    <row r="177">
      <c r="D177" s="8">
        <f>IF(OR(B177="",t=""),"",_xlfn.IFS(B177&gt;=t,"C",B177&gt;=t/2,"B",B177&gt;=t/4,"A",TRUE,"S"))</f>
        <v/>
      </c>
    </row>
    <row r="178">
      <c r="D178" s="8">
        <f>IF(OR(B178="",t=""),"",_xlfn.IFS(B178&gt;=t,"C",B178&gt;=t/2,"B",B178&gt;=t/4,"A",TRUE,"S"))</f>
        <v/>
      </c>
    </row>
    <row r="179">
      <c r="D179" s="8">
        <f>IF(OR(B179="",t=""),"",_xlfn.IFS(B179&gt;=t,"C",B179&gt;=t/2,"B",B179&gt;=t/4,"A",TRUE,"S"))</f>
        <v/>
      </c>
    </row>
    <row r="180">
      <c r="D180" s="8">
        <f>IF(OR(B180="",t=""),"",_xlfn.IFS(B180&gt;=t,"C",B180&gt;=t/2,"B",B180&gt;=t/4,"A",TRUE,"S"))</f>
        <v/>
      </c>
    </row>
    <row r="181">
      <c r="D181" s="8">
        <f>IF(OR(B181="",t=""),"",_xlfn.IFS(B181&gt;=t,"C",B181&gt;=t/2,"B",B181&gt;=t/4,"A",TRUE,"S"))</f>
        <v/>
      </c>
    </row>
    <row r="182">
      <c r="D182" s="8">
        <f>IF(OR(B182="",t=""),"",_xlfn.IFS(B182&gt;=t,"C",B182&gt;=t/2,"B",B182&gt;=t/4,"A",TRUE,"S"))</f>
        <v/>
      </c>
    </row>
    <row r="183">
      <c r="D183" s="8">
        <f>IF(OR(B183="",t=""),"",_xlfn.IFS(B183&gt;=t,"C",B183&gt;=t/2,"B",B183&gt;=t/4,"A",TRUE,"S"))</f>
        <v/>
      </c>
    </row>
    <row r="184">
      <c r="D184" s="8">
        <f>IF(OR(B184="",t=""),"",_xlfn.IFS(B184&gt;=t,"C",B184&gt;=t/2,"B",B184&gt;=t/4,"A",TRUE,"S"))</f>
        <v/>
      </c>
    </row>
    <row r="185">
      <c r="D185" s="8">
        <f>IF(OR(B185="",t=""),"",_xlfn.IFS(B185&gt;=t,"C",B185&gt;=t/2,"B",B185&gt;=t/4,"A",TRUE,"S"))</f>
        <v/>
      </c>
    </row>
    <row r="186">
      <c r="D186" s="8">
        <f>IF(OR(B186="",t=""),"",_xlfn.IFS(B186&gt;=t,"C",B186&gt;=t/2,"B",B186&gt;=t/4,"A",TRUE,"S"))</f>
        <v/>
      </c>
    </row>
    <row r="187">
      <c r="D187" s="8">
        <f>IF(OR(B187="",t=""),"",_xlfn.IFS(B187&gt;=t,"C",B187&gt;=t/2,"B",B187&gt;=t/4,"A",TRUE,"S"))</f>
        <v/>
      </c>
    </row>
    <row r="188">
      <c r="D188" s="8">
        <f>IF(OR(B188="",t=""),"",_xlfn.IFS(B188&gt;=t,"C",B188&gt;=t/2,"B",B188&gt;=t/4,"A",TRUE,"S"))</f>
        <v/>
      </c>
    </row>
    <row r="189">
      <c r="D189" s="8">
        <f>IF(OR(B189="",t=""),"",_xlfn.IFS(B189&gt;=t,"C",B189&gt;=t/2,"B",B189&gt;=t/4,"A",TRUE,"S"))</f>
        <v/>
      </c>
    </row>
    <row r="190">
      <c r="D190" s="8">
        <f>IF(OR(B190="",t=""),"",_xlfn.IFS(B190&gt;=t,"C",B190&gt;=t/2,"B",B190&gt;=t/4,"A",TRUE,"S"))</f>
        <v/>
      </c>
    </row>
    <row r="191">
      <c r="D191" s="8">
        <f>IF(OR(B191="",t=""),"",_xlfn.IFS(B191&gt;=t,"C",B191&gt;=t/2,"B",B191&gt;=t/4,"A",TRUE,"S"))</f>
        <v/>
      </c>
    </row>
    <row r="192">
      <c r="D192" s="8">
        <f>IF(OR(B192="",t=""),"",_xlfn.IFS(B192&gt;=t,"C",B192&gt;=t/2,"B",B192&gt;=t/4,"A",TRUE,"S"))</f>
        <v/>
      </c>
    </row>
    <row r="193">
      <c r="D193" s="8">
        <f>IF(OR(B193="",t=""),"",_xlfn.IFS(B193&gt;=t,"C",B193&gt;=t/2,"B",B193&gt;=t/4,"A",TRUE,"S"))</f>
        <v/>
      </c>
    </row>
    <row r="194">
      <c r="D194" s="8">
        <f>IF(OR(B194="",t=""),"",_xlfn.IFS(B194&gt;=t,"C",B194&gt;=t/2,"B",B194&gt;=t/4,"A",TRUE,"S"))</f>
        <v/>
      </c>
    </row>
    <row r="195">
      <c r="D195" s="8">
        <f>IF(OR(B195="",t=""),"",_xlfn.IFS(B195&gt;=t,"C",B195&gt;=t/2,"B",B195&gt;=t/4,"A",TRUE,"S"))</f>
        <v/>
      </c>
    </row>
    <row r="196">
      <c r="D196" s="8">
        <f>IF(OR(B196="",t=""),"",_xlfn.IFS(B196&gt;=t,"C",B196&gt;=t/2,"B",B196&gt;=t/4,"A",TRUE,"S"))</f>
        <v/>
      </c>
    </row>
    <row r="197">
      <c r="D197" s="8">
        <f>IF(OR(B197="",t=""),"",_xlfn.IFS(B197&gt;=t,"C",B197&gt;=t/2,"B",B197&gt;=t/4,"A",TRUE,"S"))</f>
        <v/>
      </c>
    </row>
    <row r="198">
      <c r="D198" s="8">
        <f>IF(OR(B198="",t=""),"",_xlfn.IFS(B198&gt;=t,"C",B198&gt;=t/2,"B",B198&gt;=t/4,"A",TRUE,"S"))</f>
        <v/>
      </c>
    </row>
    <row r="199">
      <c r="D199" s="8">
        <f>IF(OR(B199="",t=""),"",_xlfn.IFS(B199&gt;=t,"C",B199&gt;=t/2,"B",B199&gt;=t/4,"A",TRUE,"S"))</f>
        <v/>
      </c>
    </row>
    <row r="200">
      <c r="D200" s="8">
        <f>IF(OR(B200="",t=""),"",_xlfn.IFS(B200&gt;=t,"C",B200&gt;=t/2,"B",B200&gt;=t/4,"A",TRUE,"S"))</f>
        <v/>
      </c>
    </row>
    <row r="201">
      <c r="D201" s="8">
        <f>IF(OR(B201="",t=""),"",_xlfn.IFS(B201&gt;=t,"C",B201&gt;=t/2,"B",B201&gt;=t/4,"A",TRUE,"S"))</f>
        <v/>
      </c>
    </row>
    <row r="202">
      <c r="D202" s="8">
        <f>IF(OR(B202="",t=""),"",_xlfn.IFS(B202&gt;=t,"C",B202&gt;=t/2,"B",B202&gt;=t/4,"A",TRUE,"S"))</f>
        <v/>
      </c>
    </row>
    <row r="203">
      <c r="D203" s="8">
        <f>IF(OR(B203="",t=""),"",_xlfn.IFS(B203&gt;=t,"C",B203&gt;=t/2,"B",B203&gt;=t/4,"A",TRUE,"S"))</f>
        <v/>
      </c>
    </row>
    <row r="204">
      <c r="D204" s="8">
        <f>IF(OR(B204="",t=""),"",_xlfn.IFS(B204&gt;=t,"C",B204&gt;=t/2,"B",B204&gt;=t/4,"A",TRUE,"S"))</f>
        <v/>
      </c>
    </row>
    <row r="205">
      <c r="D205" s="8">
        <f>IF(OR(B205="",t=""),"",_xlfn.IFS(B205&gt;=t,"C",B205&gt;=t/2,"B",B205&gt;=t/4,"A",TRUE,"S"))</f>
        <v/>
      </c>
    </row>
    <row r="206">
      <c r="D206" s="8">
        <f>IF(OR(B206="",t=""),"",_xlfn.IFS(B206&gt;=t,"C",B206&gt;=t/2,"B",B206&gt;=t/4,"A",TRUE,"S"))</f>
        <v/>
      </c>
    </row>
    <row r="207">
      <c r="D207" s="8">
        <f>IF(OR(B207="",t=""),"",_xlfn.IFS(B207&gt;=t,"C",B207&gt;=t/2,"B",B207&gt;=t/4,"A",TRUE,"S"))</f>
        <v/>
      </c>
    </row>
    <row r="208">
      <c r="D208" s="8">
        <f>IF(OR(B208="",t=""),"",_xlfn.IFS(B208&gt;=t,"C",B208&gt;=t/2,"B",B208&gt;=t/4,"A",TRUE,"S"))</f>
        <v/>
      </c>
    </row>
    <row r="209">
      <c r="D209" s="8">
        <f>IF(OR(B209="",t=""),"",_xlfn.IFS(B209&gt;=t,"C",B209&gt;=t/2,"B",B209&gt;=t/4,"A",TRUE,"S"))</f>
        <v/>
      </c>
    </row>
    <row r="210">
      <c r="D210" s="8">
        <f>IF(OR(B210="",t=""),"",_xlfn.IFS(B210&gt;=t,"C",B210&gt;=t/2,"B",B210&gt;=t/4,"A",TRUE,"S"))</f>
        <v/>
      </c>
    </row>
    <row r="211">
      <c r="D211" s="8">
        <f>IF(OR(B211="",t=""),"",_xlfn.IFS(B211&gt;=t,"C",B211&gt;=t/2,"B",B211&gt;=t/4,"A",TRUE,"S"))</f>
        <v/>
      </c>
    </row>
    <row r="212">
      <c r="D212" s="8">
        <f>IF(OR(B212="",t=""),"",_xlfn.IFS(B212&gt;=t,"C",B212&gt;=t/2,"B",B212&gt;=t/4,"A",TRUE,"S"))</f>
        <v/>
      </c>
    </row>
    <row r="213">
      <c r="D213" s="8">
        <f>IF(OR(B213="",t=""),"",_xlfn.IFS(B213&gt;=t,"C",B213&gt;=t/2,"B",B213&gt;=t/4,"A",TRUE,"S"))</f>
        <v/>
      </c>
    </row>
    <row r="214">
      <c r="D214" s="8">
        <f>IF(OR(B214="",t=""),"",_xlfn.IFS(B214&gt;=t,"C",B214&gt;=t/2,"B",B214&gt;=t/4,"A",TRUE,"S"))</f>
        <v/>
      </c>
    </row>
    <row r="215">
      <c r="D215" s="8">
        <f>IF(OR(B215="",t=""),"",_xlfn.IFS(B215&gt;=t,"C",B215&gt;=t/2,"B",B215&gt;=t/4,"A",TRUE,"S"))</f>
        <v/>
      </c>
    </row>
    <row r="216">
      <c r="D216" s="8">
        <f>IF(OR(B216="",t=""),"",_xlfn.IFS(B216&gt;=t,"C",B216&gt;=t/2,"B",B216&gt;=t/4,"A",TRUE,"S"))</f>
        <v/>
      </c>
    </row>
    <row r="217">
      <c r="D217" s="8">
        <f>IF(OR(B217="",t=""),"",_xlfn.IFS(B217&gt;=t,"C",B217&gt;=t/2,"B",B217&gt;=t/4,"A",TRUE,"S"))</f>
        <v/>
      </c>
    </row>
    <row r="218">
      <c r="D218" s="8">
        <f>IF(OR(B218="",t=""),"",_xlfn.IFS(B218&gt;=t,"C",B218&gt;=t/2,"B",B218&gt;=t/4,"A",TRUE,"S"))</f>
        <v/>
      </c>
    </row>
    <row r="219">
      <c r="D219" s="8">
        <f>IF(OR(B219="",t=""),"",_xlfn.IFS(B219&gt;=t,"C",B219&gt;=t/2,"B",B219&gt;=t/4,"A",TRUE,"S"))</f>
        <v/>
      </c>
    </row>
    <row r="220">
      <c r="D220" s="8">
        <f>IF(OR(B220="",t=""),"",_xlfn.IFS(B220&gt;=t,"C",B220&gt;=t/2,"B",B220&gt;=t/4,"A",TRUE,"S"))</f>
        <v/>
      </c>
    </row>
    <row r="221">
      <c r="D221" s="8">
        <f>IF(OR(B221="",t=""),"",_xlfn.IFS(B221&gt;=t,"C",B221&gt;=t/2,"B",B221&gt;=t/4,"A",TRUE,"S"))</f>
        <v/>
      </c>
    </row>
    <row r="222">
      <c r="D222" s="8">
        <f>IF(OR(B222="",t=""),"",_xlfn.IFS(B222&gt;=t,"C",B222&gt;=t/2,"B",B222&gt;=t/4,"A",TRUE,"S"))</f>
        <v/>
      </c>
    </row>
    <row r="223">
      <c r="D223" s="8">
        <f>IF(OR(B223="",t=""),"",_xlfn.IFS(B223&gt;=t,"C",B223&gt;=t/2,"B",B223&gt;=t/4,"A",TRUE,"S"))</f>
        <v/>
      </c>
    </row>
    <row r="224">
      <c r="D224" s="8">
        <f>IF(OR(B224="",t=""),"",_xlfn.IFS(B224&gt;=t,"C",B224&gt;=t/2,"B",B224&gt;=t/4,"A",TRUE,"S"))</f>
        <v/>
      </c>
    </row>
    <row r="225">
      <c r="D225" s="8">
        <f>IF(OR(B225="",t=""),"",_xlfn.IFS(B225&gt;=t,"C",B225&gt;=t/2,"B",B225&gt;=t/4,"A",TRUE,"S"))</f>
        <v/>
      </c>
    </row>
    <row r="226">
      <c r="D226" s="8">
        <f>IF(OR(B226="",t=""),"",_xlfn.IFS(B226&gt;=t,"C",B226&gt;=t/2,"B",B226&gt;=t/4,"A",TRUE,"S"))</f>
        <v/>
      </c>
    </row>
    <row r="227">
      <c r="D227" s="8">
        <f>IF(OR(B227="",t=""),"",_xlfn.IFS(B227&gt;=t,"C",B227&gt;=t/2,"B",B227&gt;=t/4,"A",TRUE,"S"))</f>
        <v/>
      </c>
    </row>
    <row r="228">
      <c r="D228" s="8">
        <f>IF(OR(B228="",t=""),"",_xlfn.IFS(B228&gt;=t,"C",B228&gt;=t/2,"B",B228&gt;=t/4,"A",TRUE,"S"))</f>
        <v/>
      </c>
    </row>
    <row r="229">
      <c r="D229" s="8">
        <f>IF(OR(B229="",t=""),"",_xlfn.IFS(B229&gt;=t,"C",B229&gt;=t/2,"B",B229&gt;=t/4,"A",TRUE,"S"))</f>
        <v/>
      </c>
    </row>
    <row r="230">
      <c r="D230" s="8">
        <f>IF(OR(B230="",t=""),"",_xlfn.IFS(B230&gt;=t,"C",B230&gt;=t/2,"B",B230&gt;=t/4,"A",TRUE,"S"))</f>
        <v/>
      </c>
    </row>
    <row r="231">
      <c r="D231" s="8">
        <f>IF(OR(B231="",t=""),"",_xlfn.IFS(B231&gt;=t,"C",B231&gt;=t/2,"B",B231&gt;=t/4,"A",TRUE,"S"))</f>
        <v/>
      </c>
    </row>
    <row r="232">
      <c r="D232" s="8">
        <f>IF(OR(B232="",t=""),"",_xlfn.IFS(B232&gt;=t,"C",B232&gt;=t/2,"B",B232&gt;=t/4,"A",TRUE,"S"))</f>
        <v/>
      </c>
    </row>
    <row r="233">
      <c r="D233" s="8">
        <f>IF(OR(B233="",t=""),"",_xlfn.IFS(B233&gt;=t,"C",B233&gt;=t/2,"B",B233&gt;=t/4,"A",TRUE,"S"))</f>
        <v/>
      </c>
    </row>
    <row r="234">
      <c r="D234" s="8">
        <f>IF(OR(B234="",t=""),"",_xlfn.IFS(B234&gt;=t,"C",B234&gt;=t/2,"B",B234&gt;=t/4,"A",TRUE,"S"))</f>
        <v/>
      </c>
    </row>
    <row r="235">
      <c r="D235" s="8">
        <f>IF(OR(B235="",t=""),"",_xlfn.IFS(B235&gt;=t,"C",B235&gt;=t/2,"B",B235&gt;=t/4,"A",TRUE,"S"))</f>
        <v/>
      </c>
    </row>
    <row r="236">
      <c r="D236" s="8">
        <f>IF(OR(B236="",t=""),"",_xlfn.IFS(B236&gt;=t,"C",B236&gt;=t/2,"B",B236&gt;=t/4,"A",TRUE,"S"))</f>
        <v/>
      </c>
    </row>
    <row r="237">
      <c r="D237" s="8">
        <f>IF(OR(B237="",t=""),"",_xlfn.IFS(B237&gt;=t,"C",B237&gt;=t/2,"B",B237&gt;=t/4,"A",TRUE,"S"))</f>
        <v/>
      </c>
    </row>
    <row r="238">
      <c r="D238" s="8">
        <f>IF(OR(B238="",t=""),"",_xlfn.IFS(B238&gt;=t,"C",B238&gt;=t/2,"B",B238&gt;=t/4,"A",TRUE,"S"))</f>
        <v/>
      </c>
    </row>
    <row r="239">
      <c r="D239" s="8">
        <f>IF(OR(B239="",t=""),"",_xlfn.IFS(B239&gt;=t,"C",B239&gt;=t/2,"B",B239&gt;=t/4,"A",TRUE,"S"))</f>
        <v/>
      </c>
    </row>
    <row r="240">
      <c r="D240" s="8">
        <f>IF(OR(B240="",t=""),"",_xlfn.IFS(B240&gt;=t,"C",B240&gt;=t/2,"B",B240&gt;=t/4,"A",TRUE,"S"))</f>
        <v/>
      </c>
    </row>
    <row r="241">
      <c r="D241" s="8">
        <f>IF(OR(B241="",t=""),"",_xlfn.IFS(B241&gt;=t,"C",B241&gt;=t/2,"B",B241&gt;=t/4,"A",TRUE,"S"))</f>
        <v/>
      </c>
    </row>
    <row r="242">
      <c r="D242" s="8">
        <f>IF(OR(B242="",t=""),"",_xlfn.IFS(B242&gt;=t,"C",B242&gt;=t/2,"B",B242&gt;=t/4,"A",TRUE,"S"))</f>
        <v/>
      </c>
    </row>
    <row r="243">
      <c r="D243" s="8">
        <f>IF(OR(B243="",t=""),"",_xlfn.IFS(B243&gt;=t,"C",B243&gt;=t/2,"B",B243&gt;=t/4,"A",TRUE,"S"))</f>
        <v/>
      </c>
    </row>
    <row r="244">
      <c r="D244" s="8">
        <f>IF(OR(B244="",t=""),"",_xlfn.IFS(B244&gt;=t,"C",B244&gt;=t/2,"B",B244&gt;=t/4,"A",TRUE,"S"))</f>
        <v/>
      </c>
    </row>
    <row r="245">
      <c r="D245" s="8">
        <f>IF(OR(B245="",t=""),"",_xlfn.IFS(B245&gt;=t,"C",B245&gt;=t/2,"B",B245&gt;=t/4,"A",TRUE,"S"))</f>
        <v/>
      </c>
    </row>
    <row r="246">
      <c r="D246" s="8">
        <f>IF(OR(B246="",t=""),"",_xlfn.IFS(B246&gt;=t,"C",B246&gt;=t/2,"B",B246&gt;=t/4,"A",TRUE,"S"))</f>
        <v/>
      </c>
    </row>
    <row r="247">
      <c r="D247" s="8">
        <f>IF(OR(B247="",t=""),"",_xlfn.IFS(B247&gt;=t,"C",B247&gt;=t/2,"B",B247&gt;=t/4,"A",TRUE,"S"))</f>
        <v/>
      </c>
    </row>
    <row r="248">
      <c r="D248" s="8">
        <f>IF(OR(B248="",t=""),"",_xlfn.IFS(B248&gt;=t,"C",B248&gt;=t/2,"B",B248&gt;=t/4,"A",TRUE,"S"))</f>
        <v/>
      </c>
    </row>
    <row r="249">
      <c r="D249" s="8">
        <f>IF(OR(B249="",t=""),"",_xlfn.IFS(B249&gt;=t,"C",B249&gt;=t/2,"B",B249&gt;=t/4,"A",TRUE,"S"))</f>
        <v/>
      </c>
    </row>
    <row r="250">
      <c r="D250" s="8">
        <f>IF(OR(B250="",t=""),"",_xlfn.IFS(B250&gt;=t,"C",B250&gt;=t/2,"B",B250&gt;=t/4,"A",TRUE,"S"))</f>
        <v/>
      </c>
    </row>
    <row r="251">
      <c r="D251" s="8">
        <f>IF(OR(B251="",t=""),"",_xlfn.IFS(B251&gt;=t,"C",B251&gt;=t/2,"B",B251&gt;=t/4,"A",TRUE,"S"))</f>
        <v/>
      </c>
    </row>
    <row r="252">
      <c r="D252" s="8">
        <f>IF(OR(B252="",t=""),"",_xlfn.IFS(B252&gt;=t,"C",B252&gt;=t/2,"B",B252&gt;=t/4,"A",TRUE,"S"))</f>
        <v/>
      </c>
    </row>
    <row r="253">
      <c r="D253" s="8">
        <f>IF(OR(B253="",t=""),"",_xlfn.IFS(B253&gt;=t,"C",B253&gt;=t/2,"B",B253&gt;=t/4,"A",TRUE,"S"))</f>
        <v/>
      </c>
    </row>
    <row r="254">
      <c r="D254" s="8">
        <f>IF(OR(B254="",t=""),"",_xlfn.IFS(B254&gt;=t,"C",B254&gt;=t/2,"B",B254&gt;=t/4,"A",TRUE,"S"))</f>
        <v/>
      </c>
    </row>
    <row r="255">
      <c r="D255" s="8">
        <f>IF(OR(B255="",t=""),"",_xlfn.IFS(B255&gt;=t,"C",B255&gt;=t/2,"B",B255&gt;=t/4,"A",TRUE,"S"))</f>
        <v/>
      </c>
    </row>
    <row r="256">
      <c r="D256" s="8">
        <f>IF(OR(B256="",t=""),"",_xlfn.IFS(B256&gt;=t,"C",B256&gt;=t/2,"B",B256&gt;=t/4,"A",TRUE,"S"))</f>
        <v/>
      </c>
    </row>
    <row r="257">
      <c r="D257" s="8">
        <f>IF(OR(B257="",t=""),"",_xlfn.IFS(B257&gt;=t,"C",B257&gt;=t/2,"B",B257&gt;=t/4,"A",TRUE,"S"))</f>
        <v/>
      </c>
    </row>
    <row r="258">
      <c r="D258" s="8">
        <f>IF(OR(B258="",t=""),"",_xlfn.IFS(B258&gt;=t,"C",B258&gt;=t/2,"B",B258&gt;=t/4,"A",TRUE,"S"))</f>
        <v/>
      </c>
    </row>
    <row r="259">
      <c r="D259" s="8">
        <f>IF(OR(B259="",t=""),"",_xlfn.IFS(B259&gt;=t,"C",B259&gt;=t/2,"B",B259&gt;=t/4,"A",TRUE,"S"))</f>
        <v/>
      </c>
    </row>
    <row r="260">
      <c r="D260" s="8">
        <f>IF(OR(B260="",t=""),"",_xlfn.IFS(B260&gt;=t,"C",B260&gt;=t/2,"B",B260&gt;=t/4,"A",TRUE,"S"))</f>
        <v/>
      </c>
    </row>
    <row r="261">
      <c r="D261" s="8">
        <f>IF(OR(B261="",t=""),"",_xlfn.IFS(B261&gt;=t,"C",B261&gt;=t/2,"B",B261&gt;=t/4,"A",TRUE,"S"))</f>
        <v/>
      </c>
    </row>
    <row r="262">
      <c r="D262" s="8">
        <f>IF(OR(B262="",t=""),"",_xlfn.IFS(B262&gt;=t,"C",B262&gt;=t/2,"B",B262&gt;=t/4,"A",TRUE,"S"))</f>
        <v/>
      </c>
    </row>
    <row r="263">
      <c r="D263" s="8">
        <f>IF(OR(B263="",t=""),"",_xlfn.IFS(B263&gt;=t,"C",B263&gt;=t/2,"B",B263&gt;=t/4,"A",TRUE,"S"))</f>
        <v/>
      </c>
    </row>
    <row r="264">
      <c r="D264" s="8">
        <f>IF(OR(B264="",t=""),"",_xlfn.IFS(B264&gt;=t,"C",B264&gt;=t/2,"B",B264&gt;=t/4,"A",TRUE,"S"))</f>
        <v/>
      </c>
    </row>
    <row r="265">
      <c r="D265" s="8">
        <f>IF(OR(B265="",t=""),"",_xlfn.IFS(B265&gt;=t,"C",B265&gt;=t/2,"B",B265&gt;=t/4,"A",TRUE,"S"))</f>
        <v/>
      </c>
    </row>
    <row r="266">
      <c r="D266" s="8">
        <f>IF(OR(B266="",t=""),"",_xlfn.IFS(B266&gt;=t,"C",B266&gt;=t/2,"B",B266&gt;=t/4,"A",TRUE,"S"))</f>
        <v/>
      </c>
    </row>
    <row r="267">
      <c r="D267" s="8">
        <f>IF(OR(B267="",t=""),"",_xlfn.IFS(B267&gt;=t,"C",B267&gt;=t/2,"B",B267&gt;=t/4,"A",TRUE,"S"))</f>
        <v/>
      </c>
    </row>
    <row r="268">
      <c r="D268" s="8">
        <f>IF(OR(B268="",t=""),"",_xlfn.IFS(B268&gt;=t,"C",B268&gt;=t/2,"B",B268&gt;=t/4,"A",TRUE,"S"))</f>
        <v/>
      </c>
    </row>
    <row r="269">
      <c r="D269" s="8">
        <f>IF(OR(B269="",t=""),"",_xlfn.IFS(B269&gt;=t,"C",B269&gt;=t/2,"B",B269&gt;=t/4,"A",TRUE,"S"))</f>
        <v/>
      </c>
    </row>
    <row r="270">
      <c r="D270" s="8">
        <f>IF(OR(B270="",t=""),"",_xlfn.IFS(B270&gt;=t,"C",B270&gt;=t/2,"B",B270&gt;=t/4,"A",TRUE,"S"))</f>
        <v/>
      </c>
    </row>
    <row r="271">
      <c r="D271" s="8">
        <f>IF(OR(B271="",t=""),"",_xlfn.IFS(B271&gt;=t,"C",B271&gt;=t/2,"B",B271&gt;=t/4,"A",TRUE,"S"))</f>
        <v/>
      </c>
    </row>
    <row r="272">
      <c r="D272" s="8">
        <f>IF(OR(B272="",t=""),"",_xlfn.IFS(B272&gt;=t,"C",B272&gt;=t/2,"B",B272&gt;=t/4,"A",TRUE,"S"))</f>
        <v/>
      </c>
    </row>
    <row r="273">
      <c r="D273" s="8">
        <f>IF(OR(B273="",t=""),"",_xlfn.IFS(B273&gt;=t,"C",B273&gt;=t/2,"B",B273&gt;=t/4,"A",TRUE,"S"))</f>
        <v/>
      </c>
    </row>
    <row r="274">
      <c r="D274" s="8">
        <f>IF(OR(B274="",t=""),"",_xlfn.IFS(B274&gt;=t,"C",B274&gt;=t/2,"B",B274&gt;=t/4,"A",TRUE,"S"))</f>
        <v/>
      </c>
    </row>
    <row r="275">
      <c r="D275" s="8">
        <f>IF(OR(B275="",t=""),"",_xlfn.IFS(B275&gt;=t,"C",B275&gt;=t/2,"B",B275&gt;=t/4,"A",TRUE,"S"))</f>
        <v/>
      </c>
    </row>
    <row r="276">
      <c r="D276" s="8">
        <f>IF(OR(B276="",t=""),"",_xlfn.IFS(B276&gt;=t,"C",B276&gt;=t/2,"B",B276&gt;=t/4,"A",TRUE,"S"))</f>
        <v/>
      </c>
    </row>
    <row r="277">
      <c r="D277" s="8">
        <f>IF(OR(B277="",t=""),"",_xlfn.IFS(B277&gt;=t,"C",B277&gt;=t/2,"B",B277&gt;=t/4,"A",TRUE,"S"))</f>
        <v/>
      </c>
    </row>
    <row r="278">
      <c r="D278" s="8">
        <f>IF(OR(B278="",t=""),"",_xlfn.IFS(B278&gt;=t,"C",B278&gt;=t/2,"B",B278&gt;=t/4,"A",TRUE,"S"))</f>
        <v/>
      </c>
    </row>
    <row r="279">
      <c r="D279" s="8">
        <f>IF(OR(B279="",t=""),"",_xlfn.IFS(B279&gt;=t,"C",B279&gt;=t/2,"B",B279&gt;=t/4,"A",TRUE,"S"))</f>
        <v/>
      </c>
    </row>
    <row r="280">
      <c r="D280" s="8">
        <f>IF(OR(B280="",t=""),"",_xlfn.IFS(B280&gt;=t,"C",B280&gt;=t/2,"B",B280&gt;=t/4,"A",TRUE,"S"))</f>
        <v/>
      </c>
    </row>
    <row r="281">
      <c r="D281" s="8">
        <f>IF(OR(B281="",t=""),"",_xlfn.IFS(B281&gt;=t,"C",B281&gt;=t/2,"B",B281&gt;=t/4,"A",TRUE,"S"))</f>
        <v/>
      </c>
    </row>
    <row r="282">
      <c r="D282" s="8">
        <f>IF(OR(B282="",t=""),"",_xlfn.IFS(B282&gt;=t,"C",B282&gt;=t/2,"B",B282&gt;=t/4,"A",TRUE,"S"))</f>
        <v/>
      </c>
    </row>
    <row r="283">
      <c r="D283" s="8">
        <f>IF(OR(B283="",t=""),"",_xlfn.IFS(B283&gt;=t,"C",B283&gt;=t/2,"B",B283&gt;=t/4,"A",TRUE,"S"))</f>
        <v/>
      </c>
    </row>
    <row r="284">
      <c r="D284" s="8">
        <f>IF(OR(B284="",t=""),"",_xlfn.IFS(B284&gt;=t,"C",B284&gt;=t/2,"B",B284&gt;=t/4,"A",TRUE,"S"))</f>
        <v/>
      </c>
    </row>
    <row r="285">
      <c r="D285" s="8">
        <f>IF(OR(B285="",t=""),"",_xlfn.IFS(B285&gt;=t,"C",B285&gt;=t/2,"B",B285&gt;=t/4,"A",TRUE,"S"))</f>
        <v/>
      </c>
    </row>
    <row r="286">
      <c r="D286" s="8">
        <f>IF(OR(B286="",t=""),"",_xlfn.IFS(B286&gt;=t,"C",B286&gt;=t/2,"B",B286&gt;=t/4,"A",TRUE,"S"))</f>
        <v/>
      </c>
    </row>
    <row r="287">
      <c r="D287" s="8">
        <f>IF(OR(B287="",t=""),"",_xlfn.IFS(B287&gt;=t,"C",B287&gt;=t/2,"B",B287&gt;=t/4,"A",TRUE,"S"))</f>
        <v/>
      </c>
    </row>
    <row r="288">
      <c r="D288" s="8">
        <f>IF(OR(B288="",t=""),"",_xlfn.IFS(B288&gt;=t,"C",B288&gt;=t/2,"B",B288&gt;=t/4,"A",TRUE,"S"))</f>
        <v/>
      </c>
    </row>
    <row r="289">
      <c r="D289" s="8">
        <f>IF(OR(B289="",t=""),"",_xlfn.IFS(B289&gt;=t,"C",B289&gt;=t/2,"B",B289&gt;=t/4,"A",TRUE,"S"))</f>
        <v/>
      </c>
    </row>
    <row r="290">
      <c r="D290" s="8">
        <f>IF(OR(B290="",t=""),"",_xlfn.IFS(B290&gt;=t,"C",B290&gt;=t/2,"B",B290&gt;=t/4,"A",TRUE,"S"))</f>
        <v/>
      </c>
    </row>
    <row r="291">
      <c r="D291" s="8">
        <f>IF(OR(B291="",t=""),"",_xlfn.IFS(B291&gt;=t,"C",B291&gt;=t/2,"B",B291&gt;=t/4,"A",TRUE,"S"))</f>
        <v/>
      </c>
    </row>
    <row r="292">
      <c r="D292" s="8">
        <f>IF(OR(B292="",t=""),"",_xlfn.IFS(B292&gt;=t,"C",B292&gt;=t/2,"B",B292&gt;=t/4,"A",TRUE,"S"))</f>
        <v/>
      </c>
    </row>
    <row r="293">
      <c r="D293" s="8">
        <f>IF(OR(B293="",t=""),"",_xlfn.IFS(B293&gt;=t,"C",B293&gt;=t/2,"B",B293&gt;=t/4,"A",TRUE,"S"))</f>
        <v/>
      </c>
    </row>
    <row r="294">
      <c r="D294" s="8">
        <f>IF(OR(B294="",t=""),"",_xlfn.IFS(B294&gt;=t,"C",B294&gt;=t/2,"B",B294&gt;=t/4,"A",TRUE,"S"))</f>
        <v/>
      </c>
    </row>
    <row r="295">
      <c r="D295" s="8">
        <f>IF(OR(B295="",t=""),"",_xlfn.IFS(B295&gt;=t,"C",B295&gt;=t/2,"B",B295&gt;=t/4,"A",TRUE,"S"))</f>
        <v/>
      </c>
    </row>
    <row r="296">
      <c r="D296" s="8">
        <f>IF(OR(B296="",t=""),"",_xlfn.IFS(B296&gt;=t,"C",B296&gt;=t/2,"B",B296&gt;=t/4,"A",TRUE,"S"))</f>
        <v/>
      </c>
    </row>
    <row r="297">
      <c r="D297" s="8">
        <f>IF(OR(B297="",t=""),"",_xlfn.IFS(B297&gt;=t,"C",B297&gt;=t/2,"B",B297&gt;=t/4,"A",TRUE,"S"))</f>
        <v/>
      </c>
    </row>
    <row r="298">
      <c r="D298" s="8">
        <f>IF(OR(B298="",t=""),"",_xlfn.IFS(B298&gt;=t,"C",B298&gt;=t/2,"B",B298&gt;=t/4,"A",TRUE,"S"))</f>
        <v/>
      </c>
    </row>
    <row r="299">
      <c r="D299" s="8">
        <f>IF(OR(B299="",t=""),"",_xlfn.IFS(B299&gt;=t,"C",B299&gt;=t/2,"B",B299&gt;=t/4,"A",TRUE,"S"))</f>
        <v/>
      </c>
    </row>
    <row r="300">
      <c r="D300" s="8">
        <f>IF(OR(B300="",t=""),"",_xlfn.IFS(B300&gt;=t,"C",B300&gt;=t/2,"B",B300&gt;=t/4,"A",TRUE,"S"))</f>
        <v/>
      </c>
    </row>
    <row r="301">
      <c r="D301" s="8">
        <f>IF(OR(B301="",t=""),"",_xlfn.IFS(B301&gt;=t,"C",B301&gt;=t/2,"B",B301&gt;=t/4,"A",TRUE,"S"))</f>
        <v/>
      </c>
    </row>
    <row r="302">
      <c r="D302" s="8">
        <f>IF(OR(B302="",t=""),"",_xlfn.IFS(B302&gt;=t,"C",B302&gt;=t/2,"B",B302&gt;=t/4,"A",TRUE,"S"))</f>
        <v/>
      </c>
    </row>
    <row r="303">
      <c r="D303" s="8">
        <f>IF(OR(B303="",t=""),"",_xlfn.IFS(B303&gt;=t,"C",B303&gt;=t/2,"B",B303&gt;=t/4,"A",TRUE,"S"))</f>
        <v/>
      </c>
    </row>
    <row r="304">
      <c r="D304" s="8">
        <f>IF(OR(B304="",t=""),"",_xlfn.IFS(B304&gt;=t,"C",B304&gt;=t/2,"B",B304&gt;=t/4,"A",TRUE,"S"))</f>
        <v/>
      </c>
    </row>
    <row r="305">
      <c r="D305" s="8">
        <f>IF(OR(B305="",t=""),"",_xlfn.IFS(B305&gt;=t,"C",B305&gt;=t/2,"B",B305&gt;=t/4,"A",TRUE,"S"))</f>
        <v/>
      </c>
    </row>
    <row r="306">
      <c r="D306" s="8">
        <f>IF(OR(B306="",t=""),"",_xlfn.IFS(B306&gt;=t,"C",B306&gt;=t/2,"B",B306&gt;=t/4,"A",TRUE,"S"))</f>
        <v/>
      </c>
    </row>
    <row r="307">
      <c r="D307" s="8">
        <f>IF(OR(B307="",t=""),"",_xlfn.IFS(B307&gt;=t,"C",B307&gt;=t/2,"B",B307&gt;=t/4,"A",TRUE,"S"))</f>
        <v/>
      </c>
    </row>
    <row r="308">
      <c r="D308" s="8">
        <f>IF(OR(B308="",t=""),"",_xlfn.IFS(B308&gt;=t,"C",B308&gt;=t/2,"B",B308&gt;=t/4,"A",TRUE,"S"))</f>
        <v/>
      </c>
    </row>
    <row r="309">
      <c r="D309" s="8">
        <f>IF(OR(B309="",t=""),"",_xlfn.IFS(B309&gt;=t,"C",B309&gt;=t/2,"B",B309&gt;=t/4,"A",TRUE,"S"))</f>
        <v/>
      </c>
    </row>
    <row r="310">
      <c r="D310" s="8">
        <f>IF(OR(B310="",t=""),"",_xlfn.IFS(B310&gt;=t,"C",B310&gt;=t/2,"B",B310&gt;=t/4,"A",TRUE,"S"))</f>
        <v/>
      </c>
    </row>
    <row r="311">
      <c r="D311" s="8">
        <f>IF(OR(B311="",t=""),"",_xlfn.IFS(B311&gt;=t,"C",B311&gt;=t/2,"B",B311&gt;=t/4,"A",TRUE,"S"))</f>
        <v/>
      </c>
    </row>
    <row r="312">
      <c r="D312" s="8">
        <f>IF(OR(B312="",t=""),"",_xlfn.IFS(B312&gt;=t,"C",B312&gt;=t/2,"B",B312&gt;=t/4,"A",TRUE,"S"))</f>
        <v/>
      </c>
    </row>
    <row r="313">
      <c r="D313" s="8">
        <f>IF(OR(B313="",t=""),"",_xlfn.IFS(B313&gt;=t,"C",B313&gt;=t/2,"B",B313&gt;=t/4,"A",TRUE,"S"))</f>
        <v/>
      </c>
    </row>
    <row r="314">
      <c r="D314" s="8">
        <f>IF(OR(B314="",t=""),"",_xlfn.IFS(B314&gt;=t,"C",B314&gt;=t/2,"B",B314&gt;=t/4,"A",TRUE,"S"))</f>
        <v/>
      </c>
    </row>
    <row r="315">
      <c r="D315" s="8">
        <f>IF(OR(B315="",t=""),"",_xlfn.IFS(B315&gt;=t,"C",B315&gt;=t/2,"B",B315&gt;=t/4,"A",TRUE,"S"))</f>
        <v/>
      </c>
    </row>
    <row r="316">
      <c r="D316" s="8">
        <f>IF(OR(B316="",t=""),"",_xlfn.IFS(B316&gt;=t,"C",B316&gt;=t/2,"B",B316&gt;=t/4,"A",TRUE,"S"))</f>
        <v/>
      </c>
    </row>
    <row r="317">
      <c r="D317" s="8">
        <f>IF(OR(B317="",t=""),"",_xlfn.IFS(B317&gt;=t,"C",B317&gt;=t/2,"B",B317&gt;=t/4,"A",TRUE,"S"))</f>
        <v/>
      </c>
    </row>
    <row r="318">
      <c r="D318" s="8">
        <f>IF(OR(B318="",t=""),"",_xlfn.IFS(B318&gt;=t,"C",B318&gt;=t/2,"B",B318&gt;=t/4,"A",TRUE,"S"))</f>
        <v/>
      </c>
    </row>
    <row r="319">
      <c r="D319" s="8">
        <f>IF(OR(B319="",t=""),"",_xlfn.IFS(B319&gt;=t,"C",B319&gt;=t/2,"B",B319&gt;=t/4,"A",TRUE,"S"))</f>
        <v/>
      </c>
    </row>
    <row r="320">
      <c r="D320" s="8">
        <f>IF(OR(B320="",t=""),"",_xlfn.IFS(B320&gt;=t,"C",B320&gt;=t/2,"B",B320&gt;=t/4,"A",TRUE,"S"))</f>
        <v/>
      </c>
    </row>
    <row r="321">
      <c r="D321" s="8">
        <f>IF(OR(B321="",t=""),"",_xlfn.IFS(B321&gt;=t,"C",B321&gt;=t/2,"B",B321&gt;=t/4,"A",TRUE,"S"))</f>
        <v/>
      </c>
    </row>
    <row r="322">
      <c r="D322" s="8">
        <f>IF(OR(B322="",t=""),"",_xlfn.IFS(B322&gt;=t,"C",B322&gt;=t/2,"B",B322&gt;=t/4,"A",TRUE,"S"))</f>
        <v/>
      </c>
    </row>
    <row r="323">
      <c r="D323" s="8">
        <f>IF(OR(B323="",t=""),"",_xlfn.IFS(B323&gt;=t,"C",B323&gt;=t/2,"B",B323&gt;=t/4,"A",TRUE,"S"))</f>
        <v/>
      </c>
    </row>
    <row r="324">
      <c r="D324" s="8">
        <f>IF(OR(B324="",t=""),"",_xlfn.IFS(B324&gt;=t,"C",B324&gt;=t/2,"B",B324&gt;=t/4,"A",TRUE,"S"))</f>
        <v/>
      </c>
    </row>
    <row r="325">
      <c r="D325" s="8">
        <f>IF(OR(B325="",t=""),"",_xlfn.IFS(B325&gt;=t,"C",B325&gt;=t/2,"B",B325&gt;=t/4,"A",TRUE,"S"))</f>
        <v/>
      </c>
    </row>
    <row r="326">
      <c r="D326" s="8">
        <f>IF(OR(B326="",t=""),"",_xlfn.IFS(B326&gt;=t,"C",B326&gt;=t/2,"B",B326&gt;=t/4,"A",TRUE,"S"))</f>
        <v/>
      </c>
    </row>
    <row r="327">
      <c r="D327" s="8">
        <f>IF(OR(B327="",t=""),"",_xlfn.IFS(B327&gt;=t,"C",B327&gt;=t/2,"B",B327&gt;=t/4,"A",TRUE,"S"))</f>
        <v/>
      </c>
    </row>
    <row r="328">
      <c r="D328" s="8">
        <f>IF(OR(B328="",t=""),"",_xlfn.IFS(B328&gt;=t,"C",B328&gt;=t/2,"B",B328&gt;=t/4,"A",TRUE,"S"))</f>
        <v/>
      </c>
    </row>
    <row r="329">
      <c r="D329" s="8">
        <f>IF(OR(B329="",t=""),"",_xlfn.IFS(B329&gt;=t,"C",B329&gt;=t/2,"B",B329&gt;=t/4,"A",TRUE,"S"))</f>
        <v/>
      </c>
    </row>
    <row r="330">
      <c r="D330" s="8">
        <f>IF(OR(B330="",t=""),"",_xlfn.IFS(B330&gt;=t,"C",B330&gt;=t/2,"B",B330&gt;=t/4,"A",TRUE,"S"))</f>
        <v/>
      </c>
    </row>
    <row r="331">
      <c r="D331" s="8">
        <f>IF(OR(B331="",t=""),"",_xlfn.IFS(B331&gt;=t,"C",B331&gt;=t/2,"B",B331&gt;=t/4,"A",TRUE,"S"))</f>
        <v/>
      </c>
    </row>
    <row r="332">
      <c r="D332" s="8">
        <f>IF(OR(B332="",t=""),"",_xlfn.IFS(B332&gt;=t,"C",B332&gt;=t/2,"B",B332&gt;=t/4,"A",TRUE,"S"))</f>
        <v/>
      </c>
    </row>
    <row r="333">
      <c r="D333" s="8">
        <f>IF(OR(B333="",t=""),"",_xlfn.IFS(B333&gt;=t,"C",B333&gt;=t/2,"B",B333&gt;=t/4,"A",TRUE,"S"))</f>
        <v/>
      </c>
    </row>
    <row r="334">
      <c r="D334" s="8">
        <f>IF(OR(B334="",t=""),"",_xlfn.IFS(B334&gt;=t,"C",B334&gt;=t/2,"B",B334&gt;=t/4,"A",TRUE,"S"))</f>
        <v/>
      </c>
    </row>
    <row r="335">
      <c r="D335" s="8">
        <f>IF(OR(B335="",t=""),"",_xlfn.IFS(B335&gt;=t,"C",B335&gt;=t/2,"B",B335&gt;=t/4,"A",TRUE,"S"))</f>
        <v/>
      </c>
    </row>
    <row r="336">
      <c r="D336" s="8">
        <f>IF(OR(B336="",t=""),"",_xlfn.IFS(B336&gt;=t,"C",B336&gt;=t/2,"B",B336&gt;=t/4,"A",TRUE,"S"))</f>
        <v/>
      </c>
    </row>
    <row r="337">
      <c r="D337" s="8">
        <f>IF(OR(B337="",t=""),"",_xlfn.IFS(B337&gt;=t,"C",B337&gt;=t/2,"B",B337&gt;=t/4,"A",TRUE,"S"))</f>
        <v/>
      </c>
    </row>
    <row r="338">
      <c r="D338" s="8">
        <f>IF(OR(B338="",t=""),"",_xlfn.IFS(B338&gt;=t,"C",B338&gt;=t/2,"B",B338&gt;=t/4,"A",TRUE,"S"))</f>
        <v/>
      </c>
    </row>
    <row r="339">
      <c r="D339" s="8">
        <f>IF(OR(B339="",t=""),"",_xlfn.IFS(B339&gt;=t,"C",B339&gt;=t/2,"B",B339&gt;=t/4,"A",TRUE,"S"))</f>
        <v/>
      </c>
    </row>
    <row r="340">
      <c r="D340" s="8">
        <f>IF(OR(B340="",t=""),"",_xlfn.IFS(B340&gt;=t,"C",B340&gt;=t/2,"B",B340&gt;=t/4,"A",TRUE,"S"))</f>
        <v/>
      </c>
    </row>
    <row r="341">
      <c r="D341" s="8">
        <f>IF(OR(B341="",t=""),"",_xlfn.IFS(B341&gt;=t,"C",B341&gt;=t/2,"B",B341&gt;=t/4,"A",TRUE,"S"))</f>
        <v/>
      </c>
    </row>
    <row r="342">
      <c r="D342" s="8">
        <f>IF(OR(B342="",t=""),"",_xlfn.IFS(B342&gt;=t,"C",B342&gt;=t/2,"B",B342&gt;=t/4,"A",TRUE,"S"))</f>
        <v/>
      </c>
    </row>
    <row r="343">
      <c r="D343" s="8">
        <f>IF(OR(B343="",t=""),"",_xlfn.IFS(B343&gt;=t,"C",B343&gt;=t/2,"B",B343&gt;=t/4,"A",TRUE,"S"))</f>
        <v/>
      </c>
    </row>
    <row r="344">
      <c r="D344" s="8">
        <f>IF(OR(B344="",t=""),"",_xlfn.IFS(B344&gt;=t,"C",B344&gt;=t/2,"B",B344&gt;=t/4,"A",TRUE,"S"))</f>
        <v/>
      </c>
    </row>
    <row r="345">
      <c r="D345" s="8">
        <f>IF(OR(B345="",t=""),"",_xlfn.IFS(B345&gt;=t,"C",B345&gt;=t/2,"B",B345&gt;=t/4,"A",TRUE,"S"))</f>
        <v/>
      </c>
    </row>
    <row r="346">
      <c r="D346" s="8">
        <f>IF(OR(B346="",t=""),"",_xlfn.IFS(B346&gt;=t,"C",B346&gt;=t/2,"B",B346&gt;=t/4,"A",TRUE,"S"))</f>
        <v/>
      </c>
    </row>
    <row r="347">
      <c r="D347" s="8">
        <f>IF(OR(B347="",t=""),"",_xlfn.IFS(B347&gt;=t,"C",B347&gt;=t/2,"B",B347&gt;=t/4,"A",TRUE,"S"))</f>
        <v/>
      </c>
    </row>
    <row r="348">
      <c r="D348" s="8">
        <f>IF(OR(B348="",t=""),"",_xlfn.IFS(B348&gt;=t,"C",B348&gt;=t/2,"B",B348&gt;=t/4,"A",TRUE,"S"))</f>
        <v/>
      </c>
    </row>
    <row r="349">
      <c r="D349" s="8">
        <f>IF(OR(B349="",t=""),"",_xlfn.IFS(B349&gt;=t,"C",B349&gt;=t/2,"B",B349&gt;=t/4,"A",TRUE,"S"))</f>
        <v/>
      </c>
    </row>
    <row r="350">
      <c r="D350" s="8">
        <f>IF(OR(B350="",t=""),"",_xlfn.IFS(B350&gt;=t,"C",B350&gt;=t/2,"B",B350&gt;=t/4,"A",TRUE,"S"))</f>
        <v/>
      </c>
    </row>
    <row r="351">
      <c r="D351" s="8">
        <f>IF(OR(B351="",t=""),"",_xlfn.IFS(B351&gt;=t,"C",B351&gt;=t/2,"B",B351&gt;=t/4,"A",TRUE,"S"))</f>
        <v/>
      </c>
    </row>
    <row r="352">
      <c r="D352" s="8">
        <f>IF(OR(B352="",t=""),"",_xlfn.IFS(B352&gt;=t,"C",B352&gt;=t/2,"B",B352&gt;=t/4,"A",TRUE,"S"))</f>
        <v/>
      </c>
    </row>
    <row r="353">
      <c r="D353" s="8">
        <f>IF(OR(B353="",t=""),"",_xlfn.IFS(B353&gt;=t,"C",B353&gt;=t/2,"B",B353&gt;=t/4,"A",TRUE,"S"))</f>
        <v/>
      </c>
    </row>
    <row r="354">
      <c r="D354" s="8">
        <f>IF(OR(B354="",t=""),"",_xlfn.IFS(B354&gt;=t,"C",B354&gt;=t/2,"B",B354&gt;=t/4,"A",TRUE,"S"))</f>
        <v/>
      </c>
    </row>
    <row r="355">
      <c r="D355" s="8">
        <f>IF(OR(B355="",t=""),"",_xlfn.IFS(B355&gt;=t,"C",B355&gt;=t/2,"B",B355&gt;=t/4,"A",TRUE,"S"))</f>
        <v/>
      </c>
    </row>
    <row r="356">
      <c r="D356" s="8">
        <f>IF(OR(B356="",t=""),"",_xlfn.IFS(B356&gt;=t,"C",B356&gt;=t/2,"B",B356&gt;=t/4,"A",TRUE,"S"))</f>
        <v/>
      </c>
    </row>
    <row r="357">
      <c r="D357" s="8">
        <f>IF(OR(B357="",t=""),"",_xlfn.IFS(B357&gt;=t,"C",B357&gt;=t/2,"B",B357&gt;=t/4,"A",TRUE,"S"))</f>
        <v/>
      </c>
    </row>
    <row r="358">
      <c r="D358" s="8">
        <f>IF(OR(B358="",t=""),"",_xlfn.IFS(B358&gt;=t,"C",B358&gt;=t/2,"B",B358&gt;=t/4,"A",TRUE,"S"))</f>
        <v/>
      </c>
    </row>
    <row r="359">
      <c r="D359" s="8">
        <f>IF(OR(B359="",t=""),"",_xlfn.IFS(B359&gt;=t,"C",B359&gt;=t/2,"B",B359&gt;=t/4,"A",TRUE,"S"))</f>
        <v/>
      </c>
    </row>
    <row r="360">
      <c r="D360" s="8">
        <f>IF(OR(B360="",t=""),"",_xlfn.IFS(B360&gt;=t,"C",B360&gt;=t/2,"B",B360&gt;=t/4,"A",TRUE,"S"))</f>
        <v/>
      </c>
    </row>
    <row r="361">
      <c r="D361" s="8">
        <f>IF(OR(B361="",t=""),"",_xlfn.IFS(B361&gt;=t,"C",B361&gt;=t/2,"B",B361&gt;=t/4,"A",TRUE,"S"))</f>
        <v/>
      </c>
    </row>
    <row r="362">
      <c r="D362" s="8">
        <f>IF(OR(B362="",t=""),"",_xlfn.IFS(B362&gt;=t,"C",B362&gt;=t/2,"B",B362&gt;=t/4,"A",TRUE,"S"))</f>
        <v/>
      </c>
    </row>
    <row r="363">
      <c r="D363" s="8">
        <f>IF(OR(B363="",t=""),"",_xlfn.IFS(B363&gt;=t,"C",B363&gt;=t/2,"B",B363&gt;=t/4,"A",TRUE,"S"))</f>
        <v/>
      </c>
    </row>
    <row r="364">
      <c r="D364" s="8">
        <f>IF(OR(B364="",t=""),"",_xlfn.IFS(B364&gt;=t,"C",B364&gt;=t/2,"B",B364&gt;=t/4,"A",TRUE,"S"))</f>
        <v/>
      </c>
    </row>
    <row r="365">
      <c r="D365" s="8">
        <f>IF(OR(B365="",t=""),"",_xlfn.IFS(B365&gt;=t,"C",B365&gt;=t/2,"B",B365&gt;=t/4,"A",TRUE,"S"))</f>
        <v/>
      </c>
    </row>
    <row r="366">
      <c r="D366" s="8">
        <f>IF(OR(B366="",t=""),"",_xlfn.IFS(B366&gt;=t,"C",B366&gt;=t/2,"B",B366&gt;=t/4,"A",TRUE,"S"))</f>
        <v/>
      </c>
    </row>
    <row r="367">
      <c r="D367" s="8">
        <f>IF(OR(B367="",t=""),"",_xlfn.IFS(B367&gt;=t,"C",B367&gt;=t/2,"B",B367&gt;=t/4,"A",TRUE,"S"))</f>
        <v/>
      </c>
    </row>
    <row r="368">
      <c r="D368" s="8">
        <f>IF(OR(B368="",t=""),"",_xlfn.IFS(B368&gt;=t,"C",B368&gt;=t/2,"B",B368&gt;=t/4,"A",TRUE,"S"))</f>
        <v/>
      </c>
    </row>
    <row r="369">
      <c r="D369" s="8">
        <f>IF(OR(B369="",t=""),"",_xlfn.IFS(B369&gt;=t,"C",B369&gt;=t/2,"B",B369&gt;=t/4,"A",TRUE,"S"))</f>
        <v/>
      </c>
    </row>
    <row r="370">
      <c r="D370" s="8">
        <f>IF(OR(B370="",t=""),"",_xlfn.IFS(B370&gt;=t,"C",B370&gt;=t/2,"B",B370&gt;=t/4,"A",TRUE,"S"))</f>
        <v/>
      </c>
    </row>
    <row r="371">
      <c r="D371" s="8">
        <f>IF(OR(B371="",t=""),"",_xlfn.IFS(B371&gt;=t,"C",B371&gt;=t/2,"B",B371&gt;=t/4,"A",TRUE,"S"))</f>
        <v/>
      </c>
    </row>
    <row r="372">
      <c r="D372" s="8">
        <f>IF(OR(B372="",t=""),"",_xlfn.IFS(B372&gt;=t,"C",B372&gt;=t/2,"B",B372&gt;=t/4,"A",TRUE,"S"))</f>
        <v/>
      </c>
    </row>
    <row r="373">
      <c r="D373" s="8">
        <f>IF(OR(B373="",t=""),"",_xlfn.IFS(B373&gt;=t,"C",B373&gt;=t/2,"B",B373&gt;=t/4,"A",TRUE,"S"))</f>
        <v/>
      </c>
    </row>
    <row r="374">
      <c r="D374" s="8">
        <f>IF(OR(B374="",t=""),"",_xlfn.IFS(B374&gt;=t,"C",B374&gt;=t/2,"B",B374&gt;=t/4,"A",TRUE,"S"))</f>
        <v/>
      </c>
    </row>
    <row r="375">
      <c r="D375" s="8">
        <f>IF(OR(B375="",t=""),"",_xlfn.IFS(B375&gt;=t,"C",B375&gt;=t/2,"B",B375&gt;=t/4,"A",TRUE,"S"))</f>
        <v/>
      </c>
    </row>
    <row r="376">
      <c r="D376" s="8">
        <f>IF(OR(B376="",t=""),"",_xlfn.IFS(B376&gt;=t,"C",B376&gt;=t/2,"B",B376&gt;=t/4,"A",TRUE,"S"))</f>
        <v/>
      </c>
    </row>
    <row r="377">
      <c r="D377" s="8">
        <f>IF(OR(B377="",t=""),"",_xlfn.IFS(B377&gt;=t,"C",B377&gt;=t/2,"B",B377&gt;=t/4,"A",TRUE,"S"))</f>
        <v/>
      </c>
    </row>
    <row r="378">
      <c r="D378" s="8">
        <f>IF(OR(B378="",t=""),"",_xlfn.IFS(B378&gt;=t,"C",B378&gt;=t/2,"B",B378&gt;=t/4,"A",TRUE,"S"))</f>
        <v/>
      </c>
    </row>
    <row r="379">
      <c r="D379" s="8">
        <f>IF(OR(B379="",t=""),"",_xlfn.IFS(B379&gt;=t,"C",B379&gt;=t/2,"B",B379&gt;=t/4,"A",TRUE,"S"))</f>
        <v/>
      </c>
    </row>
    <row r="380">
      <c r="D380" s="8">
        <f>IF(OR(B380="",t=""),"",_xlfn.IFS(B380&gt;=t,"C",B380&gt;=t/2,"B",B380&gt;=t/4,"A",TRUE,"S"))</f>
        <v/>
      </c>
    </row>
    <row r="381">
      <c r="D381" s="8">
        <f>IF(OR(B381="",t=""),"",_xlfn.IFS(B381&gt;=t,"C",B381&gt;=t/2,"B",B381&gt;=t/4,"A",TRUE,"S"))</f>
        <v/>
      </c>
    </row>
    <row r="382">
      <c r="D382" s="8">
        <f>IF(OR(B382="",t=""),"",_xlfn.IFS(B382&gt;=t,"C",B382&gt;=t/2,"B",B382&gt;=t/4,"A",TRUE,"S"))</f>
        <v/>
      </c>
    </row>
    <row r="383">
      <c r="D383" s="8">
        <f>IF(OR(B383="",t=""),"",_xlfn.IFS(B383&gt;=t,"C",B383&gt;=t/2,"B",B383&gt;=t/4,"A",TRUE,"S"))</f>
        <v/>
      </c>
    </row>
    <row r="384">
      <c r="D384" s="8">
        <f>IF(OR(B384="",t=""),"",_xlfn.IFS(B384&gt;=t,"C",B384&gt;=t/2,"B",B384&gt;=t/4,"A",TRUE,"S"))</f>
        <v/>
      </c>
    </row>
    <row r="385">
      <c r="D385" s="8">
        <f>IF(OR(B385="",t=""),"",_xlfn.IFS(B385&gt;=t,"C",B385&gt;=t/2,"B",B385&gt;=t/4,"A",TRUE,"S"))</f>
        <v/>
      </c>
    </row>
    <row r="386">
      <c r="D386" s="8">
        <f>IF(OR(B386="",t=""),"",_xlfn.IFS(B386&gt;=t,"C",B386&gt;=t/2,"B",B386&gt;=t/4,"A",TRUE,"S"))</f>
        <v/>
      </c>
    </row>
    <row r="387">
      <c r="D387" s="8">
        <f>IF(OR(B387="",t=""),"",_xlfn.IFS(B387&gt;=t,"C",B387&gt;=t/2,"B",B387&gt;=t/4,"A",TRUE,"S"))</f>
        <v/>
      </c>
    </row>
    <row r="388">
      <c r="D388" s="8">
        <f>IF(OR(B388="",t=""),"",_xlfn.IFS(B388&gt;=t,"C",B388&gt;=t/2,"B",B388&gt;=t/4,"A",TRUE,"S"))</f>
        <v/>
      </c>
    </row>
    <row r="389">
      <c r="D389" s="8">
        <f>IF(OR(B389="",t=""),"",_xlfn.IFS(B389&gt;=t,"C",B389&gt;=t/2,"B",B389&gt;=t/4,"A",TRUE,"S"))</f>
        <v/>
      </c>
    </row>
    <row r="390">
      <c r="D390" s="8">
        <f>IF(OR(B390="",t=""),"",_xlfn.IFS(B390&gt;=t,"C",B390&gt;=t/2,"B",B390&gt;=t/4,"A",TRUE,"S"))</f>
        <v/>
      </c>
    </row>
    <row r="391">
      <c r="D391" s="8">
        <f>IF(OR(B391="",t=""),"",_xlfn.IFS(B391&gt;=t,"C",B391&gt;=t/2,"B",B391&gt;=t/4,"A",TRUE,"S"))</f>
        <v/>
      </c>
    </row>
    <row r="392">
      <c r="D392" s="8">
        <f>IF(OR(B392="",t=""),"",_xlfn.IFS(B392&gt;=t,"C",B392&gt;=t/2,"B",B392&gt;=t/4,"A",TRUE,"S"))</f>
        <v/>
      </c>
    </row>
    <row r="393">
      <c r="D393" s="8">
        <f>IF(OR(B393="",t=""),"",_xlfn.IFS(B393&gt;=t,"C",B393&gt;=t/2,"B",B393&gt;=t/4,"A",TRUE,"S"))</f>
        <v/>
      </c>
    </row>
    <row r="394">
      <c r="D394" s="8">
        <f>IF(OR(B394="",t=""),"",_xlfn.IFS(B394&gt;=t,"C",B394&gt;=t/2,"B",B394&gt;=t/4,"A",TRUE,"S"))</f>
        <v/>
      </c>
    </row>
    <row r="395">
      <c r="D395" s="8">
        <f>IF(OR(B395="",t=""),"",_xlfn.IFS(B395&gt;=t,"C",B395&gt;=t/2,"B",B395&gt;=t/4,"A",TRUE,"S"))</f>
        <v/>
      </c>
    </row>
    <row r="396">
      <c r="D396" s="8">
        <f>IF(OR(B396="",t=""),"",_xlfn.IFS(B396&gt;=t,"C",B396&gt;=t/2,"B",B396&gt;=t/4,"A",TRUE,"S"))</f>
        <v/>
      </c>
    </row>
    <row r="397">
      <c r="D397" s="8">
        <f>IF(OR(B397="",t=""),"",_xlfn.IFS(B397&gt;=t,"C",B397&gt;=t/2,"B",B397&gt;=t/4,"A",TRUE,"S"))</f>
        <v/>
      </c>
    </row>
    <row r="398">
      <c r="D398" s="8">
        <f>IF(OR(B398="",t=""),"",_xlfn.IFS(B398&gt;=t,"C",B398&gt;=t/2,"B",B398&gt;=t/4,"A",TRUE,"S"))</f>
        <v/>
      </c>
    </row>
    <row r="399">
      <c r="D399" s="8">
        <f>IF(OR(B399="",t=""),"",_xlfn.IFS(B399&gt;=t,"C",B399&gt;=t/2,"B",B399&gt;=t/4,"A",TRUE,"S"))</f>
        <v/>
      </c>
    </row>
    <row r="400">
      <c r="D400" s="8">
        <f>IF(OR(B400="",t=""),"",_xlfn.IFS(B400&gt;=t,"C",B400&gt;=t/2,"B",B400&gt;=t/4,"A",TRUE,"S"))</f>
        <v/>
      </c>
    </row>
    <row r="401">
      <c r="D401" s="8">
        <f>IF(OR(B401="",t=""),"",_xlfn.IFS(B401&gt;=t,"C",B401&gt;=t/2,"B",B401&gt;=t/4,"A",TRUE,"S"))</f>
        <v/>
      </c>
    </row>
    <row r="402">
      <c r="D402" s="8">
        <f>IF(OR(B402="",t=""),"",_xlfn.IFS(B402&gt;=t,"C",B402&gt;=t/2,"B",B402&gt;=t/4,"A",TRUE,"S"))</f>
        <v/>
      </c>
    </row>
    <row r="403">
      <c r="D403" s="8">
        <f>IF(OR(B403="",t=""),"",_xlfn.IFS(B403&gt;=t,"C",B403&gt;=t/2,"B",B403&gt;=t/4,"A",TRUE,"S"))</f>
        <v/>
      </c>
    </row>
    <row r="404">
      <c r="D404" s="8">
        <f>IF(OR(B404="",t=""),"",_xlfn.IFS(B404&gt;=t,"C",B404&gt;=t/2,"B",B404&gt;=t/4,"A",TRUE,"S"))</f>
        <v/>
      </c>
    </row>
    <row r="405">
      <c r="D405" s="8">
        <f>IF(OR(B405="",t=""),"",_xlfn.IFS(B405&gt;=t,"C",B405&gt;=t/2,"B",B405&gt;=t/4,"A",TRUE,"S"))</f>
        <v/>
      </c>
    </row>
    <row r="406">
      <c r="D406" s="8">
        <f>IF(OR(B406="",t=""),"",_xlfn.IFS(B406&gt;=t,"C",B406&gt;=t/2,"B",B406&gt;=t/4,"A",TRUE,"S"))</f>
        <v/>
      </c>
    </row>
    <row r="407">
      <c r="D407" s="8">
        <f>IF(OR(B407="",t=""),"",_xlfn.IFS(B407&gt;=t,"C",B407&gt;=t/2,"B",B407&gt;=t/4,"A",TRUE,"S"))</f>
        <v/>
      </c>
    </row>
    <row r="408">
      <c r="D408" s="8">
        <f>IF(OR(B408="",t=""),"",_xlfn.IFS(B408&gt;=t,"C",B408&gt;=t/2,"B",B408&gt;=t/4,"A",TRUE,"S"))</f>
        <v/>
      </c>
    </row>
    <row r="409">
      <c r="D409" s="8">
        <f>IF(OR(B409="",t=""),"",_xlfn.IFS(B409&gt;=t,"C",B409&gt;=t/2,"B",B409&gt;=t/4,"A",TRUE,"S"))</f>
        <v/>
      </c>
    </row>
    <row r="410">
      <c r="D410" s="8">
        <f>IF(OR(B410="",t=""),"",_xlfn.IFS(B410&gt;=t,"C",B410&gt;=t/2,"B",B410&gt;=t/4,"A",TRUE,"S"))</f>
        <v/>
      </c>
    </row>
    <row r="411">
      <c r="D411" s="8">
        <f>IF(OR(B411="",t=""),"",_xlfn.IFS(B411&gt;=t,"C",B411&gt;=t/2,"B",B411&gt;=t/4,"A",TRUE,"S"))</f>
        <v/>
      </c>
    </row>
    <row r="412">
      <c r="D412" s="8">
        <f>IF(OR(B412="",t=""),"",_xlfn.IFS(B412&gt;=t,"C",B412&gt;=t/2,"B",B412&gt;=t/4,"A",TRUE,"S"))</f>
        <v/>
      </c>
    </row>
    <row r="413">
      <c r="D413" s="8">
        <f>IF(OR(B413="",t=""),"",_xlfn.IFS(B413&gt;=t,"C",B413&gt;=t/2,"B",B413&gt;=t/4,"A",TRUE,"S"))</f>
        <v/>
      </c>
    </row>
    <row r="414">
      <c r="D414" s="8">
        <f>IF(OR(B414="",t=""),"",_xlfn.IFS(B414&gt;=t,"C",B414&gt;=t/2,"B",B414&gt;=t/4,"A",TRUE,"S"))</f>
        <v/>
      </c>
    </row>
    <row r="415">
      <c r="D415" s="8">
        <f>IF(OR(B415="",t=""),"",_xlfn.IFS(B415&gt;=t,"C",B415&gt;=t/2,"B",B415&gt;=t/4,"A",TRUE,"S"))</f>
        <v/>
      </c>
    </row>
    <row r="416">
      <c r="D416" s="8">
        <f>IF(OR(B416="",t=""),"",_xlfn.IFS(B416&gt;=t,"C",B416&gt;=t/2,"B",B416&gt;=t/4,"A",TRUE,"S"))</f>
        <v/>
      </c>
    </row>
    <row r="417">
      <c r="D417" s="8">
        <f>IF(OR(B417="",t=""),"",_xlfn.IFS(B417&gt;=t,"C",B417&gt;=t/2,"B",B417&gt;=t/4,"A",TRUE,"S"))</f>
        <v/>
      </c>
    </row>
    <row r="418">
      <c r="D418" s="8">
        <f>IF(OR(B418="",t=""),"",_xlfn.IFS(B418&gt;=t,"C",B418&gt;=t/2,"B",B418&gt;=t/4,"A",TRUE,"S"))</f>
        <v/>
      </c>
    </row>
    <row r="419">
      <c r="D419" s="8">
        <f>IF(OR(B419="",t=""),"",_xlfn.IFS(B419&gt;=t,"C",B419&gt;=t/2,"B",B419&gt;=t/4,"A",TRUE,"S"))</f>
        <v/>
      </c>
    </row>
    <row r="420">
      <c r="D420" s="8">
        <f>IF(OR(B420="",t=""),"",_xlfn.IFS(B420&gt;=t,"C",B420&gt;=t/2,"B",B420&gt;=t/4,"A",TRUE,"S"))</f>
        <v/>
      </c>
    </row>
    <row r="421">
      <c r="D421" s="8">
        <f>IF(OR(B421="",t=""),"",_xlfn.IFS(B421&gt;=t,"C",B421&gt;=t/2,"B",B421&gt;=t/4,"A",TRUE,"S"))</f>
        <v/>
      </c>
    </row>
    <row r="422">
      <c r="D422" s="8">
        <f>IF(OR(B422="",t=""),"",_xlfn.IFS(B422&gt;=t,"C",B422&gt;=t/2,"B",B422&gt;=t/4,"A",TRUE,"S"))</f>
        <v/>
      </c>
    </row>
    <row r="423">
      <c r="D423" s="8">
        <f>IF(OR(B423="",t=""),"",_xlfn.IFS(B423&gt;=t,"C",B423&gt;=t/2,"B",B423&gt;=t/4,"A",TRUE,"S"))</f>
        <v/>
      </c>
    </row>
    <row r="424">
      <c r="D424" s="8">
        <f>IF(OR(B424="",t=""),"",_xlfn.IFS(B424&gt;=t,"C",B424&gt;=t/2,"B",B424&gt;=t/4,"A",TRUE,"S"))</f>
        <v/>
      </c>
    </row>
    <row r="425">
      <c r="D425" s="8">
        <f>IF(OR(B425="",t=""),"",_xlfn.IFS(B425&gt;=t,"C",B425&gt;=t/2,"B",B425&gt;=t/4,"A",TRUE,"S"))</f>
        <v/>
      </c>
    </row>
    <row r="426">
      <c r="D426" s="8">
        <f>IF(OR(B426="",t=""),"",_xlfn.IFS(B426&gt;=t,"C",B426&gt;=t/2,"B",B426&gt;=t/4,"A",TRUE,"S"))</f>
        <v/>
      </c>
    </row>
    <row r="427">
      <c r="D427" s="8">
        <f>IF(OR(B427="",t=""),"",_xlfn.IFS(B427&gt;=t,"C",B427&gt;=t/2,"B",B427&gt;=t/4,"A",TRUE,"S"))</f>
        <v/>
      </c>
    </row>
    <row r="428">
      <c r="D428" s="8">
        <f>IF(OR(B428="",t=""),"",_xlfn.IFS(B428&gt;=t,"C",B428&gt;=t/2,"B",B428&gt;=t/4,"A",TRUE,"S"))</f>
        <v/>
      </c>
    </row>
    <row r="429">
      <c r="D429" s="8">
        <f>IF(OR(B429="",t=""),"",_xlfn.IFS(B429&gt;=t,"C",B429&gt;=t/2,"B",B429&gt;=t/4,"A",TRUE,"S"))</f>
        <v/>
      </c>
    </row>
    <row r="430">
      <c r="D430" s="8">
        <f>IF(OR(B430="",t=""),"",_xlfn.IFS(B430&gt;=t,"C",B430&gt;=t/2,"B",B430&gt;=t/4,"A",TRUE,"S"))</f>
        <v/>
      </c>
    </row>
    <row r="431">
      <c r="D431" s="8">
        <f>IF(OR(B431="",t=""),"",_xlfn.IFS(B431&gt;=t,"C",B431&gt;=t/2,"B",B431&gt;=t/4,"A",TRUE,"S"))</f>
        <v/>
      </c>
    </row>
    <row r="432">
      <c r="D432" s="8">
        <f>IF(OR(B432="",t=""),"",_xlfn.IFS(B432&gt;=t,"C",B432&gt;=t/2,"B",B432&gt;=t/4,"A",TRUE,"S"))</f>
        <v/>
      </c>
    </row>
    <row r="433">
      <c r="D433" s="8">
        <f>IF(OR(B433="",t=""),"",_xlfn.IFS(B433&gt;=t,"C",B433&gt;=t/2,"B",B433&gt;=t/4,"A",TRUE,"S"))</f>
        <v/>
      </c>
    </row>
    <row r="434">
      <c r="D434" s="8">
        <f>IF(OR(B434="",t=""),"",_xlfn.IFS(B434&gt;=t,"C",B434&gt;=t/2,"B",B434&gt;=t/4,"A",TRUE,"S"))</f>
        <v/>
      </c>
    </row>
    <row r="435">
      <c r="D435" s="8">
        <f>IF(OR(B435="",t=""),"",_xlfn.IFS(B435&gt;=t,"C",B435&gt;=t/2,"B",B435&gt;=t/4,"A",TRUE,"S"))</f>
        <v/>
      </c>
    </row>
    <row r="436">
      <c r="D436" s="8">
        <f>IF(OR(B436="",t=""),"",_xlfn.IFS(B436&gt;=t,"C",B436&gt;=t/2,"B",B436&gt;=t/4,"A",TRUE,"S"))</f>
        <v/>
      </c>
    </row>
    <row r="437">
      <c r="D437" s="8">
        <f>IF(OR(B437="",t=""),"",_xlfn.IFS(B437&gt;=t,"C",B437&gt;=t/2,"B",B437&gt;=t/4,"A",TRUE,"S"))</f>
        <v/>
      </c>
    </row>
    <row r="438">
      <c r="D438" s="8">
        <f>IF(OR(B438="",t=""),"",_xlfn.IFS(B438&gt;=t,"C",B438&gt;=t/2,"B",B438&gt;=t/4,"A",TRUE,"S"))</f>
        <v/>
      </c>
    </row>
    <row r="439">
      <c r="D439" s="8">
        <f>IF(OR(B439="",t=""),"",_xlfn.IFS(B439&gt;=t,"C",B439&gt;=t/2,"B",B439&gt;=t/4,"A",TRUE,"S"))</f>
        <v/>
      </c>
    </row>
    <row r="440">
      <c r="D440" s="8">
        <f>IF(OR(B440="",t=""),"",_xlfn.IFS(B440&gt;=t,"C",B440&gt;=t/2,"B",B440&gt;=t/4,"A",TRUE,"S"))</f>
        <v/>
      </c>
    </row>
    <row r="441">
      <c r="D441" s="8">
        <f>IF(OR(B441="",t=""),"",_xlfn.IFS(B441&gt;=t,"C",B441&gt;=t/2,"B",B441&gt;=t/4,"A",TRUE,"S"))</f>
        <v/>
      </c>
    </row>
    <row r="442">
      <c r="D442" s="8">
        <f>IF(OR(B442="",t=""),"",_xlfn.IFS(B442&gt;=t,"C",B442&gt;=t/2,"B",B442&gt;=t/4,"A",TRUE,"S"))</f>
        <v/>
      </c>
    </row>
    <row r="443">
      <c r="D443" s="8">
        <f>IF(OR(B443="",t=""),"",_xlfn.IFS(B443&gt;=t,"C",B443&gt;=t/2,"B",B443&gt;=t/4,"A",TRUE,"S"))</f>
        <v/>
      </c>
    </row>
    <row r="444">
      <c r="D444" s="8">
        <f>IF(OR(B444="",t=""),"",_xlfn.IFS(B444&gt;=t,"C",B444&gt;=t/2,"B",B444&gt;=t/4,"A",TRUE,"S"))</f>
        <v/>
      </c>
    </row>
    <row r="445">
      <c r="D445" s="8">
        <f>IF(OR(B445="",t=""),"",_xlfn.IFS(B445&gt;=t,"C",B445&gt;=t/2,"B",B445&gt;=t/4,"A",TRUE,"S"))</f>
        <v/>
      </c>
    </row>
    <row r="446">
      <c r="D446" s="8">
        <f>IF(OR(B446="",t=""),"",_xlfn.IFS(B446&gt;=t,"C",B446&gt;=t/2,"B",B446&gt;=t/4,"A",TRUE,"S"))</f>
        <v/>
      </c>
    </row>
    <row r="447">
      <c r="D447" s="8">
        <f>IF(OR(B447="",t=""),"",_xlfn.IFS(B447&gt;=t,"C",B447&gt;=t/2,"B",B447&gt;=t/4,"A",TRUE,"S"))</f>
        <v/>
      </c>
    </row>
    <row r="448">
      <c r="D448" s="8">
        <f>IF(OR(B448="",t=""),"",_xlfn.IFS(B448&gt;=t,"C",B448&gt;=t/2,"B",B448&gt;=t/4,"A",TRUE,"S"))</f>
        <v/>
      </c>
    </row>
    <row r="449">
      <c r="D449" s="8">
        <f>IF(OR(B449="",t=""),"",_xlfn.IFS(B449&gt;=t,"C",B449&gt;=t/2,"B",B449&gt;=t/4,"A",TRUE,"S"))</f>
        <v/>
      </c>
    </row>
    <row r="450">
      <c r="D450" s="8">
        <f>IF(OR(B450="",t=""),"",_xlfn.IFS(B450&gt;=t,"C",B450&gt;=t/2,"B",B450&gt;=t/4,"A",TRUE,"S"))</f>
        <v/>
      </c>
    </row>
    <row r="451">
      <c r="D451" s="8">
        <f>IF(OR(B451="",t=""),"",_xlfn.IFS(B451&gt;=t,"C",B451&gt;=t/2,"B",B451&gt;=t/4,"A",TRUE,"S"))</f>
        <v/>
      </c>
    </row>
    <row r="452">
      <c r="D452" s="8">
        <f>IF(OR(B452="",t=""),"",_xlfn.IFS(B452&gt;=t,"C",B452&gt;=t/2,"B",B452&gt;=t/4,"A",TRUE,"S"))</f>
        <v/>
      </c>
    </row>
    <row r="453">
      <c r="D453" s="8">
        <f>IF(OR(B453="",t=""),"",_xlfn.IFS(B453&gt;=t,"C",B453&gt;=t/2,"B",B453&gt;=t/4,"A",TRUE,"S"))</f>
        <v/>
      </c>
    </row>
    <row r="454">
      <c r="D454" s="8">
        <f>IF(OR(B454="",t=""),"",_xlfn.IFS(B454&gt;=t,"C",B454&gt;=t/2,"B",B454&gt;=t/4,"A",TRUE,"S"))</f>
        <v/>
      </c>
    </row>
    <row r="455">
      <c r="D455" s="8">
        <f>IF(OR(B455="",t=""),"",_xlfn.IFS(B455&gt;=t,"C",B455&gt;=t/2,"B",B455&gt;=t/4,"A",TRUE,"S"))</f>
        <v/>
      </c>
    </row>
    <row r="456">
      <c r="D456" s="8">
        <f>IF(OR(B456="",t=""),"",_xlfn.IFS(B456&gt;=t,"C",B456&gt;=t/2,"B",B456&gt;=t/4,"A",TRUE,"S"))</f>
        <v/>
      </c>
    </row>
    <row r="457">
      <c r="D457" s="8">
        <f>IF(OR(B457="",t=""),"",_xlfn.IFS(B457&gt;=t,"C",B457&gt;=t/2,"B",B457&gt;=t/4,"A",TRUE,"S"))</f>
        <v/>
      </c>
    </row>
    <row r="458">
      <c r="D458" s="8">
        <f>IF(OR(B458="",t=""),"",_xlfn.IFS(B458&gt;=t,"C",B458&gt;=t/2,"B",B458&gt;=t/4,"A",TRUE,"S"))</f>
        <v/>
      </c>
    </row>
    <row r="459">
      <c r="D459" s="8">
        <f>IF(OR(B459="",t=""),"",_xlfn.IFS(B459&gt;=t,"C",B459&gt;=t/2,"B",B459&gt;=t/4,"A",TRUE,"S"))</f>
        <v/>
      </c>
    </row>
    <row r="460">
      <c r="D460" s="8">
        <f>IF(OR(B460="",t=""),"",_xlfn.IFS(B460&gt;=t,"C",B460&gt;=t/2,"B",B460&gt;=t/4,"A",TRUE,"S"))</f>
        <v/>
      </c>
    </row>
    <row r="461">
      <c r="D461" s="8">
        <f>IF(OR(B461="",t=""),"",_xlfn.IFS(B461&gt;=t,"C",B461&gt;=t/2,"B",B461&gt;=t/4,"A",TRUE,"S"))</f>
        <v/>
      </c>
    </row>
    <row r="462">
      <c r="D462" s="8">
        <f>IF(OR(B462="",t=""),"",_xlfn.IFS(B462&gt;=t,"C",B462&gt;=t/2,"B",B462&gt;=t/4,"A",TRUE,"S"))</f>
        <v/>
      </c>
    </row>
    <row r="463">
      <c r="D463" s="8">
        <f>IF(OR(B463="",t=""),"",_xlfn.IFS(B463&gt;=t,"C",B463&gt;=t/2,"B",B463&gt;=t/4,"A",TRUE,"S"))</f>
        <v/>
      </c>
    </row>
    <row r="464">
      <c r="D464" s="8">
        <f>IF(OR(B464="",t=""),"",_xlfn.IFS(B464&gt;=t,"C",B464&gt;=t/2,"B",B464&gt;=t/4,"A",TRUE,"S"))</f>
        <v/>
      </c>
    </row>
    <row r="465">
      <c r="D465" s="8">
        <f>IF(OR(B465="",t=""),"",_xlfn.IFS(B465&gt;=t,"C",B465&gt;=t/2,"B",B465&gt;=t/4,"A",TRUE,"S"))</f>
        <v/>
      </c>
    </row>
    <row r="466">
      <c r="D466" s="8">
        <f>IF(OR(B466="",t=""),"",_xlfn.IFS(B466&gt;=t,"C",B466&gt;=t/2,"B",B466&gt;=t/4,"A",TRUE,"S"))</f>
        <v/>
      </c>
    </row>
    <row r="467">
      <c r="D467" s="8">
        <f>IF(OR(B467="",t=""),"",_xlfn.IFS(B467&gt;=t,"C",B467&gt;=t/2,"B",B467&gt;=t/4,"A",TRUE,"S"))</f>
        <v/>
      </c>
    </row>
    <row r="468">
      <c r="D468" s="8">
        <f>IF(OR(B468="",t=""),"",_xlfn.IFS(B468&gt;=t,"C",B468&gt;=t/2,"B",B468&gt;=t/4,"A",TRUE,"S"))</f>
        <v/>
      </c>
    </row>
    <row r="469">
      <c r="D469" s="8">
        <f>IF(OR(B469="",t=""),"",_xlfn.IFS(B469&gt;=t,"C",B469&gt;=t/2,"B",B469&gt;=t/4,"A",TRUE,"S"))</f>
        <v/>
      </c>
    </row>
    <row r="470">
      <c r="D470" s="8">
        <f>IF(OR(B470="",t=""),"",_xlfn.IFS(B470&gt;=t,"C",B470&gt;=t/2,"B",B470&gt;=t/4,"A",TRUE,"S"))</f>
        <v/>
      </c>
    </row>
    <row r="471">
      <c r="D471" s="8">
        <f>IF(OR(B471="",t=""),"",_xlfn.IFS(B471&gt;=t,"C",B471&gt;=t/2,"B",B471&gt;=t/4,"A",TRUE,"S"))</f>
        <v/>
      </c>
    </row>
    <row r="472">
      <c r="D472" s="8">
        <f>IF(OR(B472="",t=""),"",_xlfn.IFS(B472&gt;=t,"C",B472&gt;=t/2,"B",B472&gt;=t/4,"A",TRUE,"S"))</f>
        <v/>
      </c>
    </row>
    <row r="473">
      <c r="D473" s="8">
        <f>IF(OR(B473="",t=""),"",_xlfn.IFS(B473&gt;=t,"C",B473&gt;=t/2,"B",B473&gt;=t/4,"A",TRUE,"S"))</f>
        <v/>
      </c>
    </row>
    <row r="474">
      <c r="D474" s="8">
        <f>IF(OR(B474="",t=""),"",_xlfn.IFS(B474&gt;=t,"C",B474&gt;=t/2,"B",B474&gt;=t/4,"A",TRUE,"S"))</f>
        <v/>
      </c>
    </row>
    <row r="475">
      <c r="D475" s="8">
        <f>IF(OR(B475="",t=""),"",_xlfn.IFS(B475&gt;=t,"C",B475&gt;=t/2,"B",B475&gt;=t/4,"A",TRUE,"S"))</f>
        <v/>
      </c>
    </row>
    <row r="476">
      <c r="D476" s="8">
        <f>IF(OR(B476="",t=""),"",_xlfn.IFS(B476&gt;=t,"C",B476&gt;=t/2,"B",B476&gt;=t/4,"A",TRUE,"S"))</f>
        <v/>
      </c>
    </row>
    <row r="477">
      <c r="D477" s="8">
        <f>IF(OR(B477="",t=""),"",_xlfn.IFS(B477&gt;=t,"C",B477&gt;=t/2,"B",B477&gt;=t/4,"A",TRUE,"S"))</f>
        <v/>
      </c>
    </row>
    <row r="478">
      <c r="D478" s="8">
        <f>IF(OR(B478="",t=""),"",_xlfn.IFS(B478&gt;=t,"C",B478&gt;=t/2,"B",B478&gt;=t/4,"A",TRUE,"S"))</f>
        <v/>
      </c>
    </row>
    <row r="479">
      <c r="D479" s="8">
        <f>IF(OR(B479="",t=""),"",_xlfn.IFS(B479&gt;=t,"C",B479&gt;=t/2,"B",B479&gt;=t/4,"A",TRUE,"S"))</f>
        <v/>
      </c>
    </row>
    <row r="480">
      <c r="D480" s="8">
        <f>IF(OR(B480="",t=""),"",_xlfn.IFS(B480&gt;=t,"C",B480&gt;=t/2,"B",B480&gt;=t/4,"A",TRUE,"S"))</f>
        <v/>
      </c>
    </row>
    <row r="481">
      <c r="D481" s="8">
        <f>IF(OR(B481="",t=""),"",_xlfn.IFS(B481&gt;=t,"C",B481&gt;=t/2,"B",B481&gt;=t/4,"A",TRUE,"S"))</f>
        <v/>
      </c>
    </row>
    <row r="482">
      <c r="D482" s="8">
        <f>IF(OR(B482="",t=""),"",_xlfn.IFS(B482&gt;=t,"C",B482&gt;=t/2,"B",B482&gt;=t/4,"A",TRUE,"S"))</f>
        <v/>
      </c>
    </row>
    <row r="483">
      <c r="D483" s="8">
        <f>IF(OR(B483="",t=""),"",_xlfn.IFS(B483&gt;=t,"C",B483&gt;=t/2,"B",B483&gt;=t/4,"A",TRUE,"S"))</f>
        <v/>
      </c>
    </row>
    <row r="484">
      <c r="D484" s="8">
        <f>IF(OR(B484="",t=""),"",_xlfn.IFS(B484&gt;=t,"C",B484&gt;=t/2,"B",B484&gt;=t/4,"A",TRUE,"S"))</f>
        <v/>
      </c>
    </row>
    <row r="485">
      <c r="D485" s="8">
        <f>IF(OR(B485="",t=""),"",_xlfn.IFS(B485&gt;=t,"C",B485&gt;=t/2,"B",B485&gt;=t/4,"A",TRUE,"S"))</f>
        <v/>
      </c>
    </row>
    <row r="486">
      <c r="D486" s="8">
        <f>IF(OR(B486="",t=""),"",_xlfn.IFS(B486&gt;=t,"C",B486&gt;=t/2,"B",B486&gt;=t/4,"A",TRUE,"S"))</f>
        <v/>
      </c>
    </row>
    <row r="487">
      <c r="D487" s="8">
        <f>IF(OR(B487="",t=""),"",_xlfn.IFS(B487&gt;=t,"C",B487&gt;=t/2,"B",B487&gt;=t/4,"A",TRUE,"S"))</f>
        <v/>
      </c>
    </row>
    <row r="488">
      <c r="D488" s="8">
        <f>IF(OR(B488="",t=""),"",_xlfn.IFS(B488&gt;=t,"C",B488&gt;=t/2,"B",B488&gt;=t/4,"A",TRUE,"S"))</f>
        <v/>
      </c>
    </row>
    <row r="489">
      <c r="D489" s="8">
        <f>IF(OR(B489="",t=""),"",_xlfn.IFS(B489&gt;=t,"C",B489&gt;=t/2,"B",B489&gt;=t/4,"A",TRUE,"S"))</f>
        <v/>
      </c>
    </row>
    <row r="490">
      <c r="D490" s="8">
        <f>IF(OR(B490="",t=""),"",_xlfn.IFS(B490&gt;=t,"C",B490&gt;=t/2,"B",B490&gt;=t/4,"A",TRUE,"S"))</f>
        <v/>
      </c>
    </row>
    <row r="491">
      <c r="D491" s="8">
        <f>IF(OR(B491="",t=""),"",_xlfn.IFS(B491&gt;=t,"C",B491&gt;=t/2,"B",B491&gt;=t/4,"A",TRUE,"S"))</f>
        <v/>
      </c>
    </row>
    <row r="492">
      <c r="D492" s="8">
        <f>IF(OR(B492="",t=""),"",_xlfn.IFS(B492&gt;=t,"C",B492&gt;=t/2,"B",B492&gt;=t/4,"A",TRUE,"S"))</f>
        <v/>
      </c>
    </row>
    <row r="493">
      <c r="D493" s="8">
        <f>IF(OR(B493="",t=""),"",_xlfn.IFS(B493&gt;=t,"C",B493&gt;=t/2,"B",B493&gt;=t/4,"A",TRUE,"S"))</f>
        <v/>
      </c>
    </row>
    <row r="494">
      <c r="D494" s="8">
        <f>IF(OR(B494="",t=""),"",_xlfn.IFS(B494&gt;=t,"C",B494&gt;=t/2,"B",B494&gt;=t/4,"A",TRUE,"S"))</f>
        <v/>
      </c>
    </row>
    <row r="495">
      <c r="D495" s="8">
        <f>IF(OR(B495="",t=""),"",_xlfn.IFS(B495&gt;=t,"C",B495&gt;=t/2,"B",B495&gt;=t/4,"A",TRUE,"S"))</f>
        <v/>
      </c>
    </row>
    <row r="496">
      <c r="D496" s="8">
        <f>IF(OR(B496="",t=""),"",_xlfn.IFS(B496&gt;=t,"C",B496&gt;=t/2,"B",B496&gt;=t/4,"A",TRUE,"S"))</f>
        <v/>
      </c>
    </row>
    <row r="497">
      <c r="D497" s="8">
        <f>IF(OR(B497="",t=""),"",_xlfn.IFS(B497&gt;=t,"C",B497&gt;=t/2,"B",B497&gt;=t/4,"A",TRUE,"S"))</f>
        <v/>
      </c>
    </row>
    <row r="498">
      <c r="D498" s="8">
        <f>IF(OR(B498="",t=""),"",_xlfn.IFS(B498&gt;=t,"C",B498&gt;=t/2,"B",B498&gt;=t/4,"A",TRUE,"S"))</f>
        <v/>
      </c>
    </row>
    <row r="499">
      <c r="D499" s="8">
        <f>IF(OR(B499="",t=""),"",_xlfn.IFS(B499&gt;=t,"C",B499&gt;=t/2,"B",B499&gt;=t/4,"A",TRUE,"S"))</f>
        <v/>
      </c>
    </row>
    <row r="500">
      <c r="D500" s="8">
        <f>IF(OR(B500="",t=""),"",_xlfn.IFS(B500&gt;=t,"C",B500&gt;=t/2,"B",B500&gt;=t/4,"A",TRUE,"S"))</f>
        <v/>
      </c>
    </row>
    <row r="501">
      <c r="D501" s="8">
        <f>IF(OR(B501="",t=""),"",_xlfn.IFS(B501&gt;=t,"C",B501&gt;=t/2,"B",B501&gt;=t/4,"A",TRUE,"S"))</f>
        <v/>
      </c>
    </row>
    <row r="502">
      <c r="D502" s="8">
        <f>IF(OR(B502="",t=""),"",_xlfn.IFS(B502&gt;=t,"C",B502&gt;=t/2,"B",B502&gt;=t/4,"A",TRUE,"S"))</f>
        <v/>
      </c>
    </row>
    <row r="503">
      <c r="D503" s="8">
        <f>IF(OR(B503="",t=""),"",_xlfn.IFS(B503&gt;=t,"C",B503&gt;=t/2,"B",B503&gt;=t/4,"A",TRUE,"S"))</f>
        <v/>
      </c>
    </row>
    <row r="504">
      <c r="D504" s="8">
        <f>IF(OR(B504="",t=""),"",_xlfn.IFS(B504&gt;=t,"C",B504&gt;=t/2,"B",B504&gt;=t/4,"A",TRUE,"S"))</f>
        <v/>
      </c>
    </row>
    <row r="505">
      <c r="D505" s="8">
        <f>IF(OR(B505="",t=""),"",_xlfn.IFS(B505&gt;=t,"C",B505&gt;=t/2,"B",B505&gt;=t/4,"A",TRUE,"S"))</f>
        <v/>
      </c>
    </row>
    <row r="506">
      <c r="D506" s="8">
        <f>IF(OR(B506="",t=""),"",_xlfn.IFS(B506&gt;=t,"C",B506&gt;=t/2,"B",B506&gt;=t/4,"A",TRUE,"S"))</f>
        <v/>
      </c>
    </row>
    <row r="507">
      <c r="D507" s="8">
        <f>IF(OR(B507="",t=""),"",_xlfn.IFS(B507&gt;=t,"C",B507&gt;=t/2,"B",B507&gt;=t/4,"A",TRUE,"S"))</f>
        <v/>
      </c>
    </row>
    <row r="508">
      <c r="D508" s="8">
        <f>IF(OR(B508="",t=""),"",_xlfn.IFS(B508&gt;=t,"C",B508&gt;=t/2,"B",B508&gt;=t/4,"A",TRUE,"S"))</f>
        <v/>
      </c>
    </row>
    <row r="509">
      <c r="D509" s="8">
        <f>IF(OR(B509="",t=""),"",_xlfn.IFS(B509&gt;=t,"C",B509&gt;=t/2,"B",B509&gt;=t/4,"A",TRUE,"S"))</f>
        <v/>
      </c>
    </row>
    <row r="510">
      <c r="D510" s="8">
        <f>IF(OR(B510="",t=""),"",_xlfn.IFS(B510&gt;=t,"C",B510&gt;=t/2,"B",B510&gt;=t/4,"A",TRUE,"S"))</f>
        <v/>
      </c>
    </row>
    <row r="511">
      <c r="D511" s="8">
        <f>IF(OR(B511="",t=""),"",_xlfn.IFS(B511&gt;=t,"C",B511&gt;=t/2,"B",B511&gt;=t/4,"A",TRUE,"S"))</f>
        <v/>
      </c>
    </row>
    <row r="512">
      <c r="D512" s="8">
        <f>IF(OR(B512="",t=""),"",_xlfn.IFS(B512&gt;=t,"C",B512&gt;=t/2,"B",B512&gt;=t/4,"A",TRUE,"S"))</f>
        <v/>
      </c>
    </row>
    <row r="513">
      <c r="D513" s="8">
        <f>IF(OR(B513="",t=""),"",_xlfn.IFS(B513&gt;=t,"C",B513&gt;=t/2,"B",B513&gt;=t/4,"A",TRUE,"S"))</f>
        <v/>
      </c>
    </row>
    <row r="514">
      <c r="D514" s="8">
        <f>IF(OR(B514="",t=""),"",_xlfn.IFS(B514&gt;=t,"C",B514&gt;=t/2,"B",B514&gt;=t/4,"A",TRUE,"S"))</f>
        <v/>
      </c>
    </row>
    <row r="515">
      <c r="D515" s="8">
        <f>IF(OR(B515="",t=""),"",_xlfn.IFS(B515&gt;=t,"C",B515&gt;=t/2,"B",B515&gt;=t/4,"A",TRUE,"S"))</f>
        <v/>
      </c>
    </row>
    <row r="516">
      <c r="D516" s="8">
        <f>IF(OR(B516="",t=""),"",_xlfn.IFS(B516&gt;=t,"C",B516&gt;=t/2,"B",B516&gt;=t/4,"A",TRUE,"S"))</f>
        <v/>
      </c>
    </row>
    <row r="517">
      <c r="D517" s="8">
        <f>IF(OR(B517="",t=""),"",_xlfn.IFS(B517&gt;=t,"C",B517&gt;=t/2,"B",B517&gt;=t/4,"A",TRUE,"S"))</f>
        <v/>
      </c>
    </row>
    <row r="518">
      <c r="D518" s="8">
        <f>IF(OR(B518="",t=""),"",_xlfn.IFS(B518&gt;=t,"C",B518&gt;=t/2,"B",B518&gt;=t/4,"A",TRUE,"S"))</f>
        <v/>
      </c>
    </row>
    <row r="519">
      <c r="D519" s="8">
        <f>IF(OR(B519="",t=""),"",_xlfn.IFS(B519&gt;=t,"C",B519&gt;=t/2,"B",B519&gt;=t/4,"A",TRUE,"S"))</f>
        <v/>
      </c>
    </row>
    <row r="520">
      <c r="D520" s="8">
        <f>IF(OR(B520="",t=""),"",_xlfn.IFS(B520&gt;=t,"C",B520&gt;=t/2,"B",B520&gt;=t/4,"A",TRUE,"S"))</f>
        <v/>
      </c>
    </row>
    <row r="521">
      <c r="D521" s="8">
        <f>IF(OR(B521="",t=""),"",_xlfn.IFS(B521&gt;=t,"C",B521&gt;=t/2,"B",B521&gt;=t/4,"A",TRUE,"S"))</f>
        <v/>
      </c>
    </row>
    <row r="522">
      <c r="D522" s="8">
        <f>IF(OR(B522="",t=""),"",_xlfn.IFS(B522&gt;=t,"C",B522&gt;=t/2,"B",B522&gt;=t/4,"A",TRUE,"S"))</f>
        <v/>
      </c>
    </row>
    <row r="523">
      <c r="D523" s="8">
        <f>IF(OR(B523="",t=""),"",_xlfn.IFS(B523&gt;=t,"C",B523&gt;=t/2,"B",B523&gt;=t/4,"A",TRUE,"S"))</f>
        <v/>
      </c>
    </row>
    <row r="524">
      <c r="D524" s="8">
        <f>IF(OR(B524="",t=""),"",_xlfn.IFS(B524&gt;=t,"C",B524&gt;=t/2,"B",B524&gt;=t/4,"A",TRUE,"S"))</f>
        <v/>
      </c>
    </row>
    <row r="525">
      <c r="D525" s="8">
        <f>IF(OR(B525="",t=""),"",_xlfn.IFS(B525&gt;=t,"C",B525&gt;=t/2,"B",B525&gt;=t/4,"A",TRUE,"S"))</f>
        <v/>
      </c>
    </row>
    <row r="526">
      <c r="D526" s="8">
        <f>IF(OR(B526="",t=""),"",_xlfn.IFS(B526&gt;=t,"C",B526&gt;=t/2,"B",B526&gt;=t/4,"A",TRUE,"S"))</f>
        <v/>
      </c>
    </row>
    <row r="527">
      <c r="D527" s="8">
        <f>IF(OR(B527="",t=""),"",_xlfn.IFS(B527&gt;=t,"C",B527&gt;=t/2,"B",B527&gt;=t/4,"A",TRUE,"S"))</f>
        <v/>
      </c>
    </row>
    <row r="528">
      <c r="D528" s="8">
        <f>IF(OR(B528="",t=""),"",_xlfn.IFS(B528&gt;=t,"C",B528&gt;=t/2,"B",B528&gt;=t/4,"A",TRUE,"S"))</f>
        <v/>
      </c>
    </row>
    <row r="529">
      <c r="D529" s="8">
        <f>IF(OR(B529="",t=""),"",_xlfn.IFS(B529&gt;=t,"C",B529&gt;=t/2,"B",B529&gt;=t/4,"A",TRUE,"S"))</f>
        <v/>
      </c>
    </row>
    <row r="530">
      <c r="D530" s="8">
        <f>IF(OR(B530="",t=""),"",_xlfn.IFS(B530&gt;=t,"C",B530&gt;=t/2,"B",B530&gt;=t/4,"A",TRUE,"S"))</f>
        <v/>
      </c>
    </row>
    <row r="531">
      <c r="D531" s="8">
        <f>IF(OR(B531="",t=""),"",_xlfn.IFS(B531&gt;=t,"C",B531&gt;=t/2,"B",B531&gt;=t/4,"A",TRUE,"S"))</f>
        <v/>
      </c>
    </row>
    <row r="532">
      <c r="D532" s="8">
        <f>IF(OR(B532="",t=""),"",_xlfn.IFS(B532&gt;=t,"C",B532&gt;=t/2,"B",B532&gt;=t/4,"A",TRUE,"S"))</f>
        <v/>
      </c>
    </row>
    <row r="533">
      <c r="D533" s="8">
        <f>IF(OR(B533="",t=""),"",_xlfn.IFS(B533&gt;=t,"C",B533&gt;=t/2,"B",B533&gt;=t/4,"A",TRUE,"S"))</f>
        <v/>
      </c>
    </row>
    <row r="534">
      <c r="D534" s="8">
        <f>IF(OR(B534="",t=""),"",_xlfn.IFS(B534&gt;=t,"C",B534&gt;=t/2,"B",B534&gt;=t/4,"A",TRUE,"S"))</f>
        <v/>
      </c>
    </row>
    <row r="535">
      <c r="D535" s="8">
        <f>IF(OR(B535="",t=""),"",_xlfn.IFS(B535&gt;=t,"C",B535&gt;=t/2,"B",B535&gt;=t/4,"A",TRUE,"S"))</f>
        <v/>
      </c>
    </row>
    <row r="536">
      <c r="D536" s="8">
        <f>IF(OR(B536="",t=""),"",_xlfn.IFS(B536&gt;=t,"C",B536&gt;=t/2,"B",B536&gt;=t/4,"A",TRUE,"S"))</f>
        <v/>
      </c>
    </row>
    <row r="537">
      <c r="D537" s="8">
        <f>IF(OR(B537="",t=""),"",_xlfn.IFS(B537&gt;=t,"C",B537&gt;=t/2,"B",B537&gt;=t/4,"A",TRUE,"S"))</f>
        <v/>
      </c>
    </row>
    <row r="538">
      <c r="D538" s="8">
        <f>IF(OR(B538="",t=""),"",_xlfn.IFS(B538&gt;=t,"C",B538&gt;=t/2,"B",B538&gt;=t/4,"A",TRUE,"S"))</f>
        <v/>
      </c>
    </row>
    <row r="539">
      <c r="D539" s="8">
        <f>IF(OR(B539="",t=""),"",_xlfn.IFS(B539&gt;=t,"C",B539&gt;=t/2,"B",B539&gt;=t/4,"A",TRUE,"S"))</f>
        <v/>
      </c>
    </row>
    <row r="540">
      <c r="D540" s="8">
        <f>IF(OR(B540="",t=""),"",_xlfn.IFS(B540&gt;=t,"C",B540&gt;=t/2,"B",B540&gt;=t/4,"A",TRUE,"S"))</f>
        <v/>
      </c>
    </row>
    <row r="541">
      <c r="D541" s="8">
        <f>IF(OR(B541="",t=""),"",_xlfn.IFS(B541&gt;=t,"C",B541&gt;=t/2,"B",B541&gt;=t/4,"A",TRUE,"S"))</f>
        <v/>
      </c>
    </row>
    <row r="542">
      <c r="D542" s="8">
        <f>IF(OR(B542="",t=""),"",_xlfn.IFS(B542&gt;=t,"C",B542&gt;=t/2,"B",B542&gt;=t/4,"A",TRUE,"S"))</f>
        <v/>
      </c>
    </row>
    <row r="543">
      <c r="D543" s="8">
        <f>IF(OR(B543="",t=""),"",_xlfn.IFS(B543&gt;=t,"C",B543&gt;=t/2,"B",B543&gt;=t/4,"A",TRUE,"S"))</f>
        <v/>
      </c>
    </row>
    <row r="544">
      <c r="D544" s="8">
        <f>IF(OR(B544="",t=""),"",_xlfn.IFS(B544&gt;=t,"C",B544&gt;=t/2,"B",B544&gt;=t/4,"A",TRUE,"S"))</f>
        <v/>
      </c>
    </row>
    <row r="545">
      <c r="D545" s="8">
        <f>IF(OR(B545="",t=""),"",_xlfn.IFS(B545&gt;=t,"C",B545&gt;=t/2,"B",B545&gt;=t/4,"A",TRUE,"S"))</f>
        <v/>
      </c>
    </row>
    <row r="546">
      <c r="D546" s="8">
        <f>IF(OR(B546="",t=""),"",_xlfn.IFS(B546&gt;=t,"C",B546&gt;=t/2,"B",B546&gt;=t/4,"A",TRUE,"S"))</f>
        <v/>
      </c>
    </row>
    <row r="547">
      <c r="D547" s="8">
        <f>IF(OR(B547="",t=""),"",_xlfn.IFS(B547&gt;=t,"C",B547&gt;=t/2,"B",B547&gt;=t/4,"A",TRUE,"S"))</f>
        <v/>
      </c>
    </row>
    <row r="548">
      <c r="D548" s="8">
        <f>IF(OR(B548="",t=""),"",_xlfn.IFS(B548&gt;=t,"C",B548&gt;=t/2,"B",B548&gt;=t/4,"A",TRUE,"S"))</f>
        <v/>
      </c>
    </row>
    <row r="549">
      <c r="D549" s="8">
        <f>IF(OR(B549="",t=""),"",_xlfn.IFS(B549&gt;=t,"C",B549&gt;=t/2,"B",B549&gt;=t/4,"A",TRUE,"S"))</f>
        <v/>
      </c>
    </row>
    <row r="550">
      <c r="D550" s="8">
        <f>IF(OR(B550="",t=""),"",_xlfn.IFS(B550&gt;=t,"C",B550&gt;=t/2,"B",B550&gt;=t/4,"A",TRUE,"S"))</f>
        <v/>
      </c>
    </row>
    <row r="551">
      <c r="D551" s="8">
        <f>IF(OR(B551="",t=""),"",_xlfn.IFS(B551&gt;=t,"C",B551&gt;=t/2,"B",B551&gt;=t/4,"A",TRUE,"S"))</f>
        <v/>
      </c>
    </row>
    <row r="552">
      <c r="D552" s="8">
        <f>IF(OR(B552="",t=""),"",_xlfn.IFS(B552&gt;=t,"C",B552&gt;=t/2,"B",B552&gt;=t/4,"A",TRUE,"S"))</f>
        <v/>
      </c>
    </row>
    <row r="553">
      <c r="D553" s="8">
        <f>IF(OR(B553="",t=""),"",_xlfn.IFS(B553&gt;=t,"C",B553&gt;=t/2,"B",B553&gt;=t/4,"A",TRUE,"S"))</f>
        <v/>
      </c>
    </row>
    <row r="554">
      <c r="D554" s="8">
        <f>IF(OR(B554="",t=""),"",_xlfn.IFS(B554&gt;=t,"C",B554&gt;=t/2,"B",B554&gt;=t/4,"A",TRUE,"S"))</f>
        <v/>
      </c>
    </row>
    <row r="555">
      <c r="D555" s="8">
        <f>IF(OR(B555="",t=""),"",_xlfn.IFS(B555&gt;=t,"C",B555&gt;=t/2,"B",B555&gt;=t/4,"A",TRUE,"S"))</f>
        <v/>
      </c>
    </row>
    <row r="556">
      <c r="D556" s="8">
        <f>IF(OR(B556="",t=""),"",_xlfn.IFS(B556&gt;=t,"C",B556&gt;=t/2,"B",B556&gt;=t/4,"A",TRUE,"S"))</f>
        <v/>
      </c>
    </row>
    <row r="557">
      <c r="D557" s="8">
        <f>IF(OR(B557="",t=""),"",_xlfn.IFS(B557&gt;=t,"C",B557&gt;=t/2,"B",B557&gt;=t/4,"A",TRUE,"S"))</f>
        <v/>
      </c>
    </row>
    <row r="558">
      <c r="D558" s="8">
        <f>IF(OR(B558="",t=""),"",_xlfn.IFS(B558&gt;=t,"C",B558&gt;=t/2,"B",B558&gt;=t/4,"A",TRUE,"S"))</f>
        <v/>
      </c>
    </row>
    <row r="559">
      <c r="D559" s="8">
        <f>IF(OR(B559="",t=""),"",_xlfn.IFS(B559&gt;=t,"C",B559&gt;=t/2,"B",B559&gt;=t/4,"A",TRUE,"S"))</f>
        <v/>
      </c>
    </row>
    <row r="560">
      <c r="D560" s="8">
        <f>IF(OR(B560="",t=""),"",_xlfn.IFS(B560&gt;=t,"C",B560&gt;=t/2,"B",B560&gt;=t/4,"A",TRUE,"S"))</f>
        <v/>
      </c>
    </row>
    <row r="561">
      <c r="D561" s="8">
        <f>IF(OR(B561="",t=""),"",_xlfn.IFS(B561&gt;=t,"C",B561&gt;=t/2,"B",B561&gt;=t/4,"A",TRUE,"S"))</f>
        <v/>
      </c>
    </row>
    <row r="562">
      <c r="D562" s="8">
        <f>IF(OR(B562="",t=""),"",_xlfn.IFS(B562&gt;=t,"C",B562&gt;=t/2,"B",B562&gt;=t/4,"A",TRUE,"S"))</f>
        <v/>
      </c>
    </row>
    <row r="563">
      <c r="D563" s="8">
        <f>IF(OR(B563="",t=""),"",_xlfn.IFS(B563&gt;=t,"C",B563&gt;=t/2,"B",B563&gt;=t/4,"A",TRUE,"S"))</f>
        <v/>
      </c>
    </row>
    <row r="564">
      <c r="D564" s="8">
        <f>IF(OR(B564="",t=""),"",_xlfn.IFS(B564&gt;=t,"C",B564&gt;=t/2,"B",B564&gt;=t/4,"A",TRUE,"S"))</f>
        <v/>
      </c>
    </row>
    <row r="565">
      <c r="D565" s="8">
        <f>IF(OR(B565="",t=""),"",_xlfn.IFS(B565&gt;=t,"C",B565&gt;=t/2,"B",B565&gt;=t/4,"A",TRUE,"S"))</f>
        <v/>
      </c>
    </row>
    <row r="566">
      <c r="D566" s="8">
        <f>IF(OR(B566="",t=""),"",_xlfn.IFS(B566&gt;=t,"C",B566&gt;=t/2,"B",B566&gt;=t/4,"A",TRUE,"S"))</f>
        <v/>
      </c>
    </row>
    <row r="567">
      <c r="D567" s="8">
        <f>IF(OR(B567="",t=""),"",_xlfn.IFS(B567&gt;=t,"C",B567&gt;=t/2,"B",B567&gt;=t/4,"A",TRUE,"S"))</f>
        <v/>
      </c>
    </row>
    <row r="568">
      <c r="D568" s="8">
        <f>IF(OR(B568="",t=""),"",_xlfn.IFS(B568&gt;=t,"C",B568&gt;=t/2,"B",B568&gt;=t/4,"A",TRUE,"S"))</f>
        <v/>
      </c>
    </row>
    <row r="569">
      <c r="D569" s="8">
        <f>IF(OR(B569="",t=""),"",_xlfn.IFS(B569&gt;=t,"C",B569&gt;=t/2,"B",B569&gt;=t/4,"A",TRUE,"S"))</f>
        <v/>
      </c>
    </row>
    <row r="570">
      <c r="D570" s="8">
        <f>IF(OR(B570="",t=""),"",_xlfn.IFS(B570&gt;=t,"C",B570&gt;=t/2,"B",B570&gt;=t/4,"A",TRUE,"S"))</f>
        <v/>
      </c>
    </row>
    <row r="571">
      <c r="D571" s="8">
        <f>IF(OR(B571="",t=""),"",_xlfn.IFS(B571&gt;=t,"C",B571&gt;=t/2,"B",B571&gt;=t/4,"A",TRUE,"S"))</f>
        <v/>
      </c>
    </row>
    <row r="572">
      <c r="D572" s="8">
        <f>IF(OR(B572="",t=""),"",_xlfn.IFS(B572&gt;=t,"C",B572&gt;=t/2,"B",B572&gt;=t/4,"A",TRUE,"S"))</f>
        <v/>
      </c>
    </row>
    <row r="573">
      <c r="D573" s="8">
        <f>IF(OR(B573="",t=""),"",_xlfn.IFS(B573&gt;=t,"C",B573&gt;=t/2,"B",B573&gt;=t/4,"A",TRUE,"S"))</f>
        <v/>
      </c>
    </row>
    <row r="574">
      <c r="D574" s="8">
        <f>IF(OR(B574="",t=""),"",_xlfn.IFS(B574&gt;=t,"C",B574&gt;=t/2,"B",B574&gt;=t/4,"A",TRUE,"S"))</f>
        <v/>
      </c>
    </row>
    <row r="575">
      <c r="D575" s="8">
        <f>IF(OR(B575="",t=""),"",_xlfn.IFS(B575&gt;=t,"C",B575&gt;=t/2,"B",B575&gt;=t/4,"A",TRUE,"S"))</f>
        <v/>
      </c>
    </row>
    <row r="576">
      <c r="D576" s="8">
        <f>IF(OR(B576="",t=""),"",_xlfn.IFS(B576&gt;=t,"C",B576&gt;=t/2,"B",B576&gt;=t/4,"A",TRUE,"S"))</f>
        <v/>
      </c>
    </row>
    <row r="577">
      <c r="D577" s="8">
        <f>IF(OR(B577="",t=""),"",_xlfn.IFS(B577&gt;=t,"C",B577&gt;=t/2,"B",B577&gt;=t/4,"A",TRUE,"S"))</f>
        <v/>
      </c>
    </row>
    <row r="578">
      <c r="D578" s="8">
        <f>IF(OR(B578="",t=""),"",_xlfn.IFS(B578&gt;=t,"C",B578&gt;=t/2,"B",B578&gt;=t/4,"A",TRUE,"S"))</f>
        <v/>
      </c>
    </row>
    <row r="579">
      <c r="D579" s="8">
        <f>IF(OR(B579="",t=""),"",_xlfn.IFS(B579&gt;=t,"C",B579&gt;=t/2,"B",B579&gt;=t/4,"A",TRUE,"S"))</f>
        <v/>
      </c>
    </row>
    <row r="580">
      <c r="D580" s="8">
        <f>IF(OR(B580="",t=""),"",_xlfn.IFS(B580&gt;=t,"C",B580&gt;=t/2,"B",B580&gt;=t/4,"A",TRUE,"S"))</f>
        <v/>
      </c>
    </row>
    <row r="581">
      <c r="D581" s="8">
        <f>IF(OR(B581="",t=""),"",_xlfn.IFS(B581&gt;=t,"C",B581&gt;=t/2,"B",B581&gt;=t/4,"A",TRUE,"S"))</f>
        <v/>
      </c>
    </row>
    <row r="582">
      <c r="D582" s="8">
        <f>IF(OR(B582="",t=""),"",_xlfn.IFS(B582&gt;=t,"C",B582&gt;=t/2,"B",B582&gt;=t/4,"A",TRUE,"S"))</f>
        <v/>
      </c>
    </row>
    <row r="583">
      <c r="D583" s="8">
        <f>IF(OR(B583="",t=""),"",_xlfn.IFS(B583&gt;=t,"C",B583&gt;=t/2,"B",B583&gt;=t/4,"A",TRUE,"S"))</f>
        <v/>
      </c>
    </row>
    <row r="584">
      <c r="D584" s="8">
        <f>IF(OR(B584="",t=""),"",_xlfn.IFS(B584&gt;=t,"C",B584&gt;=t/2,"B",B584&gt;=t/4,"A",TRUE,"S"))</f>
        <v/>
      </c>
    </row>
    <row r="585">
      <c r="D585" s="8">
        <f>IF(OR(B585="",t=""),"",_xlfn.IFS(B585&gt;=t,"C",B585&gt;=t/2,"B",B585&gt;=t/4,"A",TRUE,"S"))</f>
        <v/>
      </c>
    </row>
    <row r="586">
      <c r="D586" s="8">
        <f>IF(OR(B586="",t=""),"",_xlfn.IFS(B586&gt;=t,"C",B586&gt;=t/2,"B",B586&gt;=t/4,"A",TRUE,"S"))</f>
        <v/>
      </c>
    </row>
    <row r="587">
      <c r="D587" s="8">
        <f>IF(OR(B587="",t=""),"",_xlfn.IFS(B587&gt;=t,"C",B587&gt;=t/2,"B",B587&gt;=t/4,"A",TRUE,"S"))</f>
        <v/>
      </c>
    </row>
    <row r="588">
      <c r="D588" s="8">
        <f>IF(OR(B588="",t=""),"",_xlfn.IFS(B588&gt;=t,"C",B588&gt;=t/2,"B",B588&gt;=t/4,"A",TRUE,"S"))</f>
        <v/>
      </c>
    </row>
    <row r="589">
      <c r="D589" s="8">
        <f>IF(OR(B589="",t=""),"",_xlfn.IFS(B589&gt;=t,"C",B589&gt;=t/2,"B",B589&gt;=t/4,"A",TRUE,"S"))</f>
        <v/>
      </c>
    </row>
    <row r="590">
      <c r="D590" s="8">
        <f>IF(OR(B590="",t=""),"",_xlfn.IFS(B590&gt;=t,"C",B590&gt;=t/2,"B",B590&gt;=t/4,"A",TRUE,"S"))</f>
        <v/>
      </c>
    </row>
    <row r="591">
      <c r="D591" s="8">
        <f>IF(OR(B591="",t=""),"",_xlfn.IFS(B591&gt;=t,"C",B591&gt;=t/2,"B",B591&gt;=t/4,"A",TRUE,"S"))</f>
        <v/>
      </c>
    </row>
    <row r="592">
      <c r="D592" s="8">
        <f>IF(OR(B592="",t=""),"",_xlfn.IFS(B592&gt;=t,"C",B592&gt;=t/2,"B",B592&gt;=t/4,"A",TRUE,"S"))</f>
        <v/>
      </c>
    </row>
    <row r="593">
      <c r="D593" s="8">
        <f>IF(OR(B593="",t=""),"",_xlfn.IFS(B593&gt;=t,"C",B593&gt;=t/2,"B",B593&gt;=t/4,"A",TRUE,"S"))</f>
        <v/>
      </c>
    </row>
    <row r="594">
      <c r="D594" s="8">
        <f>IF(OR(B594="",t=""),"",_xlfn.IFS(B594&gt;=t,"C",B594&gt;=t/2,"B",B594&gt;=t/4,"A",TRUE,"S"))</f>
        <v/>
      </c>
    </row>
    <row r="595">
      <c r="D595" s="8">
        <f>IF(OR(B595="",t=""),"",_xlfn.IFS(B595&gt;=t,"C",B595&gt;=t/2,"B",B595&gt;=t/4,"A",TRUE,"S"))</f>
        <v/>
      </c>
    </row>
    <row r="596">
      <c r="D596" s="8">
        <f>IF(OR(B596="",t=""),"",_xlfn.IFS(B596&gt;=t,"C",B596&gt;=t/2,"B",B596&gt;=t/4,"A",TRUE,"S"))</f>
        <v/>
      </c>
    </row>
    <row r="597">
      <c r="D597" s="8">
        <f>IF(OR(B597="",t=""),"",_xlfn.IFS(B597&gt;=t,"C",B597&gt;=t/2,"B",B597&gt;=t/4,"A",TRUE,"S"))</f>
        <v/>
      </c>
    </row>
    <row r="598">
      <c r="D598" s="8">
        <f>IF(OR(B598="",t=""),"",_xlfn.IFS(B598&gt;=t,"C",B598&gt;=t/2,"B",B598&gt;=t/4,"A",TRUE,"S"))</f>
        <v/>
      </c>
    </row>
    <row r="599">
      <c r="D599" s="8">
        <f>IF(OR(B599="",t=""),"",_xlfn.IFS(B599&gt;=t,"C",B599&gt;=t/2,"B",B599&gt;=t/4,"A",TRUE,"S"))</f>
        <v/>
      </c>
    </row>
    <row r="600">
      <c r="D600" s="8">
        <f>IF(OR(B600="",t=""),"",_xlfn.IFS(B600&gt;=t,"C",B600&gt;=t/2,"B",B600&gt;=t/4,"A",TRUE,"S"))</f>
        <v/>
      </c>
    </row>
    <row r="601">
      <c r="D601" s="8">
        <f>IF(OR(B601="",t=""),"",_xlfn.IFS(B601&gt;=t,"C",B601&gt;=t/2,"B",B601&gt;=t/4,"A",TRUE,"S"))</f>
        <v/>
      </c>
    </row>
    <row r="602">
      <c r="D602" s="8">
        <f>IF(OR(B602="",t=""),"",_xlfn.IFS(B602&gt;=t,"C",B602&gt;=t/2,"B",B602&gt;=t/4,"A",TRUE,"S"))</f>
        <v/>
      </c>
    </row>
    <row r="603">
      <c r="D603" s="8">
        <f>IF(OR(B603="",t=""),"",_xlfn.IFS(B603&gt;=t,"C",B603&gt;=t/2,"B",B603&gt;=t/4,"A",TRUE,"S"))</f>
        <v/>
      </c>
    </row>
    <row r="604">
      <c r="D604" s="8">
        <f>IF(OR(B604="",t=""),"",_xlfn.IFS(B604&gt;=t,"C",B604&gt;=t/2,"B",B604&gt;=t/4,"A",TRUE,"S"))</f>
        <v/>
      </c>
    </row>
    <row r="605">
      <c r="D605" s="8">
        <f>IF(OR(B605="",t=""),"",_xlfn.IFS(B605&gt;=t,"C",B605&gt;=t/2,"B",B605&gt;=t/4,"A",TRUE,"S"))</f>
        <v/>
      </c>
    </row>
    <row r="606">
      <c r="D606" s="8">
        <f>IF(OR(B606="",t=""),"",_xlfn.IFS(B606&gt;=t,"C",B606&gt;=t/2,"B",B606&gt;=t/4,"A",TRUE,"S"))</f>
        <v/>
      </c>
    </row>
    <row r="607">
      <c r="D607" s="8">
        <f>IF(OR(B607="",t=""),"",_xlfn.IFS(B607&gt;=t,"C",B607&gt;=t/2,"B",B607&gt;=t/4,"A",TRUE,"S"))</f>
        <v/>
      </c>
    </row>
    <row r="608">
      <c r="D608" s="8">
        <f>IF(OR(B608="",t=""),"",_xlfn.IFS(B608&gt;=t,"C",B608&gt;=t/2,"B",B608&gt;=t/4,"A",TRUE,"S"))</f>
        <v/>
      </c>
    </row>
    <row r="609">
      <c r="D609" s="8">
        <f>IF(OR(B609="",t=""),"",_xlfn.IFS(B609&gt;=t,"C",B609&gt;=t/2,"B",B609&gt;=t/4,"A",TRUE,"S"))</f>
        <v/>
      </c>
    </row>
    <row r="610">
      <c r="D610" s="8">
        <f>IF(OR(B610="",t=""),"",_xlfn.IFS(B610&gt;=t,"C",B610&gt;=t/2,"B",B610&gt;=t/4,"A",TRUE,"S"))</f>
        <v/>
      </c>
    </row>
    <row r="611">
      <c r="D611" s="8">
        <f>IF(OR(B611="",t=""),"",_xlfn.IFS(B611&gt;=t,"C",B611&gt;=t/2,"B",B611&gt;=t/4,"A",TRUE,"S"))</f>
        <v/>
      </c>
    </row>
    <row r="612">
      <c r="D612" s="8">
        <f>IF(OR(B612="",t=""),"",_xlfn.IFS(B612&gt;=t,"C",B612&gt;=t/2,"B",B612&gt;=t/4,"A",TRUE,"S"))</f>
        <v/>
      </c>
    </row>
    <row r="613">
      <c r="D613" s="8">
        <f>IF(OR(B613="",t=""),"",_xlfn.IFS(B613&gt;=t,"C",B613&gt;=t/2,"B",B613&gt;=t/4,"A",TRUE,"S"))</f>
        <v/>
      </c>
    </row>
    <row r="614">
      <c r="D614" s="8">
        <f>IF(OR(B614="",t=""),"",_xlfn.IFS(B614&gt;=t,"C",B614&gt;=t/2,"B",B614&gt;=t/4,"A",TRUE,"S"))</f>
        <v/>
      </c>
    </row>
    <row r="615">
      <c r="D615" s="8">
        <f>IF(OR(B615="",t=""),"",_xlfn.IFS(B615&gt;=t,"C",B615&gt;=t/2,"B",B615&gt;=t/4,"A",TRUE,"S"))</f>
        <v/>
      </c>
    </row>
    <row r="616">
      <c r="D616" s="8">
        <f>IF(OR(B616="",t=""),"",_xlfn.IFS(B616&gt;=t,"C",B616&gt;=t/2,"B",B616&gt;=t/4,"A",TRUE,"S"))</f>
        <v/>
      </c>
    </row>
    <row r="617">
      <c r="D617" s="8">
        <f>IF(OR(B617="",t=""),"",_xlfn.IFS(B617&gt;=t,"C",B617&gt;=t/2,"B",B617&gt;=t/4,"A",TRUE,"S"))</f>
        <v/>
      </c>
    </row>
    <row r="618">
      <c r="D618" s="8">
        <f>IF(OR(B618="",t=""),"",_xlfn.IFS(B618&gt;=t,"C",B618&gt;=t/2,"B",B618&gt;=t/4,"A",TRUE,"S"))</f>
        <v/>
      </c>
    </row>
    <row r="619">
      <c r="D619" s="8">
        <f>IF(OR(B619="",t=""),"",_xlfn.IFS(B619&gt;=t,"C",B619&gt;=t/2,"B",B619&gt;=t/4,"A",TRUE,"S"))</f>
        <v/>
      </c>
    </row>
    <row r="620">
      <c r="D620" s="8">
        <f>IF(OR(B620="",t=""),"",_xlfn.IFS(B620&gt;=t,"C",B620&gt;=t/2,"B",B620&gt;=t/4,"A",TRUE,"S"))</f>
        <v/>
      </c>
    </row>
    <row r="621">
      <c r="D621" s="8">
        <f>IF(OR(B621="",t=""),"",_xlfn.IFS(B621&gt;=t,"C",B621&gt;=t/2,"B",B621&gt;=t/4,"A",TRUE,"S"))</f>
        <v/>
      </c>
    </row>
    <row r="622">
      <c r="D622" s="8">
        <f>IF(OR(B622="",t=""),"",_xlfn.IFS(B622&gt;=t,"C",B622&gt;=t/2,"B",B622&gt;=t/4,"A",TRUE,"S"))</f>
        <v/>
      </c>
    </row>
    <row r="623">
      <c r="D623" s="8">
        <f>IF(OR(B623="",t=""),"",_xlfn.IFS(B623&gt;=t,"C",B623&gt;=t/2,"B",B623&gt;=t/4,"A",TRUE,"S"))</f>
        <v/>
      </c>
    </row>
    <row r="624">
      <c r="D624" s="8">
        <f>IF(OR(B624="",t=""),"",_xlfn.IFS(B624&gt;=t,"C",B624&gt;=t/2,"B",B624&gt;=t/4,"A",TRUE,"S"))</f>
        <v/>
      </c>
    </row>
    <row r="625">
      <c r="D625" s="8">
        <f>IF(OR(B625="",t=""),"",_xlfn.IFS(B625&gt;=t,"C",B625&gt;=t/2,"B",B625&gt;=t/4,"A",TRUE,"S"))</f>
        <v/>
      </c>
    </row>
    <row r="626">
      <c r="D626" s="8">
        <f>IF(OR(B626="",t=""),"",_xlfn.IFS(B626&gt;=t,"C",B626&gt;=t/2,"B",B626&gt;=t/4,"A",TRUE,"S"))</f>
        <v/>
      </c>
    </row>
    <row r="627">
      <c r="D627" s="8">
        <f>IF(OR(B627="",t=""),"",_xlfn.IFS(B627&gt;=t,"C",B627&gt;=t/2,"B",B627&gt;=t/4,"A",TRUE,"S"))</f>
        <v/>
      </c>
    </row>
    <row r="628">
      <c r="D628" s="8">
        <f>IF(OR(B628="",t=""),"",_xlfn.IFS(B628&gt;=t,"C",B628&gt;=t/2,"B",B628&gt;=t/4,"A",TRUE,"S"))</f>
        <v/>
      </c>
    </row>
    <row r="629">
      <c r="D629" s="8">
        <f>IF(OR(B629="",t=""),"",_xlfn.IFS(B629&gt;=t,"C",B629&gt;=t/2,"B",B629&gt;=t/4,"A",TRUE,"S"))</f>
        <v/>
      </c>
    </row>
    <row r="630">
      <c r="D630" s="8">
        <f>IF(OR(B630="",t=""),"",_xlfn.IFS(B630&gt;=t,"C",B630&gt;=t/2,"B",B630&gt;=t/4,"A",TRUE,"S"))</f>
        <v/>
      </c>
    </row>
    <row r="631">
      <c r="D631" s="8">
        <f>IF(OR(B631="",t=""),"",_xlfn.IFS(B631&gt;=t,"C",B631&gt;=t/2,"B",B631&gt;=t/4,"A",TRUE,"S"))</f>
        <v/>
      </c>
    </row>
    <row r="632">
      <c r="D632" s="8">
        <f>IF(OR(B632="",t=""),"",_xlfn.IFS(B632&gt;=t,"C",B632&gt;=t/2,"B",B632&gt;=t/4,"A",TRUE,"S"))</f>
        <v/>
      </c>
    </row>
    <row r="633">
      <c r="D633" s="8">
        <f>IF(OR(B633="",t=""),"",_xlfn.IFS(B633&gt;=t,"C",B633&gt;=t/2,"B",B633&gt;=t/4,"A",TRUE,"S"))</f>
        <v/>
      </c>
    </row>
    <row r="634">
      <c r="D634" s="8">
        <f>IF(OR(B634="",t=""),"",_xlfn.IFS(B634&gt;=t,"C",B634&gt;=t/2,"B",B634&gt;=t/4,"A",TRUE,"S"))</f>
        <v/>
      </c>
    </row>
    <row r="635">
      <c r="D635" s="8">
        <f>IF(OR(B635="",t=""),"",_xlfn.IFS(B635&gt;=t,"C",B635&gt;=t/2,"B",B635&gt;=t/4,"A",TRUE,"S"))</f>
        <v/>
      </c>
    </row>
    <row r="636">
      <c r="D636" s="8">
        <f>IF(OR(B636="",t=""),"",_xlfn.IFS(B636&gt;=t,"C",B636&gt;=t/2,"B",B636&gt;=t/4,"A",TRUE,"S"))</f>
        <v/>
      </c>
    </row>
    <row r="637">
      <c r="D637" s="8">
        <f>IF(OR(B637="",t=""),"",_xlfn.IFS(B637&gt;=t,"C",B637&gt;=t/2,"B",B637&gt;=t/4,"A",TRUE,"S"))</f>
        <v/>
      </c>
    </row>
    <row r="638">
      <c r="D638" s="8">
        <f>IF(OR(B638="",t=""),"",_xlfn.IFS(B638&gt;=t,"C",B638&gt;=t/2,"B",B638&gt;=t/4,"A",TRUE,"S"))</f>
        <v/>
      </c>
    </row>
    <row r="639">
      <c r="D639" s="8">
        <f>IF(OR(B639="",t=""),"",_xlfn.IFS(B639&gt;=t,"C",B639&gt;=t/2,"B",B639&gt;=t/4,"A",TRUE,"S"))</f>
        <v/>
      </c>
    </row>
    <row r="640">
      <c r="D640" s="8">
        <f>IF(OR(B640="",t=""),"",_xlfn.IFS(B640&gt;=t,"C",B640&gt;=t/2,"B",B640&gt;=t/4,"A",TRUE,"S"))</f>
        <v/>
      </c>
    </row>
    <row r="641">
      <c r="D641" s="8">
        <f>IF(OR(B641="",t=""),"",_xlfn.IFS(B641&gt;=t,"C",B641&gt;=t/2,"B",B641&gt;=t/4,"A",TRUE,"S"))</f>
        <v/>
      </c>
    </row>
    <row r="642">
      <c r="D642" s="8">
        <f>IF(OR(B642="",t=""),"",_xlfn.IFS(B642&gt;=t,"C",B642&gt;=t/2,"B",B642&gt;=t/4,"A",TRUE,"S"))</f>
        <v/>
      </c>
    </row>
    <row r="643">
      <c r="D643" s="8">
        <f>IF(OR(B643="",t=""),"",_xlfn.IFS(B643&gt;=t,"C",B643&gt;=t/2,"B",B643&gt;=t/4,"A",TRUE,"S"))</f>
        <v/>
      </c>
    </row>
    <row r="644">
      <c r="D644" s="8">
        <f>IF(OR(B644="",t=""),"",_xlfn.IFS(B644&gt;=t,"C",B644&gt;=t/2,"B",B644&gt;=t/4,"A",TRUE,"S"))</f>
        <v/>
      </c>
    </row>
    <row r="645">
      <c r="D645" s="8">
        <f>IF(OR(B645="",t=""),"",_xlfn.IFS(B645&gt;=t,"C",B645&gt;=t/2,"B",B645&gt;=t/4,"A",TRUE,"S"))</f>
        <v/>
      </c>
    </row>
    <row r="646">
      <c r="D646" s="8">
        <f>IF(OR(B646="",t=""),"",_xlfn.IFS(B646&gt;=t,"C",B646&gt;=t/2,"B",B646&gt;=t/4,"A",TRUE,"S"))</f>
        <v/>
      </c>
    </row>
    <row r="647">
      <c r="D647" s="8">
        <f>IF(OR(B647="",t=""),"",_xlfn.IFS(B647&gt;=t,"C",B647&gt;=t/2,"B",B647&gt;=t/4,"A",TRUE,"S"))</f>
        <v/>
      </c>
    </row>
    <row r="648">
      <c r="D648" s="8">
        <f>IF(OR(B648="",t=""),"",_xlfn.IFS(B648&gt;=t,"C",B648&gt;=t/2,"B",B648&gt;=t/4,"A",TRUE,"S"))</f>
        <v/>
      </c>
    </row>
    <row r="649">
      <c r="D649" s="8">
        <f>IF(OR(B649="",t=""),"",_xlfn.IFS(B649&gt;=t,"C",B649&gt;=t/2,"B",B649&gt;=t/4,"A",TRUE,"S"))</f>
        <v/>
      </c>
    </row>
    <row r="650">
      <c r="D650" s="8">
        <f>IF(OR(B650="",t=""),"",_xlfn.IFS(B650&gt;=t,"C",B650&gt;=t/2,"B",B650&gt;=t/4,"A",TRUE,"S"))</f>
        <v/>
      </c>
    </row>
    <row r="651">
      <c r="D651" s="8">
        <f>IF(OR(B651="",t=""),"",_xlfn.IFS(B651&gt;=t,"C",B651&gt;=t/2,"B",B651&gt;=t/4,"A",TRUE,"S"))</f>
        <v/>
      </c>
    </row>
    <row r="652">
      <c r="D652" s="8">
        <f>IF(OR(B652="",t=""),"",_xlfn.IFS(B652&gt;=t,"C",B652&gt;=t/2,"B",B652&gt;=t/4,"A",TRUE,"S"))</f>
        <v/>
      </c>
    </row>
    <row r="653">
      <c r="D653" s="8">
        <f>IF(OR(B653="",t=""),"",_xlfn.IFS(B653&gt;=t,"C",B653&gt;=t/2,"B",B653&gt;=t/4,"A",TRUE,"S"))</f>
        <v/>
      </c>
    </row>
    <row r="654">
      <c r="D654" s="8">
        <f>IF(OR(B654="",t=""),"",_xlfn.IFS(B654&gt;=t,"C",B654&gt;=t/2,"B",B654&gt;=t/4,"A",TRUE,"S"))</f>
        <v/>
      </c>
    </row>
    <row r="655">
      <c r="D655" s="8">
        <f>IF(OR(B655="",t=""),"",_xlfn.IFS(B655&gt;=t,"C",B655&gt;=t/2,"B",B655&gt;=t/4,"A",TRUE,"S"))</f>
        <v/>
      </c>
    </row>
    <row r="656">
      <c r="D656" s="8">
        <f>IF(OR(B656="",t=""),"",_xlfn.IFS(B656&gt;=t,"C",B656&gt;=t/2,"B",B656&gt;=t/4,"A",TRUE,"S"))</f>
        <v/>
      </c>
    </row>
    <row r="657">
      <c r="D657" s="8">
        <f>IF(OR(B657="",t=""),"",_xlfn.IFS(B657&gt;=t,"C",B657&gt;=t/2,"B",B657&gt;=t/4,"A",TRUE,"S"))</f>
        <v/>
      </c>
    </row>
    <row r="658">
      <c r="D658" s="8">
        <f>IF(OR(B658="",t=""),"",_xlfn.IFS(B658&gt;=t,"C",B658&gt;=t/2,"B",B658&gt;=t/4,"A",TRUE,"S"))</f>
        <v/>
      </c>
    </row>
    <row r="659">
      <c r="D659" s="8">
        <f>IF(OR(B659="",t=""),"",_xlfn.IFS(B659&gt;=t,"C",B659&gt;=t/2,"B",B659&gt;=t/4,"A",TRUE,"S"))</f>
        <v/>
      </c>
    </row>
    <row r="660">
      <c r="D660" s="8">
        <f>IF(OR(B660="",t=""),"",_xlfn.IFS(B660&gt;=t,"C",B660&gt;=t/2,"B",B660&gt;=t/4,"A",TRUE,"S"))</f>
        <v/>
      </c>
    </row>
    <row r="661">
      <c r="D661" s="8">
        <f>IF(OR(B661="",t=""),"",_xlfn.IFS(B661&gt;=t,"C",B661&gt;=t/2,"B",B661&gt;=t/4,"A",TRUE,"S"))</f>
        <v/>
      </c>
    </row>
    <row r="662">
      <c r="D662" s="8">
        <f>IF(OR(B662="",t=""),"",_xlfn.IFS(B662&gt;=t,"C",B662&gt;=t/2,"B",B662&gt;=t/4,"A",TRUE,"S"))</f>
        <v/>
      </c>
    </row>
    <row r="663">
      <c r="D663" s="8">
        <f>IF(OR(B663="",t=""),"",_xlfn.IFS(B663&gt;=t,"C",B663&gt;=t/2,"B",B663&gt;=t/4,"A",TRUE,"S"))</f>
        <v/>
      </c>
    </row>
    <row r="664">
      <c r="D664" s="8">
        <f>IF(OR(B664="",t=""),"",_xlfn.IFS(B664&gt;=t,"C",B664&gt;=t/2,"B",B664&gt;=t/4,"A",TRUE,"S"))</f>
        <v/>
      </c>
    </row>
    <row r="665">
      <c r="D665" s="8">
        <f>IF(OR(B665="",t=""),"",_xlfn.IFS(B665&gt;=t,"C",B665&gt;=t/2,"B",B665&gt;=t/4,"A",TRUE,"S"))</f>
        <v/>
      </c>
    </row>
    <row r="666">
      <c r="D666" s="8">
        <f>IF(OR(B666="",t=""),"",_xlfn.IFS(B666&gt;=t,"C",B666&gt;=t/2,"B",B666&gt;=t/4,"A",TRUE,"S"))</f>
        <v/>
      </c>
    </row>
    <row r="667">
      <c r="D667" s="8">
        <f>IF(OR(B667="",t=""),"",_xlfn.IFS(B667&gt;=t,"C",B667&gt;=t/2,"B",B667&gt;=t/4,"A",TRUE,"S"))</f>
        <v/>
      </c>
    </row>
    <row r="668">
      <c r="D668" s="8">
        <f>IF(OR(B668="",t=""),"",_xlfn.IFS(B668&gt;=t,"C",B668&gt;=t/2,"B",B668&gt;=t/4,"A",TRUE,"S"))</f>
        <v/>
      </c>
    </row>
    <row r="669">
      <c r="D669" s="8">
        <f>IF(OR(B669="",t=""),"",_xlfn.IFS(B669&gt;=t,"C",B669&gt;=t/2,"B",B669&gt;=t/4,"A",TRUE,"S"))</f>
        <v/>
      </c>
    </row>
    <row r="670">
      <c r="D670" s="8">
        <f>IF(OR(B670="",t=""),"",_xlfn.IFS(B670&gt;=t,"C",B670&gt;=t/2,"B",B670&gt;=t/4,"A",TRUE,"S"))</f>
        <v/>
      </c>
    </row>
    <row r="671">
      <c r="D671" s="8">
        <f>IF(OR(B671="",t=""),"",_xlfn.IFS(B671&gt;=t,"C",B671&gt;=t/2,"B",B671&gt;=t/4,"A",TRUE,"S"))</f>
        <v/>
      </c>
    </row>
    <row r="672">
      <c r="D672" s="8">
        <f>IF(OR(B672="",t=""),"",_xlfn.IFS(B672&gt;=t,"C",B672&gt;=t/2,"B",B672&gt;=t/4,"A",TRUE,"S"))</f>
        <v/>
      </c>
    </row>
    <row r="673">
      <c r="D673" s="8">
        <f>IF(OR(B673="",t=""),"",_xlfn.IFS(B673&gt;=t,"C",B673&gt;=t/2,"B",B673&gt;=t/4,"A",TRUE,"S"))</f>
        <v/>
      </c>
    </row>
    <row r="674">
      <c r="D674" s="8">
        <f>IF(OR(B674="",t=""),"",_xlfn.IFS(B674&gt;=t,"C",B674&gt;=t/2,"B",B674&gt;=t/4,"A",TRUE,"S"))</f>
        <v/>
      </c>
    </row>
    <row r="675">
      <c r="D675" s="8">
        <f>IF(OR(B675="",t=""),"",_xlfn.IFS(B675&gt;=t,"C",B675&gt;=t/2,"B",B675&gt;=t/4,"A",TRUE,"S"))</f>
        <v/>
      </c>
    </row>
    <row r="676">
      <c r="D676" s="8">
        <f>IF(OR(B676="",t=""),"",_xlfn.IFS(B676&gt;=t,"C",B676&gt;=t/2,"B",B676&gt;=t/4,"A",TRUE,"S"))</f>
        <v/>
      </c>
    </row>
    <row r="677">
      <c r="D677" s="8">
        <f>IF(OR(B677="",t=""),"",_xlfn.IFS(B677&gt;=t,"C",B677&gt;=t/2,"B",B677&gt;=t/4,"A",TRUE,"S"))</f>
        <v/>
      </c>
    </row>
    <row r="678">
      <c r="D678" s="8">
        <f>IF(OR(B678="",t=""),"",_xlfn.IFS(B678&gt;=t,"C",B678&gt;=t/2,"B",B678&gt;=t/4,"A",TRUE,"S"))</f>
        <v/>
      </c>
    </row>
    <row r="679">
      <c r="D679" s="8">
        <f>IF(OR(B679="",t=""),"",_xlfn.IFS(B679&gt;=t,"C",B679&gt;=t/2,"B",B679&gt;=t/4,"A",TRUE,"S"))</f>
        <v/>
      </c>
    </row>
    <row r="680">
      <c r="D680" s="8">
        <f>IF(OR(B680="",t=""),"",_xlfn.IFS(B680&gt;=t,"C",B680&gt;=t/2,"B",B680&gt;=t/4,"A",TRUE,"S"))</f>
        <v/>
      </c>
    </row>
    <row r="681">
      <c r="D681" s="8">
        <f>IF(OR(B681="",t=""),"",_xlfn.IFS(B681&gt;=t,"C",B681&gt;=t/2,"B",B681&gt;=t/4,"A",TRUE,"S"))</f>
        <v/>
      </c>
    </row>
    <row r="682">
      <c r="D682" s="8">
        <f>IF(OR(B682="",t=""),"",_xlfn.IFS(B682&gt;=t,"C",B682&gt;=t/2,"B",B682&gt;=t/4,"A",TRUE,"S"))</f>
        <v/>
      </c>
    </row>
    <row r="683">
      <c r="D683" s="8">
        <f>IF(OR(B683="",t=""),"",_xlfn.IFS(B683&gt;=t,"C",B683&gt;=t/2,"B",B683&gt;=t/4,"A",TRUE,"S"))</f>
        <v/>
      </c>
    </row>
    <row r="684">
      <c r="D684" s="8">
        <f>IF(OR(B684="",t=""),"",_xlfn.IFS(B684&gt;=t,"C",B684&gt;=t/2,"B",B684&gt;=t/4,"A",TRUE,"S"))</f>
        <v/>
      </c>
    </row>
    <row r="685">
      <c r="D685" s="8">
        <f>IF(OR(B685="",t=""),"",_xlfn.IFS(B685&gt;=t,"C",B685&gt;=t/2,"B",B685&gt;=t/4,"A",TRUE,"S"))</f>
        <v/>
      </c>
    </row>
    <row r="686">
      <c r="D686" s="8">
        <f>IF(OR(B686="",t=""),"",_xlfn.IFS(B686&gt;=t,"C",B686&gt;=t/2,"B",B686&gt;=t/4,"A",TRUE,"S"))</f>
        <v/>
      </c>
    </row>
    <row r="687">
      <c r="D687" s="8">
        <f>IF(OR(B687="",t=""),"",_xlfn.IFS(B687&gt;=t,"C",B687&gt;=t/2,"B",B687&gt;=t/4,"A",TRUE,"S"))</f>
        <v/>
      </c>
    </row>
    <row r="688">
      <c r="D688" s="8">
        <f>IF(OR(B688="",t=""),"",_xlfn.IFS(B688&gt;=t,"C",B688&gt;=t/2,"B",B688&gt;=t/4,"A",TRUE,"S"))</f>
        <v/>
      </c>
    </row>
    <row r="689">
      <c r="D689" s="8">
        <f>IF(OR(B689="",t=""),"",_xlfn.IFS(B689&gt;=t,"C",B689&gt;=t/2,"B",B689&gt;=t/4,"A",TRUE,"S"))</f>
        <v/>
      </c>
    </row>
    <row r="690">
      <c r="D690" s="8">
        <f>IF(OR(B690="",t=""),"",_xlfn.IFS(B690&gt;=t,"C",B690&gt;=t/2,"B",B690&gt;=t/4,"A",TRUE,"S"))</f>
        <v/>
      </c>
    </row>
    <row r="691">
      <c r="D691" s="8">
        <f>IF(OR(B691="",t=""),"",_xlfn.IFS(B691&gt;=t,"C",B691&gt;=t/2,"B",B691&gt;=t/4,"A",TRUE,"S"))</f>
        <v/>
      </c>
    </row>
    <row r="692">
      <c r="D692" s="8">
        <f>IF(OR(B692="",t=""),"",_xlfn.IFS(B692&gt;=t,"C",B692&gt;=t/2,"B",B692&gt;=t/4,"A",TRUE,"S"))</f>
        <v/>
      </c>
    </row>
    <row r="693">
      <c r="D693" s="8">
        <f>IF(OR(B693="",t=""),"",_xlfn.IFS(B693&gt;=t,"C",B693&gt;=t/2,"B",B693&gt;=t/4,"A",TRUE,"S"))</f>
        <v/>
      </c>
    </row>
    <row r="694">
      <c r="D694" s="8">
        <f>IF(OR(B694="",t=""),"",_xlfn.IFS(B694&gt;=t,"C",B694&gt;=t/2,"B",B694&gt;=t/4,"A",TRUE,"S"))</f>
        <v/>
      </c>
    </row>
    <row r="695">
      <c r="D695" s="8">
        <f>IF(OR(B695="",t=""),"",_xlfn.IFS(B695&gt;=t,"C",B695&gt;=t/2,"B",B695&gt;=t/4,"A",TRUE,"S"))</f>
        <v/>
      </c>
    </row>
    <row r="696">
      <c r="D696" s="8">
        <f>IF(OR(B696="",t=""),"",_xlfn.IFS(B696&gt;=t,"C",B696&gt;=t/2,"B",B696&gt;=t/4,"A",TRUE,"S"))</f>
        <v/>
      </c>
    </row>
    <row r="697">
      <c r="D697" s="8">
        <f>IF(OR(B697="",t=""),"",_xlfn.IFS(B697&gt;=t,"C",B697&gt;=t/2,"B",B697&gt;=t/4,"A",TRUE,"S"))</f>
        <v/>
      </c>
    </row>
    <row r="698">
      <c r="D698" s="8">
        <f>IF(OR(B698="",t=""),"",_xlfn.IFS(B698&gt;=t,"C",B698&gt;=t/2,"B",B698&gt;=t/4,"A",TRUE,"S"))</f>
        <v/>
      </c>
    </row>
    <row r="699">
      <c r="D699" s="8">
        <f>IF(OR(B699="",t=""),"",_xlfn.IFS(B699&gt;=t,"C",B699&gt;=t/2,"B",B699&gt;=t/4,"A",TRUE,"S"))</f>
        <v/>
      </c>
    </row>
    <row r="700">
      <c r="D700" s="8">
        <f>IF(OR(B700="",t=""),"",_xlfn.IFS(B700&gt;=t,"C",B700&gt;=t/2,"B",B700&gt;=t/4,"A",TRUE,"S"))</f>
        <v/>
      </c>
    </row>
    <row r="701">
      <c r="D701" s="8">
        <f>IF(OR(B701="",t=""),"",_xlfn.IFS(B701&gt;=t,"C",B701&gt;=t/2,"B",B701&gt;=t/4,"A",TRUE,"S"))</f>
        <v/>
      </c>
    </row>
    <row r="702">
      <c r="D702" s="8">
        <f>IF(OR(B702="",t=""),"",_xlfn.IFS(B702&gt;=t,"C",B702&gt;=t/2,"B",B702&gt;=t/4,"A",TRUE,"S"))</f>
        <v/>
      </c>
    </row>
    <row r="703">
      <c r="D703" s="8">
        <f>IF(OR(B703="",t=""),"",_xlfn.IFS(B703&gt;=t,"C",B703&gt;=t/2,"B",B703&gt;=t/4,"A",TRUE,"S"))</f>
        <v/>
      </c>
    </row>
    <row r="704">
      <c r="D704" s="8">
        <f>IF(OR(B704="",t=""),"",_xlfn.IFS(B704&gt;=t,"C",B704&gt;=t/2,"B",B704&gt;=t/4,"A",TRUE,"S"))</f>
        <v/>
      </c>
    </row>
    <row r="705">
      <c r="D705" s="8">
        <f>IF(OR(B705="",t=""),"",_xlfn.IFS(B705&gt;=t,"C",B705&gt;=t/2,"B",B705&gt;=t/4,"A",TRUE,"S"))</f>
        <v/>
      </c>
    </row>
    <row r="706">
      <c r="D706" s="8">
        <f>IF(OR(B706="",t=""),"",_xlfn.IFS(B706&gt;=t,"C",B706&gt;=t/2,"B",B706&gt;=t/4,"A",TRUE,"S"))</f>
        <v/>
      </c>
    </row>
    <row r="707">
      <c r="D707" s="8">
        <f>IF(OR(B707="",t=""),"",_xlfn.IFS(B707&gt;=t,"C",B707&gt;=t/2,"B",B707&gt;=t/4,"A",TRUE,"S"))</f>
        <v/>
      </c>
    </row>
    <row r="708">
      <c r="D708" s="8">
        <f>IF(OR(B708="",t=""),"",_xlfn.IFS(B708&gt;=t,"C",B708&gt;=t/2,"B",B708&gt;=t/4,"A",TRUE,"S"))</f>
        <v/>
      </c>
    </row>
    <row r="709">
      <c r="D709" s="8">
        <f>IF(OR(B709="",t=""),"",_xlfn.IFS(B709&gt;=t,"C",B709&gt;=t/2,"B",B709&gt;=t/4,"A",TRUE,"S"))</f>
        <v/>
      </c>
    </row>
    <row r="710">
      <c r="D710" s="8">
        <f>IF(OR(B710="",t=""),"",_xlfn.IFS(B710&gt;=t,"C",B710&gt;=t/2,"B",B710&gt;=t/4,"A",TRUE,"S"))</f>
        <v/>
      </c>
    </row>
    <row r="711">
      <c r="D711" s="8">
        <f>IF(OR(B711="",t=""),"",_xlfn.IFS(B711&gt;=t,"C",B711&gt;=t/2,"B",B711&gt;=t/4,"A",TRUE,"S"))</f>
        <v/>
      </c>
    </row>
    <row r="712">
      <c r="D712" s="8">
        <f>IF(OR(B712="",t=""),"",_xlfn.IFS(B712&gt;=t,"C",B712&gt;=t/2,"B",B712&gt;=t/4,"A",TRUE,"S"))</f>
        <v/>
      </c>
    </row>
    <row r="713">
      <c r="D713" s="8">
        <f>IF(OR(B713="",t=""),"",_xlfn.IFS(B713&gt;=t,"C",B713&gt;=t/2,"B",B713&gt;=t/4,"A",TRUE,"S"))</f>
        <v/>
      </c>
    </row>
    <row r="714">
      <c r="D714" s="8">
        <f>IF(OR(B714="",t=""),"",_xlfn.IFS(B714&gt;=t,"C",B714&gt;=t/2,"B",B714&gt;=t/4,"A",TRUE,"S"))</f>
        <v/>
      </c>
    </row>
    <row r="715">
      <c r="D715" s="8">
        <f>IF(OR(B715="",t=""),"",_xlfn.IFS(B715&gt;=t,"C",B715&gt;=t/2,"B",B715&gt;=t/4,"A",TRUE,"S"))</f>
        <v/>
      </c>
    </row>
    <row r="716">
      <c r="D716" s="8">
        <f>IF(OR(B716="",t=""),"",_xlfn.IFS(B716&gt;=t,"C",B716&gt;=t/2,"B",B716&gt;=t/4,"A",TRUE,"S"))</f>
        <v/>
      </c>
    </row>
    <row r="717">
      <c r="D717" s="8">
        <f>IF(OR(B717="",t=""),"",_xlfn.IFS(B717&gt;=t,"C",B717&gt;=t/2,"B",B717&gt;=t/4,"A",TRUE,"S"))</f>
        <v/>
      </c>
    </row>
    <row r="718">
      <c r="D718" s="8">
        <f>IF(OR(B718="",t=""),"",_xlfn.IFS(B718&gt;=t,"C",B718&gt;=t/2,"B",B718&gt;=t/4,"A",TRUE,"S"))</f>
        <v/>
      </c>
    </row>
    <row r="719">
      <c r="D719" s="8">
        <f>IF(OR(B719="",t=""),"",_xlfn.IFS(B719&gt;=t,"C",B719&gt;=t/2,"B",B719&gt;=t/4,"A",TRUE,"S"))</f>
        <v/>
      </c>
    </row>
    <row r="720">
      <c r="D720" s="8">
        <f>IF(OR(B720="",t=""),"",_xlfn.IFS(B720&gt;=t,"C",B720&gt;=t/2,"B",B720&gt;=t/4,"A",TRUE,"S"))</f>
        <v/>
      </c>
    </row>
    <row r="721">
      <c r="D721" s="8">
        <f>IF(OR(B721="",t=""),"",_xlfn.IFS(B721&gt;=t,"C",B721&gt;=t/2,"B",B721&gt;=t/4,"A",TRUE,"S"))</f>
        <v/>
      </c>
    </row>
    <row r="722">
      <c r="D722" s="8">
        <f>IF(OR(B722="",t=""),"",_xlfn.IFS(B722&gt;=t,"C",B722&gt;=t/2,"B",B722&gt;=t/4,"A",TRUE,"S"))</f>
        <v/>
      </c>
    </row>
    <row r="723">
      <c r="D723" s="8">
        <f>IF(OR(B723="",t=""),"",_xlfn.IFS(B723&gt;=t,"C",B723&gt;=t/2,"B",B723&gt;=t/4,"A",TRUE,"S"))</f>
        <v/>
      </c>
    </row>
    <row r="724">
      <c r="D724" s="8">
        <f>IF(OR(B724="",t=""),"",_xlfn.IFS(B724&gt;=t,"C",B724&gt;=t/2,"B",B724&gt;=t/4,"A",TRUE,"S"))</f>
        <v/>
      </c>
    </row>
    <row r="725">
      <c r="D725" s="8">
        <f>IF(OR(B725="",t=""),"",_xlfn.IFS(B725&gt;=t,"C",B725&gt;=t/2,"B",B725&gt;=t/4,"A",TRUE,"S"))</f>
        <v/>
      </c>
    </row>
    <row r="726">
      <c r="D726" s="8">
        <f>IF(OR(B726="",t=""),"",_xlfn.IFS(B726&gt;=t,"C",B726&gt;=t/2,"B",B726&gt;=t/4,"A",TRUE,"S"))</f>
        <v/>
      </c>
    </row>
    <row r="727">
      <c r="D727" s="8">
        <f>IF(OR(B727="",t=""),"",_xlfn.IFS(B727&gt;=t,"C",B727&gt;=t/2,"B",B727&gt;=t/4,"A",TRUE,"S"))</f>
        <v/>
      </c>
    </row>
    <row r="728">
      <c r="D728" s="8">
        <f>IF(OR(B728="",t=""),"",_xlfn.IFS(B728&gt;=t,"C",B728&gt;=t/2,"B",B728&gt;=t/4,"A",TRUE,"S"))</f>
        <v/>
      </c>
    </row>
    <row r="729">
      <c r="D729" s="8">
        <f>IF(OR(B729="",t=""),"",_xlfn.IFS(B729&gt;=t,"C",B729&gt;=t/2,"B",B729&gt;=t/4,"A",TRUE,"S"))</f>
        <v/>
      </c>
    </row>
    <row r="730">
      <c r="D730" s="8">
        <f>IF(OR(B730="",t=""),"",_xlfn.IFS(B730&gt;=t,"C",B730&gt;=t/2,"B",B730&gt;=t/4,"A",TRUE,"S"))</f>
        <v/>
      </c>
    </row>
    <row r="731">
      <c r="D731" s="8">
        <f>IF(OR(B731="",t=""),"",_xlfn.IFS(B731&gt;=t,"C",B731&gt;=t/2,"B",B731&gt;=t/4,"A",TRUE,"S"))</f>
        <v/>
      </c>
    </row>
    <row r="732">
      <c r="D732" s="8">
        <f>IF(OR(B732="",t=""),"",_xlfn.IFS(B732&gt;=t,"C",B732&gt;=t/2,"B",B732&gt;=t/4,"A",TRUE,"S"))</f>
        <v/>
      </c>
    </row>
    <row r="733">
      <c r="D733" s="8">
        <f>IF(OR(B733="",t=""),"",_xlfn.IFS(B733&gt;=t,"C",B733&gt;=t/2,"B",B733&gt;=t/4,"A",TRUE,"S"))</f>
        <v/>
      </c>
    </row>
    <row r="734">
      <c r="D734" s="8">
        <f>IF(OR(B734="",t=""),"",_xlfn.IFS(B734&gt;=t,"C",B734&gt;=t/2,"B",B734&gt;=t/4,"A",TRUE,"S"))</f>
        <v/>
      </c>
    </row>
    <row r="735">
      <c r="D735" s="8">
        <f>IF(OR(B735="",t=""),"",_xlfn.IFS(B735&gt;=t,"C",B735&gt;=t/2,"B",B735&gt;=t/4,"A",TRUE,"S"))</f>
        <v/>
      </c>
    </row>
    <row r="736">
      <c r="D736" s="8">
        <f>IF(OR(B736="",t=""),"",_xlfn.IFS(B736&gt;=t,"C",B736&gt;=t/2,"B",B736&gt;=t/4,"A",TRUE,"S"))</f>
        <v/>
      </c>
    </row>
    <row r="737">
      <c r="D737" s="8">
        <f>IF(OR(B737="",t=""),"",_xlfn.IFS(B737&gt;=t,"C",B737&gt;=t/2,"B",B737&gt;=t/4,"A",TRUE,"S"))</f>
        <v/>
      </c>
    </row>
    <row r="738">
      <c r="D738" s="8">
        <f>IF(OR(B738="",t=""),"",_xlfn.IFS(B738&gt;=t,"C",B738&gt;=t/2,"B",B738&gt;=t/4,"A",TRUE,"S"))</f>
        <v/>
      </c>
    </row>
    <row r="739">
      <c r="D739" s="8">
        <f>IF(OR(B739="",t=""),"",_xlfn.IFS(B739&gt;=t,"C",B739&gt;=t/2,"B",B739&gt;=t/4,"A",TRUE,"S"))</f>
        <v/>
      </c>
    </row>
    <row r="740">
      <c r="D740" s="8">
        <f>IF(OR(B740="",t=""),"",_xlfn.IFS(B740&gt;=t,"C",B740&gt;=t/2,"B",B740&gt;=t/4,"A",TRUE,"S"))</f>
        <v/>
      </c>
    </row>
    <row r="741">
      <c r="D741" s="8">
        <f>IF(OR(B741="",t=""),"",_xlfn.IFS(B741&gt;=t,"C",B741&gt;=t/2,"B",B741&gt;=t/4,"A",TRUE,"S"))</f>
        <v/>
      </c>
    </row>
    <row r="742">
      <c r="D742" s="8">
        <f>IF(OR(B742="",t=""),"",_xlfn.IFS(B742&gt;=t,"C",B742&gt;=t/2,"B",B742&gt;=t/4,"A",TRUE,"S"))</f>
        <v/>
      </c>
    </row>
    <row r="743">
      <c r="D743" s="8">
        <f>IF(OR(B743="",t=""),"",_xlfn.IFS(B743&gt;=t,"C",B743&gt;=t/2,"B",B743&gt;=t/4,"A",TRUE,"S"))</f>
        <v/>
      </c>
    </row>
    <row r="744">
      <c r="D744" s="8">
        <f>IF(OR(B744="",t=""),"",_xlfn.IFS(B744&gt;=t,"C",B744&gt;=t/2,"B",B744&gt;=t/4,"A",TRUE,"S"))</f>
        <v/>
      </c>
    </row>
    <row r="745">
      <c r="D745" s="8">
        <f>IF(OR(B745="",t=""),"",_xlfn.IFS(B745&gt;=t,"C",B745&gt;=t/2,"B",B745&gt;=t/4,"A",TRUE,"S"))</f>
        <v/>
      </c>
    </row>
    <row r="746">
      <c r="D746" s="8">
        <f>IF(OR(B746="",t=""),"",_xlfn.IFS(B746&gt;=t,"C",B746&gt;=t/2,"B",B746&gt;=t/4,"A",TRUE,"S"))</f>
        <v/>
      </c>
    </row>
    <row r="747">
      <c r="D747" s="8">
        <f>IF(OR(B747="",t=""),"",_xlfn.IFS(B747&gt;=t,"C",B747&gt;=t/2,"B",B747&gt;=t/4,"A",TRUE,"S"))</f>
        <v/>
      </c>
    </row>
    <row r="748">
      <c r="D748" s="8">
        <f>IF(OR(B748="",t=""),"",_xlfn.IFS(B748&gt;=t,"C",B748&gt;=t/2,"B",B748&gt;=t/4,"A",TRUE,"S"))</f>
        <v/>
      </c>
    </row>
    <row r="749">
      <c r="D749" s="8">
        <f>IF(OR(B749="",t=""),"",_xlfn.IFS(B749&gt;=t,"C",B749&gt;=t/2,"B",B749&gt;=t/4,"A",TRUE,"S"))</f>
        <v/>
      </c>
    </row>
    <row r="750">
      <c r="D750" s="8">
        <f>IF(OR(B750="",t=""),"",_xlfn.IFS(B750&gt;=t,"C",B750&gt;=t/2,"B",B750&gt;=t/4,"A",TRUE,"S"))</f>
        <v/>
      </c>
    </row>
    <row r="751">
      <c r="D751" s="8">
        <f>IF(OR(B751="",t=""),"",_xlfn.IFS(B751&gt;=t,"C",B751&gt;=t/2,"B",B751&gt;=t/4,"A",TRUE,"S"))</f>
        <v/>
      </c>
    </row>
    <row r="752">
      <c r="D752" s="8">
        <f>IF(OR(B752="",t=""),"",_xlfn.IFS(B752&gt;=t,"C",B752&gt;=t/2,"B",B752&gt;=t/4,"A",TRUE,"S"))</f>
        <v/>
      </c>
    </row>
    <row r="753">
      <c r="D753" s="8">
        <f>IF(OR(B753="",t=""),"",_xlfn.IFS(B753&gt;=t,"C",B753&gt;=t/2,"B",B753&gt;=t/4,"A",TRUE,"S"))</f>
        <v/>
      </c>
    </row>
    <row r="754">
      <c r="D754" s="8">
        <f>IF(OR(B754="",t=""),"",_xlfn.IFS(B754&gt;=t,"C",B754&gt;=t/2,"B",B754&gt;=t/4,"A",TRUE,"S"))</f>
        <v/>
      </c>
    </row>
    <row r="755">
      <c r="D755" s="8">
        <f>IF(OR(B755="",t=""),"",_xlfn.IFS(B755&gt;=t,"C",B755&gt;=t/2,"B",B755&gt;=t/4,"A",TRUE,"S"))</f>
        <v/>
      </c>
    </row>
    <row r="756">
      <c r="D756" s="8">
        <f>IF(OR(B756="",t=""),"",_xlfn.IFS(B756&gt;=t,"C",B756&gt;=t/2,"B",B756&gt;=t/4,"A",TRUE,"S"))</f>
        <v/>
      </c>
    </row>
    <row r="757">
      <c r="D757" s="8">
        <f>IF(OR(B757="",t=""),"",_xlfn.IFS(B757&gt;=t,"C",B757&gt;=t/2,"B",B757&gt;=t/4,"A",TRUE,"S"))</f>
        <v/>
      </c>
    </row>
    <row r="758">
      <c r="D758" s="8">
        <f>IF(OR(B758="",t=""),"",_xlfn.IFS(B758&gt;=t,"C",B758&gt;=t/2,"B",B758&gt;=t/4,"A",TRUE,"S"))</f>
        <v/>
      </c>
    </row>
    <row r="759">
      <c r="D759" s="8">
        <f>IF(OR(B759="",t=""),"",_xlfn.IFS(B759&gt;=t,"C",B759&gt;=t/2,"B",B759&gt;=t/4,"A",TRUE,"S"))</f>
        <v/>
      </c>
    </row>
    <row r="760">
      <c r="D760" s="8">
        <f>IF(OR(B760="",t=""),"",_xlfn.IFS(B760&gt;=t,"C",B760&gt;=t/2,"B",B760&gt;=t/4,"A",TRUE,"S"))</f>
        <v/>
      </c>
    </row>
    <row r="761">
      <c r="D761" s="8">
        <f>IF(OR(B761="",t=""),"",_xlfn.IFS(B761&gt;=t,"C",B761&gt;=t/2,"B",B761&gt;=t/4,"A",TRUE,"S"))</f>
        <v/>
      </c>
    </row>
    <row r="762">
      <c r="D762" s="8">
        <f>IF(OR(B762="",t=""),"",_xlfn.IFS(B762&gt;=t,"C",B762&gt;=t/2,"B",B762&gt;=t/4,"A",TRUE,"S"))</f>
        <v/>
      </c>
    </row>
    <row r="763">
      <c r="D763" s="8">
        <f>IF(OR(B763="",t=""),"",_xlfn.IFS(B763&gt;=t,"C",B763&gt;=t/2,"B",B763&gt;=t/4,"A",TRUE,"S"))</f>
        <v/>
      </c>
    </row>
    <row r="764">
      <c r="D764" s="8">
        <f>IF(OR(B764="",t=""),"",_xlfn.IFS(B764&gt;=t,"C",B764&gt;=t/2,"B",B764&gt;=t/4,"A",TRUE,"S"))</f>
        <v/>
      </c>
    </row>
    <row r="765">
      <c r="D765" s="8">
        <f>IF(OR(B765="",t=""),"",_xlfn.IFS(B765&gt;=t,"C",B765&gt;=t/2,"B",B765&gt;=t/4,"A",TRUE,"S"))</f>
        <v/>
      </c>
    </row>
    <row r="766">
      <c r="D766" s="8">
        <f>IF(OR(B766="",t=""),"",_xlfn.IFS(B766&gt;=t,"C",B766&gt;=t/2,"B",B766&gt;=t/4,"A",TRUE,"S"))</f>
        <v/>
      </c>
    </row>
    <row r="767">
      <c r="D767" s="8">
        <f>IF(OR(B767="",t=""),"",_xlfn.IFS(B767&gt;=t,"C",B767&gt;=t/2,"B",B767&gt;=t/4,"A",TRUE,"S"))</f>
        <v/>
      </c>
    </row>
    <row r="768">
      <c r="D768" s="8">
        <f>IF(OR(B768="",t=""),"",_xlfn.IFS(B768&gt;=t,"C",B768&gt;=t/2,"B",B768&gt;=t/4,"A",TRUE,"S"))</f>
        <v/>
      </c>
    </row>
    <row r="769">
      <c r="D769" s="8">
        <f>IF(OR(B769="",t=""),"",_xlfn.IFS(B769&gt;=t,"C",B769&gt;=t/2,"B",B769&gt;=t/4,"A",TRUE,"S"))</f>
        <v/>
      </c>
    </row>
    <row r="770">
      <c r="D770" s="8">
        <f>IF(OR(B770="",t=""),"",_xlfn.IFS(B770&gt;=t,"C",B770&gt;=t/2,"B",B770&gt;=t/4,"A",TRUE,"S"))</f>
        <v/>
      </c>
    </row>
    <row r="771">
      <c r="D771" s="8">
        <f>IF(OR(B771="",t=""),"",_xlfn.IFS(B771&gt;=t,"C",B771&gt;=t/2,"B",B771&gt;=t/4,"A",TRUE,"S"))</f>
        <v/>
      </c>
    </row>
    <row r="772">
      <c r="D772" s="8">
        <f>IF(OR(B772="",t=""),"",_xlfn.IFS(B772&gt;=t,"C",B772&gt;=t/2,"B",B772&gt;=t/4,"A",TRUE,"S"))</f>
        <v/>
      </c>
    </row>
    <row r="773">
      <c r="D773" s="8">
        <f>IF(OR(B773="",t=""),"",_xlfn.IFS(B773&gt;=t,"C",B773&gt;=t/2,"B",B773&gt;=t/4,"A",TRUE,"S"))</f>
        <v/>
      </c>
    </row>
    <row r="774">
      <c r="D774" s="8">
        <f>IF(OR(B774="",t=""),"",_xlfn.IFS(B774&gt;=t,"C",B774&gt;=t/2,"B",B774&gt;=t/4,"A",TRUE,"S"))</f>
        <v/>
      </c>
    </row>
    <row r="775">
      <c r="D775" s="8">
        <f>IF(OR(B775="",t=""),"",_xlfn.IFS(B775&gt;=t,"C",B775&gt;=t/2,"B",B775&gt;=t/4,"A",TRUE,"S"))</f>
        <v/>
      </c>
    </row>
    <row r="776">
      <c r="D776" s="8">
        <f>IF(OR(B776="",t=""),"",_xlfn.IFS(B776&gt;=t,"C",B776&gt;=t/2,"B",B776&gt;=t/4,"A",TRUE,"S"))</f>
        <v/>
      </c>
    </row>
    <row r="777">
      <c r="D777" s="8">
        <f>IF(OR(B777="",t=""),"",_xlfn.IFS(B777&gt;=t,"C",B777&gt;=t/2,"B",B777&gt;=t/4,"A",TRUE,"S"))</f>
        <v/>
      </c>
    </row>
    <row r="778">
      <c r="D778" s="8">
        <f>IF(OR(B778="",t=""),"",_xlfn.IFS(B778&gt;=t,"C",B778&gt;=t/2,"B",B778&gt;=t/4,"A",TRUE,"S"))</f>
        <v/>
      </c>
    </row>
    <row r="779">
      <c r="D779" s="8">
        <f>IF(OR(B779="",t=""),"",_xlfn.IFS(B779&gt;=t,"C",B779&gt;=t/2,"B",B779&gt;=t/4,"A",TRUE,"S"))</f>
        <v/>
      </c>
    </row>
    <row r="780">
      <c r="D780" s="8">
        <f>IF(OR(B780="",t=""),"",_xlfn.IFS(B780&gt;=t,"C",B780&gt;=t/2,"B",B780&gt;=t/4,"A",TRUE,"S"))</f>
        <v/>
      </c>
    </row>
    <row r="781">
      <c r="D781" s="8">
        <f>IF(OR(B781="",t=""),"",_xlfn.IFS(B781&gt;=t,"C",B781&gt;=t/2,"B",B781&gt;=t/4,"A",TRUE,"S"))</f>
        <v/>
      </c>
    </row>
    <row r="782">
      <c r="D782" s="8">
        <f>IF(OR(B782="",t=""),"",_xlfn.IFS(B782&gt;=t,"C",B782&gt;=t/2,"B",B782&gt;=t/4,"A",TRUE,"S"))</f>
        <v/>
      </c>
    </row>
    <row r="783">
      <c r="D783" s="8">
        <f>IF(OR(B783="",t=""),"",_xlfn.IFS(B783&gt;=t,"C",B783&gt;=t/2,"B",B783&gt;=t/4,"A",TRUE,"S"))</f>
        <v/>
      </c>
    </row>
    <row r="784">
      <c r="D784" s="8">
        <f>IF(OR(B784="",t=""),"",_xlfn.IFS(B784&gt;=t,"C",B784&gt;=t/2,"B",B784&gt;=t/4,"A",TRUE,"S"))</f>
        <v/>
      </c>
    </row>
    <row r="785">
      <c r="D785" s="8">
        <f>IF(OR(B785="",t=""),"",_xlfn.IFS(B785&gt;=t,"C",B785&gt;=t/2,"B",B785&gt;=t/4,"A",TRUE,"S"))</f>
        <v/>
      </c>
    </row>
    <row r="786">
      <c r="D786" s="8">
        <f>IF(OR(B786="",t=""),"",_xlfn.IFS(B786&gt;=t,"C",B786&gt;=t/2,"B",B786&gt;=t/4,"A",TRUE,"S"))</f>
        <v/>
      </c>
    </row>
    <row r="787">
      <c r="D787" s="8">
        <f>IF(OR(B787="",t=""),"",_xlfn.IFS(B787&gt;=t,"C",B787&gt;=t/2,"B",B787&gt;=t/4,"A",TRUE,"S"))</f>
        <v/>
      </c>
    </row>
    <row r="788">
      <c r="D788" s="8">
        <f>IF(OR(B788="",t=""),"",_xlfn.IFS(B788&gt;=t,"C",B788&gt;=t/2,"B",B788&gt;=t/4,"A",TRUE,"S"))</f>
        <v/>
      </c>
    </row>
    <row r="789">
      <c r="D789" s="8">
        <f>IF(OR(B789="",t=""),"",_xlfn.IFS(B789&gt;=t,"C",B789&gt;=t/2,"B",B789&gt;=t/4,"A",TRUE,"S"))</f>
        <v/>
      </c>
    </row>
    <row r="790">
      <c r="D790" s="8">
        <f>IF(OR(B790="",t=""),"",_xlfn.IFS(B790&gt;=t,"C",B790&gt;=t/2,"B",B790&gt;=t/4,"A",TRUE,"S"))</f>
        <v/>
      </c>
    </row>
    <row r="791">
      <c r="D791" s="8">
        <f>IF(OR(B791="",t=""),"",_xlfn.IFS(B791&gt;=t,"C",B791&gt;=t/2,"B",B791&gt;=t/4,"A",TRUE,"S"))</f>
        <v/>
      </c>
    </row>
    <row r="792">
      <c r="D792" s="8">
        <f>IF(OR(B792="",t=""),"",_xlfn.IFS(B792&gt;=t,"C",B792&gt;=t/2,"B",B792&gt;=t/4,"A",TRUE,"S"))</f>
        <v/>
      </c>
    </row>
    <row r="793">
      <c r="D793" s="8">
        <f>IF(OR(B793="",t=""),"",_xlfn.IFS(B793&gt;=t,"C",B793&gt;=t/2,"B",B793&gt;=t/4,"A",TRUE,"S"))</f>
        <v/>
      </c>
    </row>
    <row r="794">
      <c r="D794" s="8">
        <f>IF(OR(B794="",t=""),"",_xlfn.IFS(B794&gt;=t,"C",B794&gt;=t/2,"B",B794&gt;=t/4,"A",TRUE,"S"))</f>
        <v/>
      </c>
    </row>
    <row r="795">
      <c r="D795" s="8">
        <f>IF(OR(B795="",t=""),"",_xlfn.IFS(B795&gt;=t,"C",B795&gt;=t/2,"B",B795&gt;=t/4,"A",TRUE,"S"))</f>
        <v/>
      </c>
    </row>
    <row r="796">
      <c r="D796" s="8">
        <f>IF(OR(B796="",t=""),"",_xlfn.IFS(B796&gt;=t,"C",B796&gt;=t/2,"B",B796&gt;=t/4,"A",TRUE,"S"))</f>
        <v/>
      </c>
    </row>
    <row r="797">
      <c r="D797" s="8">
        <f>IF(OR(B797="",t=""),"",_xlfn.IFS(B797&gt;=t,"C",B797&gt;=t/2,"B",B797&gt;=t/4,"A",TRUE,"S"))</f>
        <v/>
      </c>
    </row>
    <row r="798">
      <c r="D798" s="8">
        <f>IF(OR(B798="",t=""),"",_xlfn.IFS(B798&gt;=t,"C",B798&gt;=t/2,"B",B798&gt;=t/4,"A",TRUE,"S"))</f>
        <v/>
      </c>
    </row>
    <row r="799">
      <c r="D799" s="8">
        <f>IF(OR(B799="",t=""),"",_xlfn.IFS(B799&gt;=t,"C",B799&gt;=t/2,"B",B799&gt;=t/4,"A",TRUE,"S"))</f>
        <v/>
      </c>
    </row>
    <row r="800">
      <c r="D800" s="8">
        <f>IF(OR(B800="",t=""),"",_xlfn.IFS(B800&gt;=t,"C",B800&gt;=t/2,"B",B800&gt;=t/4,"A",TRUE,"S"))</f>
        <v/>
      </c>
    </row>
    <row r="801">
      <c r="D801" s="8">
        <f>IF(OR(B801="",t=""),"",_xlfn.IFS(B801&gt;=t,"C",B801&gt;=t/2,"B",B801&gt;=t/4,"A",TRUE,"S"))</f>
        <v/>
      </c>
    </row>
    <row r="802">
      <c r="D802" s="8">
        <f>IF(OR(B802="",t=""),"",_xlfn.IFS(B802&gt;=t,"C",B802&gt;=t/2,"B",B802&gt;=t/4,"A",TRUE,"S"))</f>
        <v/>
      </c>
    </row>
    <row r="803">
      <c r="D803" s="8">
        <f>IF(OR(B803="",t=""),"",_xlfn.IFS(B803&gt;=t,"C",B803&gt;=t/2,"B",B803&gt;=t/4,"A",TRUE,"S"))</f>
        <v/>
      </c>
    </row>
    <row r="804">
      <c r="D804" s="8">
        <f>IF(OR(B804="",t=""),"",_xlfn.IFS(B804&gt;=t,"C",B804&gt;=t/2,"B",B804&gt;=t/4,"A",TRUE,"S"))</f>
        <v/>
      </c>
    </row>
    <row r="805">
      <c r="D805" s="8">
        <f>IF(OR(B805="",t=""),"",_xlfn.IFS(B805&gt;=t,"C",B805&gt;=t/2,"B",B805&gt;=t/4,"A",TRUE,"S"))</f>
        <v/>
      </c>
    </row>
    <row r="806">
      <c r="D806" s="8">
        <f>IF(OR(B806="",t=""),"",_xlfn.IFS(B806&gt;=t,"C",B806&gt;=t/2,"B",B806&gt;=t/4,"A",TRUE,"S"))</f>
        <v/>
      </c>
    </row>
    <row r="807">
      <c r="D807" s="8">
        <f>IF(OR(B807="",t=""),"",_xlfn.IFS(B807&gt;=t,"C",B807&gt;=t/2,"B",B807&gt;=t/4,"A",TRUE,"S"))</f>
        <v/>
      </c>
    </row>
    <row r="808">
      <c r="D808" s="8">
        <f>IF(OR(B808="",t=""),"",_xlfn.IFS(B808&gt;=t,"C",B808&gt;=t/2,"B",B808&gt;=t/4,"A",TRUE,"S"))</f>
        <v/>
      </c>
    </row>
    <row r="809">
      <c r="D809" s="8">
        <f>IF(OR(B809="",t=""),"",_xlfn.IFS(B809&gt;=t,"C",B809&gt;=t/2,"B",B809&gt;=t/4,"A",TRUE,"S"))</f>
        <v/>
      </c>
    </row>
    <row r="810">
      <c r="D810" s="8">
        <f>IF(OR(B810="",t=""),"",_xlfn.IFS(B810&gt;=t,"C",B810&gt;=t/2,"B",B810&gt;=t/4,"A",TRUE,"S"))</f>
        <v/>
      </c>
    </row>
    <row r="811">
      <c r="D811" s="8">
        <f>IF(OR(B811="",t=""),"",_xlfn.IFS(B811&gt;=t,"C",B811&gt;=t/2,"B",B811&gt;=t/4,"A",TRUE,"S"))</f>
        <v/>
      </c>
    </row>
    <row r="812">
      <c r="D812" s="8">
        <f>IF(OR(B812="",t=""),"",_xlfn.IFS(B812&gt;=t,"C",B812&gt;=t/2,"B",B812&gt;=t/4,"A",TRUE,"S"))</f>
        <v/>
      </c>
    </row>
    <row r="813">
      <c r="D813" s="8">
        <f>IF(OR(B813="",t=""),"",_xlfn.IFS(B813&gt;=t,"C",B813&gt;=t/2,"B",B813&gt;=t/4,"A",TRUE,"S"))</f>
        <v/>
      </c>
    </row>
    <row r="814">
      <c r="D814" s="8">
        <f>IF(OR(B814="",t=""),"",_xlfn.IFS(B814&gt;=t,"C",B814&gt;=t/2,"B",B814&gt;=t/4,"A",TRUE,"S"))</f>
        <v/>
      </c>
    </row>
    <row r="815">
      <c r="D815" s="8">
        <f>IF(OR(B815="",t=""),"",_xlfn.IFS(B815&gt;=t,"C",B815&gt;=t/2,"B",B815&gt;=t/4,"A",TRUE,"S"))</f>
        <v/>
      </c>
    </row>
    <row r="816">
      <c r="D816" s="8">
        <f>IF(OR(B816="",t=""),"",_xlfn.IFS(B816&gt;=t,"C",B816&gt;=t/2,"B",B816&gt;=t/4,"A",TRUE,"S"))</f>
        <v/>
      </c>
    </row>
    <row r="817">
      <c r="D817" s="8">
        <f>IF(OR(B817="",t=""),"",_xlfn.IFS(B817&gt;=t,"C",B817&gt;=t/2,"B",B817&gt;=t/4,"A",TRUE,"S"))</f>
        <v/>
      </c>
    </row>
    <row r="818">
      <c r="D818" s="8">
        <f>IF(OR(B818="",t=""),"",_xlfn.IFS(B818&gt;=t,"C",B818&gt;=t/2,"B",B818&gt;=t/4,"A",TRUE,"S"))</f>
        <v/>
      </c>
    </row>
    <row r="819">
      <c r="D819" s="8">
        <f>IF(OR(B819="",t=""),"",_xlfn.IFS(B819&gt;=t,"C",B819&gt;=t/2,"B",B819&gt;=t/4,"A",TRUE,"S"))</f>
        <v/>
      </c>
    </row>
    <row r="820">
      <c r="D820" s="8">
        <f>IF(OR(B820="",t=""),"",_xlfn.IFS(B820&gt;=t,"C",B820&gt;=t/2,"B",B820&gt;=t/4,"A",TRUE,"S"))</f>
        <v/>
      </c>
    </row>
    <row r="821">
      <c r="D821" s="8">
        <f>IF(OR(B821="",t=""),"",_xlfn.IFS(B821&gt;=t,"C",B821&gt;=t/2,"B",B821&gt;=t/4,"A",TRUE,"S"))</f>
        <v/>
      </c>
    </row>
    <row r="822">
      <c r="D822" s="8">
        <f>IF(OR(B822="",t=""),"",_xlfn.IFS(B822&gt;=t,"C",B822&gt;=t/2,"B",B822&gt;=t/4,"A",TRUE,"S"))</f>
        <v/>
      </c>
    </row>
    <row r="823">
      <c r="D823" s="8">
        <f>IF(OR(B823="",t=""),"",_xlfn.IFS(B823&gt;=t,"C",B823&gt;=t/2,"B",B823&gt;=t/4,"A",TRUE,"S"))</f>
        <v/>
      </c>
    </row>
    <row r="824">
      <c r="D824" s="8">
        <f>IF(OR(B824="",t=""),"",_xlfn.IFS(B824&gt;=t,"C",B824&gt;=t/2,"B",B824&gt;=t/4,"A",TRUE,"S"))</f>
        <v/>
      </c>
    </row>
    <row r="825">
      <c r="D825" s="8">
        <f>IF(OR(B825="",t=""),"",_xlfn.IFS(B825&gt;=t,"C",B825&gt;=t/2,"B",B825&gt;=t/4,"A",TRUE,"S"))</f>
        <v/>
      </c>
    </row>
    <row r="826">
      <c r="D826" s="8">
        <f>IF(OR(B826="",t=""),"",_xlfn.IFS(B826&gt;=t,"C",B826&gt;=t/2,"B",B826&gt;=t/4,"A",TRUE,"S"))</f>
        <v/>
      </c>
    </row>
    <row r="827">
      <c r="D827" s="8">
        <f>IF(OR(B827="",t=""),"",_xlfn.IFS(B827&gt;=t,"C",B827&gt;=t/2,"B",B827&gt;=t/4,"A",TRUE,"S"))</f>
        <v/>
      </c>
    </row>
    <row r="828">
      <c r="D828" s="8">
        <f>IF(OR(B828="",t=""),"",_xlfn.IFS(B828&gt;=t,"C",B828&gt;=t/2,"B",B828&gt;=t/4,"A",TRUE,"S"))</f>
        <v/>
      </c>
    </row>
    <row r="829">
      <c r="D829" s="8">
        <f>IF(OR(B829="",t=""),"",_xlfn.IFS(B829&gt;=t,"C",B829&gt;=t/2,"B",B829&gt;=t/4,"A",TRUE,"S"))</f>
        <v/>
      </c>
    </row>
    <row r="830">
      <c r="D830" s="8">
        <f>IF(OR(B830="",t=""),"",_xlfn.IFS(B830&gt;=t,"C",B830&gt;=t/2,"B",B830&gt;=t/4,"A",TRUE,"S"))</f>
        <v/>
      </c>
    </row>
    <row r="831">
      <c r="D831" s="8">
        <f>IF(OR(B831="",t=""),"",_xlfn.IFS(B831&gt;=t,"C",B831&gt;=t/2,"B",B831&gt;=t/4,"A",TRUE,"S"))</f>
        <v/>
      </c>
    </row>
    <row r="832">
      <c r="D832" s="8">
        <f>IF(OR(B832="",t=""),"",_xlfn.IFS(B832&gt;=t,"C",B832&gt;=t/2,"B",B832&gt;=t/4,"A",TRUE,"S"))</f>
        <v/>
      </c>
    </row>
    <row r="833">
      <c r="D833" s="8">
        <f>IF(OR(B833="",t=""),"",_xlfn.IFS(B833&gt;=t,"C",B833&gt;=t/2,"B",B833&gt;=t/4,"A",TRUE,"S"))</f>
        <v/>
      </c>
    </row>
    <row r="834">
      <c r="D834" s="8">
        <f>IF(OR(B834="",t=""),"",_xlfn.IFS(B834&gt;=t,"C",B834&gt;=t/2,"B",B834&gt;=t/4,"A",TRUE,"S"))</f>
        <v/>
      </c>
    </row>
    <row r="835">
      <c r="D835" s="8">
        <f>IF(OR(B835="",t=""),"",_xlfn.IFS(B835&gt;=t,"C",B835&gt;=t/2,"B",B835&gt;=t/4,"A",TRUE,"S"))</f>
        <v/>
      </c>
    </row>
    <row r="836">
      <c r="D836" s="8">
        <f>IF(OR(B836="",t=""),"",_xlfn.IFS(B836&gt;=t,"C",B836&gt;=t/2,"B",B836&gt;=t/4,"A",TRUE,"S"))</f>
        <v/>
      </c>
    </row>
    <row r="837">
      <c r="D837" s="8">
        <f>IF(OR(B837="",t=""),"",_xlfn.IFS(B837&gt;=t,"C",B837&gt;=t/2,"B",B837&gt;=t/4,"A",TRUE,"S"))</f>
        <v/>
      </c>
    </row>
    <row r="838">
      <c r="D838" s="8">
        <f>IF(OR(B838="",t=""),"",_xlfn.IFS(B838&gt;=t,"C",B838&gt;=t/2,"B",B838&gt;=t/4,"A",TRUE,"S"))</f>
        <v/>
      </c>
    </row>
    <row r="839">
      <c r="D839" s="8">
        <f>IF(OR(B839="",t=""),"",_xlfn.IFS(B839&gt;=t,"C",B839&gt;=t/2,"B",B839&gt;=t/4,"A",TRUE,"S"))</f>
        <v/>
      </c>
    </row>
    <row r="840">
      <c r="D840" s="8">
        <f>IF(OR(B840="",t=""),"",_xlfn.IFS(B840&gt;=t,"C",B840&gt;=t/2,"B",B840&gt;=t/4,"A",TRUE,"S"))</f>
        <v/>
      </c>
    </row>
    <row r="841">
      <c r="D841" s="8">
        <f>IF(OR(B841="",t=""),"",_xlfn.IFS(B841&gt;=t,"C",B841&gt;=t/2,"B",B841&gt;=t/4,"A",TRUE,"S"))</f>
        <v/>
      </c>
    </row>
    <row r="842">
      <c r="D842" s="8">
        <f>IF(OR(B842="",t=""),"",_xlfn.IFS(B842&gt;=t,"C",B842&gt;=t/2,"B",B842&gt;=t/4,"A",TRUE,"S"))</f>
        <v/>
      </c>
    </row>
    <row r="843">
      <c r="D843" s="8">
        <f>IF(OR(B843="",t=""),"",_xlfn.IFS(B843&gt;=t,"C",B843&gt;=t/2,"B",B843&gt;=t/4,"A",TRUE,"S"))</f>
        <v/>
      </c>
    </row>
    <row r="844">
      <c r="D844" s="8">
        <f>IF(OR(B844="",t=""),"",_xlfn.IFS(B844&gt;=t,"C",B844&gt;=t/2,"B",B844&gt;=t/4,"A",TRUE,"S"))</f>
        <v/>
      </c>
    </row>
    <row r="845">
      <c r="D845" s="8">
        <f>IF(OR(B845="",t=""),"",_xlfn.IFS(B845&gt;=t,"C",B845&gt;=t/2,"B",B845&gt;=t/4,"A",TRUE,"S"))</f>
        <v/>
      </c>
    </row>
    <row r="846">
      <c r="D846" s="8">
        <f>IF(OR(B846="",t=""),"",_xlfn.IFS(B846&gt;=t,"C",B846&gt;=t/2,"B",B846&gt;=t/4,"A",TRUE,"S"))</f>
        <v/>
      </c>
    </row>
    <row r="847">
      <c r="D847" s="8">
        <f>IF(OR(B847="",t=""),"",_xlfn.IFS(B847&gt;=t,"C",B847&gt;=t/2,"B",B847&gt;=t/4,"A",TRUE,"S"))</f>
        <v/>
      </c>
    </row>
    <row r="848">
      <c r="D848" s="8">
        <f>IF(OR(B848="",t=""),"",_xlfn.IFS(B848&gt;=t,"C",B848&gt;=t/2,"B",B848&gt;=t/4,"A",TRUE,"S"))</f>
        <v/>
      </c>
    </row>
    <row r="849">
      <c r="D849" s="8">
        <f>IF(OR(B849="",t=""),"",_xlfn.IFS(B849&gt;=t,"C",B849&gt;=t/2,"B",B849&gt;=t/4,"A",TRUE,"S"))</f>
        <v/>
      </c>
    </row>
    <row r="850">
      <c r="D850" s="8">
        <f>IF(OR(B850="",t=""),"",_xlfn.IFS(B850&gt;=t,"C",B850&gt;=t/2,"B",B850&gt;=t/4,"A",TRUE,"S"))</f>
        <v/>
      </c>
    </row>
    <row r="851">
      <c r="D851" s="8">
        <f>IF(OR(B851="",t=""),"",_xlfn.IFS(B851&gt;=t,"C",B851&gt;=t/2,"B",B851&gt;=t/4,"A",TRUE,"S"))</f>
        <v/>
      </c>
    </row>
    <row r="852">
      <c r="D852" s="8">
        <f>IF(OR(B852="",t=""),"",_xlfn.IFS(B852&gt;=t,"C",B852&gt;=t/2,"B",B852&gt;=t/4,"A",TRUE,"S"))</f>
        <v/>
      </c>
    </row>
    <row r="853">
      <c r="D853" s="8">
        <f>IF(OR(B853="",t=""),"",_xlfn.IFS(B853&gt;=t,"C",B853&gt;=t/2,"B",B853&gt;=t/4,"A",TRUE,"S"))</f>
        <v/>
      </c>
    </row>
    <row r="854">
      <c r="D854" s="8">
        <f>IF(OR(B854="",t=""),"",_xlfn.IFS(B854&gt;=t,"C",B854&gt;=t/2,"B",B854&gt;=t/4,"A",TRUE,"S"))</f>
        <v/>
      </c>
    </row>
    <row r="855">
      <c r="D855" s="8">
        <f>IF(OR(B855="",t=""),"",_xlfn.IFS(B855&gt;=t,"C",B855&gt;=t/2,"B",B855&gt;=t/4,"A",TRUE,"S"))</f>
        <v/>
      </c>
    </row>
    <row r="856">
      <c r="D856" s="8">
        <f>IF(OR(B856="",t=""),"",_xlfn.IFS(B856&gt;=t,"C",B856&gt;=t/2,"B",B856&gt;=t/4,"A",TRUE,"S"))</f>
        <v/>
      </c>
    </row>
    <row r="857">
      <c r="D857" s="8">
        <f>IF(OR(B857="",t=""),"",_xlfn.IFS(B857&gt;=t,"C",B857&gt;=t/2,"B",B857&gt;=t/4,"A",TRUE,"S"))</f>
        <v/>
      </c>
    </row>
    <row r="858">
      <c r="D858" s="8">
        <f>IF(OR(B858="",t=""),"",_xlfn.IFS(B858&gt;=t,"C",B858&gt;=t/2,"B",B858&gt;=t/4,"A",TRUE,"S"))</f>
        <v/>
      </c>
    </row>
    <row r="859">
      <c r="D859" s="8">
        <f>IF(OR(B859="",t=""),"",_xlfn.IFS(B859&gt;=t,"C",B859&gt;=t/2,"B",B859&gt;=t/4,"A",TRUE,"S"))</f>
        <v/>
      </c>
    </row>
    <row r="860">
      <c r="D860" s="8">
        <f>IF(OR(B860="",t=""),"",_xlfn.IFS(B860&gt;=t,"C",B860&gt;=t/2,"B",B860&gt;=t/4,"A",TRUE,"S"))</f>
        <v/>
      </c>
    </row>
    <row r="861">
      <c r="D861" s="8">
        <f>IF(OR(B861="",t=""),"",_xlfn.IFS(B861&gt;=t,"C",B861&gt;=t/2,"B",B861&gt;=t/4,"A",TRUE,"S"))</f>
        <v/>
      </c>
    </row>
    <row r="862">
      <c r="D862" s="8">
        <f>IF(OR(B862="",t=""),"",_xlfn.IFS(B862&gt;=t,"C",B862&gt;=t/2,"B",B862&gt;=t/4,"A",TRUE,"S"))</f>
        <v/>
      </c>
    </row>
    <row r="863">
      <c r="D863" s="8">
        <f>IF(OR(B863="",t=""),"",_xlfn.IFS(B863&gt;=t,"C",B863&gt;=t/2,"B",B863&gt;=t/4,"A",TRUE,"S"))</f>
        <v/>
      </c>
    </row>
    <row r="864">
      <c r="D864" s="8">
        <f>IF(OR(B864="",t=""),"",_xlfn.IFS(B864&gt;=t,"C",B864&gt;=t/2,"B",B864&gt;=t/4,"A",TRUE,"S"))</f>
        <v/>
      </c>
    </row>
    <row r="865">
      <c r="D865" s="8">
        <f>IF(OR(B865="",t=""),"",_xlfn.IFS(B865&gt;=t,"C",B865&gt;=t/2,"B",B865&gt;=t/4,"A",TRUE,"S"))</f>
        <v/>
      </c>
    </row>
    <row r="866">
      <c r="D866" s="8">
        <f>IF(OR(B866="",t=""),"",_xlfn.IFS(B866&gt;=t,"C",B866&gt;=t/2,"B",B866&gt;=t/4,"A",TRUE,"S"))</f>
        <v/>
      </c>
    </row>
    <row r="867">
      <c r="D867" s="8">
        <f>IF(OR(B867="",t=""),"",_xlfn.IFS(B867&gt;=t,"C",B867&gt;=t/2,"B",B867&gt;=t/4,"A",TRUE,"S"))</f>
        <v/>
      </c>
    </row>
    <row r="868">
      <c r="D868" s="8">
        <f>IF(OR(B868="",t=""),"",_xlfn.IFS(B868&gt;=t,"C",B868&gt;=t/2,"B",B868&gt;=t/4,"A",TRUE,"S"))</f>
        <v/>
      </c>
    </row>
    <row r="869">
      <c r="D869" s="8">
        <f>IF(OR(B869="",t=""),"",_xlfn.IFS(B869&gt;=t,"C",B869&gt;=t/2,"B",B869&gt;=t/4,"A",TRUE,"S"))</f>
        <v/>
      </c>
    </row>
    <row r="870">
      <c r="D870" s="8">
        <f>IF(OR(B870="",t=""),"",_xlfn.IFS(B870&gt;=t,"C",B870&gt;=t/2,"B",B870&gt;=t/4,"A",TRUE,"S"))</f>
        <v/>
      </c>
    </row>
    <row r="871">
      <c r="D871" s="8">
        <f>IF(OR(B871="",t=""),"",_xlfn.IFS(B871&gt;=t,"C",B871&gt;=t/2,"B",B871&gt;=t/4,"A",TRUE,"S"))</f>
        <v/>
      </c>
    </row>
    <row r="872">
      <c r="D872" s="8">
        <f>IF(OR(B872="",t=""),"",_xlfn.IFS(B872&gt;=t,"C",B872&gt;=t/2,"B",B872&gt;=t/4,"A",TRUE,"S"))</f>
        <v/>
      </c>
    </row>
    <row r="873">
      <c r="D873" s="8">
        <f>IF(OR(B873="",t=""),"",_xlfn.IFS(B873&gt;=t,"C",B873&gt;=t/2,"B",B873&gt;=t/4,"A",TRUE,"S"))</f>
        <v/>
      </c>
    </row>
    <row r="874">
      <c r="D874" s="8">
        <f>IF(OR(B874="",t=""),"",_xlfn.IFS(B874&gt;=t,"C",B874&gt;=t/2,"B",B874&gt;=t/4,"A",TRUE,"S"))</f>
        <v/>
      </c>
    </row>
    <row r="875">
      <c r="D875" s="8">
        <f>IF(OR(B875="",t=""),"",_xlfn.IFS(B875&gt;=t,"C",B875&gt;=t/2,"B",B875&gt;=t/4,"A",TRUE,"S"))</f>
        <v/>
      </c>
    </row>
    <row r="876">
      <c r="D876" s="8">
        <f>IF(OR(B876="",t=""),"",_xlfn.IFS(B876&gt;=t,"C",B876&gt;=t/2,"B",B876&gt;=t/4,"A",TRUE,"S"))</f>
        <v/>
      </c>
    </row>
    <row r="877">
      <c r="D877" s="8">
        <f>IF(OR(B877="",t=""),"",_xlfn.IFS(B877&gt;=t,"C",B877&gt;=t/2,"B",B877&gt;=t/4,"A",TRUE,"S"))</f>
        <v/>
      </c>
    </row>
    <row r="878">
      <c r="D878" s="8">
        <f>IF(OR(B878="",t=""),"",_xlfn.IFS(B878&gt;=t,"C",B878&gt;=t/2,"B",B878&gt;=t/4,"A",TRUE,"S"))</f>
        <v/>
      </c>
    </row>
    <row r="879">
      <c r="D879" s="8">
        <f>IF(OR(B879="",t=""),"",_xlfn.IFS(B879&gt;=t,"C",B879&gt;=t/2,"B",B879&gt;=t/4,"A",TRUE,"S"))</f>
        <v/>
      </c>
    </row>
    <row r="880">
      <c r="D880" s="8">
        <f>IF(OR(B880="",t=""),"",_xlfn.IFS(B880&gt;=t,"C",B880&gt;=t/2,"B",B880&gt;=t/4,"A",TRUE,"S"))</f>
        <v/>
      </c>
    </row>
    <row r="881">
      <c r="D881" s="8">
        <f>IF(OR(B881="",t=""),"",_xlfn.IFS(B881&gt;=t,"C",B881&gt;=t/2,"B",B881&gt;=t/4,"A",TRUE,"S"))</f>
        <v/>
      </c>
    </row>
    <row r="882">
      <c r="D882" s="8">
        <f>IF(OR(B882="",t=""),"",_xlfn.IFS(B882&gt;=t,"C",B882&gt;=t/2,"B",B882&gt;=t/4,"A",TRUE,"S"))</f>
        <v/>
      </c>
    </row>
    <row r="883">
      <c r="D883" s="8">
        <f>IF(OR(B883="",t=""),"",_xlfn.IFS(B883&gt;=t,"C",B883&gt;=t/2,"B",B883&gt;=t/4,"A",TRUE,"S"))</f>
        <v/>
      </c>
    </row>
    <row r="884">
      <c r="D884" s="8">
        <f>IF(OR(B884="",t=""),"",_xlfn.IFS(B884&gt;=t,"C",B884&gt;=t/2,"B",B884&gt;=t/4,"A",TRUE,"S"))</f>
        <v/>
      </c>
    </row>
    <row r="885">
      <c r="D885" s="8">
        <f>IF(OR(B885="",t=""),"",_xlfn.IFS(B885&gt;=t,"C",B885&gt;=t/2,"B",B885&gt;=t/4,"A",TRUE,"S"))</f>
        <v/>
      </c>
    </row>
    <row r="886">
      <c r="D886" s="8">
        <f>IF(OR(B886="",t=""),"",_xlfn.IFS(B886&gt;=t,"C",B886&gt;=t/2,"B",B886&gt;=t/4,"A",TRUE,"S"))</f>
        <v/>
      </c>
    </row>
    <row r="887">
      <c r="D887" s="8">
        <f>IF(OR(B887="",t=""),"",_xlfn.IFS(B887&gt;=t,"C",B887&gt;=t/2,"B",B887&gt;=t/4,"A",TRUE,"S"))</f>
        <v/>
      </c>
    </row>
    <row r="888">
      <c r="D888" s="8">
        <f>IF(OR(B888="",t=""),"",_xlfn.IFS(B888&gt;=t,"C",B888&gt;=t/2,"B",B888&gt;=t/4,"A",TRUE,"S"))</f>
        <v/>
      </c>
    </row>
    <row r="889">
      <c r="D889" s="8">
        <f>IF(OR(B889="",t=""),"",_xlfn.IFS(B889&gt;=t,"C",B889&gt;=t/2,"B",B889&gt;=t/4,"A",TRUE,"S"))</f>
        <v/>
      </c>
    </row>
    <row r="890">
      <c r="D890" s="8">
        <f>IF(OR(B890="",t=""),"",_xlfn.IFS(B890&gt;=t,"C",B890&gt;=t/2,"B",B890&gt;=t/4,"A",TRUE,"S"))</f>
        <v/>
      </c>
    </row>
    <row r="891">
      <c r="D891" s="8">
        <f>IF(OR(B891="",t=""),"",_xlfn.IFS(B891&gt;=t,"C",B891&gt;=t/2,"B",B891&gt;=t/4,"A",TRUE,"S"))</f>
        <v/>
      </c>
    </row>
    <row r="892">
      <c r="D892" s="8">
        <f>IF(OR(B892="",t=""),"",_xlfn.IFS(B892&gt;=t,"C",B892&gt;=t/2,"B",B892&gt;=t/4,"A",TRUE,"S"))</f>
        <v/>
      </c>
    </row>
    <row r="893">
      <c r="D893" s="8">
        <f>IF(OR(B893="",t=""),"",_xlfn.IFS(B893&gt;=t,"C",B893&gt;=t/2,"B",B893&gt;=t/4,"A",TRUE,"S"))</f>
        <v/>
      </c>
    </row>
    <row r="894">
      <c r="D894" s="8">
        <f>IF(OR(B894="",t=""),"",_xlfn.IFS(B894&gt;=t,"C",B894&gt;=t/2,"B",B894&gt;=t/4,"A",TRUE,"S"))</f>
        <v/>
      </c>
    </row>
    <row r="895">
      <c r="D895" s="8">
        <f>IF(OR(B895="",t=""),"",_xlfn.IFS(B895&gt;=t,"C",B895&gt;=t/2,"B",B895&gt;=t/4,"A",TRUE,"S"))</f>
        <v/>
      </c>
    </row>
    <row r="896">
      <c r="D896" s="8">
        <f>IF(OR(B896="",t=""),"",_xlfn.IFS(B896&gt;=t,"C",B896&gt;=t/2,"B",B896&gt;=t/4,"A",TRUE,"S"))</f>
        <v/>
      </c>
    </row>
    <row r="897">
      <c r="D897" s="8">
        <f>IF(OR(B897="",t=""),"",_xlfn.IFS(B897&gt;=t,"C",B897&gt;=t/2,"B",B897&gt;=t/4,"A",TRUE,"S"))</f>
        <v/>
      </c>
    </row>
    <row r="898">
      <c r="D898" s="8">
        <f>IF(OR(B898="",t=""),"",_xlfn.IFS(B898&gt;=t,"C",B898&gt;=t/2,"B",B898&gt;=t/4,"A",TRUE,"S"))</f>
        <v/>
      </c>
    </row>
    <row r="899">
      <c r="D899" s="8">
        <f>IF(OR(B899="",t=""),"",_xlfn.IFS(B899&gt;=t,"C",B899&gt;=t/2,"B",B899&gt;=t/4,"A",TRUE,"S"))</f>
        <v/>
      </c>
    </row>
    <row r="900">
      <c r="D900" s="8">
        <f>IF(OR(B900="",t=""),"",_xlfn.IFS(B900&gt;=t,"C",B900&gt;=t/2,"B",B900&gt;=t/4,"A",TRUE,"S"))</f>
        <v/>
      </c>
    </row>
    <row r="901">
      <c r="D901" s="8">
        <f>IF(OR(B901="",t=""),"",_xlfn.IFS(B901&gt;=t,"C",B901&gt;=t/2,"B",B901&gt;=t/4,"A",TRUE,"S"))</f>
        <v/>
      </c>
    </row>
    <row r="902">
      <c r="D902" s="8">
        <f>IF(OR(B902="",t=""),"",_xlfn.IFS(B902&gt;=t,"C",B902&gt;=t/2,"B",B902&gt;=t/4,"A",TRUE,"S"))</f>
        <v/>
      </c>
    </row>
    <row r="903">
      <c r="D903" s="8">
        <f>IF(OR(B903="",t=""),"",_xlfn.IFS(B903&gt;=t,"C",B903&gt;=t/2,"B",B903&gt;=t/4,"A",TRUE,"S"))</f>
        <v/>
      </c>
    </row>
    <row r="904">
      <c r="D904" s="8">
        <f>IF(OR(B904="",t=""),"",_xlfn.IFS(B904&gt;=t,"C",B904&gt;=t/2,"B",B904&gt;=t/4,"A",TRUE,"S"))</f>
        <v/>
      </c>
    </row>
    <row r="905">
      <c r="D905" s="8">
        <f>IF(OR(B905="",t=""),"",_xlfn.IFS(B905&gt;=t,"C",B905&gt;=t/2,"B",B905&gt;=t/4,"A",TRUE,"S"))</f>
        <v/>
      </c>
    </row>
    <row r="906">
      <c r="D906" s="8">
        <f>IF(OR(B906="",t=""),"",_xlfn.IFS(B906&gt;=t,"C",B906&gt;=t/2,"B",B906&gt;=t/4,"A",TRUE,"S"))</f>
        <v/>
      </c>
    </row>
    <row r="907">
      <c r="D907" s="8">
        <f>IF(OR(B907="",t=""),"",_xlfn.IFS(B907&gt;=t,"C",B907&gt;=t/2,"B",B907&gt;=t/4,"A",TRUE,"S"))</f>
        <v/>
      </c>
    </row>
    <row r="908">
      <c r="D908" s="8">
        <f>IF(OR(B908="",t=""),"",_xlfn.IFS(B908&gt;=t,"C",B908&gt;=t/2,"B",B908&gt;=t/4,"A",TRUE,"S"))</f>
        <v/>
      </c>
    </row>
    <row r="909">
      <c r="D909" s="8">
        <f>IF(OR(B909="",t=""),"",_xlfn.IFS(B909&gt;=t,"C",B909&gt;=t/2,"B",B909&gt;=t/4,"A",TRUE,"S"))</f>
        <v/>
      </c>
    </row>
    <row r="910">
      <c r="D910" s="8">
        <f>IF(OR(B910="",t=""),"",_xlfn.IFS(B910&gt;=t,"C",B910&gt;=t/2,"B",B910&gt;=t/4,"A",TRUE,"S"))</f>
        <v/>
      </c>
    </row>
    <row r="911">
      <c r="D911" s="8">
        <f>IF(OR(B911="",t=""),"",_xlfn.IFS(B911&gt;=t,"C",B911&gt;=t/2,"B",B911&gt;=t/4,"A",TRUE,"S"))</f>
        <v/>
      </c>
    </row>
    <row r="912">
      <c r="D912" s="8">
        <f>IF(OR(B912="",t=""),"",_xlfn.IFS(B912&gt;=t,"C",B912&gt;=t/2,"B",B912&gt;=t/4,"A",TRUE,"S"))</f>
        <v/>
      </c>
    </row>
    <row r="913">
      <c r="D913" s="8">
        <f>IF(OR(B913="",t=""),"",_xlfn.IFS(B913&gt;=t,"C",B913&gt;=t/2,"B",B913&gt;=t/4,"A",TRUE,"S"))</f>
        <v/>
      </c>
    </row>
    <row r="914">
      <c r="D914" s="8">
        <f>IF(OR(B914="",t=""),"",_xlfn.IFS(B914&gt;=t,"C",B914&gt;=t/2,"B",B914&gt;=t/4,"A",TRUE,"S"))</f>
        <v/>
      </c>
    </row>
    <row r="915">
      <c r="D915" s="8">
        <f>IF(OR(B915="",t=""),"",_xlfn.IFS(B915&gt;=t,"C",B915&gt;=t/2,"B",B915&gt;=t/4,"A",TRUE,"S"))</f>
        <v/>
      </c>
    </row>
    <row r="916">
      <c r="D916" s="8">
        <f>IF(OR(B916="",t=""),"",_xlfn.IFS(B916&gt;=t,"C",B916&gt;=t/2,"B",B916&gt;=t/4,"A",TRUE,"S"))</f>
        <v/>
      </c>
    </row>
    <row r="917">
      <c r="D917" s="8">
        <f>IF(OR(B917="",t=""),"",_xlfn.IFS(B917&gt;=t,"C",B917&gt;=t/2,"B",B917&gt;=t/4,"A",TRUE,"S"))</f>
        <v/>
      </c>
    </row>
    <row r="918">
      <c r="D918" s="8">
        <f>IF(OR(B918="",t=""),"",_xlfn.IFS(B918&gt;=t,"C",B918&gt;=t/2,"B",B918&gt;=t/4,"A",TRUE,"S"))</f>
        <v/>
      </c>
    </row>
    <row r="919">
      <c r="D919" s="8">
        <f>IF(OR(B919="",t=""),"",_xlfn.IFS(B919&gt;=t,"C",B919&gt;=t/2,"B",B919&gt;=t/4,"A",TRUE,"S"))</f>
        <v/>
      </c>
    </row>
    <row r="920">
      <c r="D920" s="8">
        <f>IF(OR(B920="",t=""),"",_xlfn.IFS(B920&gt;=t,"C",B920&gt;=t/2,"B",B920&gt;=t/4,"A",TRUE,"S"))</f>
        <v/>
      </c>
    </row>
    <row r="921">
      <c r="D921" s="8">
        <f>IF(OR(B921="",t=""),"",_xlfn.IFS(B921&gt;=t,"C",B921&gt;=t/2,"B",B921&gt;=t/4,"A",TRUE,"S"))</f>
        <v/>
      </c>
    </row>
    <row r="922">
      <c r="D922" s="8">
        <f>IF(OR(B922="",t=""),"",_xlfn.IFS(B922&gt;=t,"C",B922&gt;=t/2,"B",B922&gt;=t/4,"A",TRUE,"S"))</f>
        <v/>
      </c>
    </row>
    <row r="923">
      <c r="D923" s="8">
        <f>IF(OR(B923="",t=""),"",_xlfn.IFS(B923&gt;=t,"C",B923&gt;=t/2,"B",B923&gt;=t/4,"A",TRUE,"S"))</f>
        <v/>
      </c>
    </row>
    <row r="924">
      <c r="D924" s="8">
        <f>IF(OR(B924="",t=""),"",_xlfn.IFS(B924&gt;=t,"C",B924&gt;=t/2,"B",B924&gt;=t/4,"A",TRUE,"S"))</f>
        <v/>
      </c>
    </row>
    <row r="925">
      <c r="D925" s="8">
        <f>IF(OR(B925="",t=""),"",_xlfn.IFS(B925&gt;=t,"C",B925&gt;=t/2,"B",B925&gt;=t/4,"A",TRUE,"S"))</f>
        <v/>
      </c>
    </row>
    <row r="926">
      <c r="D926" s="8">
        <f>IF(OR(B926="",t=""),"",_xlfn.IFS(B926&gt;=t,"C",B926&gt;=t/2,"B",B926&gt;=t/4,"A",TRUE,"S"))</f>
        <v/>
      </c>
    </row>
    <row r="927">
      <c r="D927" s="8">
        <f>IF(OR(B927="",t=""),"",_xlfn.IFS(B927&gt;=t,"C",B927&gt;=t/2,"B",B927&gt;=t/4,"A",TRUE,"S"))</f>
        <v/>
      </c>
    </row>
    <row r="928">
      <c r="D928" s="8">
        <f>IF(OR(B928="",t=""),"",_xlfn.IFS(B928&gt;=t,"C",B928&gt;=t/2,"B",B928&gt;=t/4,"A",TRUE,"S"))</f>
        <v/>
      </c>
    </row>
    <row r="929">
      <c r="D929" s="8">
        <f>IF(OR(B929="",t=""),"",_xlfn.IFS(B929&gt;=t,"C",B929&gt;=t/2,"B",B929&gt;=t/4,"A",TRUE,"S"))</f>
        <v/>
      </c>
    </row>
    <row r="930">
      <c r="D930" s="8">
        <f>IF(OR(B930="",t=""),"",_xlfn.IFS(B930&gt;=t,"C",B930&gt;=t/2,"B",B930&gt;=t/4,"A",TRUE,"S"))</f>
        <v/>
      </c>
    </row>
    <row r="931">
      <c r="D931" s="8">
        <f>IF(OR(B931="",t=""),"",_xlfn.IFS(B931&gt;=t,"C",B931&gt;=t/2,"B",B931&gt;=t/4,"A",TRUE,"S"))</f>
        <v/>
      </c>
    </row>
    <row r="932">
      <c r="D932" s="8">
        <f>IF(OR(B932="",t=""),"",_xlfn.IFS(B932&gt;=t,"C",B932&gt;=t/2,"B",B932&gt;=t/4,"A",TRUE,"S"))</f>
        <v/>
      </c>
    </row>
    <row r="933">
      <c r="D933" s="8">
        <f>IF(OR(B933="",t=""),"",_xlfn.IFS(B933&gt;=t,"C",B933&gt;=t/2,"B",B933&gt;=t/4,"A",TRUE,"S"))</f>
        <v/>
      </c>
    </row>
    <row r="934">
      <c r="D934" s="8">
        <f>IF(OR(B934="",t=""),"",_xlfn.IFS(B934&gt;=t,"C",B934&gt;=t/2,"B",B934&gt;=t/4,"A",TRUE,"S"))</f>
        <v/>
      </c>
    </row>
    <row r="935">
      <c r="D935" s="8">
        <f>IF(OR(B935="",t=""),"",_xlfn.IFS(B935&gt;=t,"C",B935&gt;=t/2,"B",B935&gt;=t/4,"A",TRUE,"S"))</f>
        <v/>
      </c>
    </row>
    <row r="936">
      <c r="D936" s="8">
        <f>IF(OR(B936="",t=""),"",_xlfn.IFS(B936&gt;=t,"C",B936&gt;=t/2,"B",B936&gt;=t/4,"A",TRUE,"S"))</f>
        <v/>
      </c>
    </row>
    <row r="937">
      <c r="D937" s="8">
        <f>IF(OR(B937="",t=""),"",_xlfn.IFS(B937&gt;=t,"C",B937&gt;=t/2,"B",B937&gt;=t/4,"A",TRUE,"S"))</f>
        <v/>
      </c>
    </row>
    <row r="938">
      <c r="D938" s="8">
        <f>IF(OR(B938="",t=""),"",_xlfn.IFS(B938&gt;=t,"C",B938&gt;=t/2,"B",B938&gt;=t/4,"A",TRUE,"S"))</f>
        <v/>
      </c>
    </row>
    <row r="939">
      <c r="D939" s="8">
        <f>IF(OR(B939="",t=""),"",_xlfn.IFS(B939&gt;=t,"C",B939&gt;=t/2,"B",B939&gt;=t/4,"A",TRUE,"S"))</f>
        <v/>
      </c>
    </row>
    <row r="940">
      <c r="D940" s="8">
        <f>IF(OR(B940="",t=""),"",_xlfn.IFS(B940&gt;=t,"C",B940&gt;=t/2,"B",B940&gt;=t/4,"A",TRUE,"S"))</f>
        <v/>
      </c>
    </row>
    <row r="941">
      <c r="D941" s="8">
        <f>IF(OR(B941="",t=""),"",_xlfn.IFS(B941&gt;=t,"C",B941&gt;=t/2,"B",B941&gt;=t/4,"A",TRUE,"S"))</f>
        <v/>
      </c>
    </row>
    <row r="942">
      <c r="D942" s="8">
        <f>IF(OR(B942="",t=""),"",_xlfn.IFS(B942&gt;=t,"C",B942&gt;=t/2,"B",B942&gt;=t/4,"A",TRUE,"S"))</f>
        <v/>
      </c>
    </row>
    <row r="943">
      <c r="D943" s="8">
        <f>IF(OR(B943="",t=""),"",_xlfn.IFS(B943&gt;=t,"C",B943&gt;=t/2,"B",B943&gt;=t/4,"A",TRUE,"S"))</f>
        <v/>
      </c>
    </row>
    <row r="944">
      <c r="D944" s="8">
        <f>IF(OR(B944="",t=""),"",_xlfn.IFS(B944&gt;=t,"C",B944&gt;=t/2,"B",B944&gt;=t/4,"A",TRUE,"S"))</f>
        <v/>
      </c>
    </row>
    <row r="945">
      <c r="D945" s="8">
        <f>IF(OR(B945="",t=""),"",_xlfn.IFS(B945&gt;=t,"C",B945&gt;=t/2,"B",B945&gt;=t/4,"A",TRUE,"S"))</f>
        <v/>
      </c>
    </row>
    <row r="946">
      <c r="D946" s="8">
        <f>IF(OR(B946="",t=""),"",_xlfn.IFS(B946&gt;=t,"C",B946&gt;=t/2,"B",B946&gt;=t/4,"A",TRUE,"S"))</f>
        <v/>
      </c>
    </row>
    <row r="947">
      <c r="D947" s="8">
        <f>IF(OR(B947="",t=""),"",_xlfn.IFS(B947&gt;=t,"C",B947&gt;=t/2,"B",B947&gt;=t/4,"A",TRUE,"S"))</f>
        <v/>
      </c>
    </row>
    <row r="948">
      <c r="D948" s="8">
        <f>IF(OR(B948="",t=""),"",_xlfn.IFS(B948&gt;=t,"C",B948&gt;=t/2,"B",B948&gt;=t/4,"A",TRUE,"S"))</f>
        <v/>
      </c>
    </row>
    <row r="949">
      <c r="D949" s="8">
        <f>IF(OR(B949="",t=""),"",_xlfn.IFS(B949&gt;=t,"C",B949&gt;=t/2,"B",B949&gt;=t/4,"A",TRUE,"S"))</f>
        <v/>
      </c>
    </row>
    <row r="950">
      <c r="D950" s="8">
        <f>IF(OR(B950="",t=""),"",_xlfn.IFS(B950&gt;=t,"C",B950&gt;=t/2,"B",B950&gt;=t/4,"A",TRUE,"S"))</f>
        <v/>
      </c>
    </row>
    <row r="951">
      <c r="D951" s="8">
        <f>IF(OR(B951="",t=""),"",_xlfn.IFS(B951&gt;=t,"C",B951&gt;=t/2,"B",B951&gt;=t/4,"A",TRUE,"S"))</f>
        <v/>
      </c>
    </row>
    <row r="952">
      <c r="D952" s="8">
        <f>IF(OR(B952="",t=""),"",_xlfn.IFS(B952&gt;=t,"C",B952&gt;=t/2,"B",B952&gt;=t/4,"A",TRUE,"S"))</f>
        <v/>
      </c>
    </row>
    <row r="953">
      <c r="D953" s="8">
        <f>IF(OR(B953="",t=""),"",_xlfn.IFS(B953&gt;=t,"C",B953&gt;=t/2,"B",B953&gt;=t/4,"A",TRUE,"S"))</f>
        <v/>
      </c>
    </row>
    <row r="954">
      <c r="D954" s="8">
        <f>IF(OR(B954="",t=""),"",_xlfn.IFS(B954&gt;=t,"C",B954&gt;=t/2,"B",B954&gt;=t/4,"A",TRUE,"S"))</f>
        <v/>
      </c>
    </row>
    <row r="955">
      <c r="D955" s="8">
        <f>IF(OR(B955="",t=""),"",_xlfn.IFS(B955&gt;=t,"C",B955&gt;=t/2,"B",B955&gt;=t/4,"A",TRUE,"S"))</f>
        <v/>
      </c>
    </row>
    <row r="956">
      <c r="D956" s="8">
        <f>IF(OR(B956="",t=""),"",_xlfn.IFS(B956&gt;=t,"C",B956&gt;=t/2,"B",B956&gt;=t/4,"A",TRUE,"S"))</f>
        <v/>
      </c>
    </row>
    <row r="957">
      <c r="D957" s="8">
        <f>IF(OR(B957="",t=""),"",_xlfn.IFS(B957&gt;=t,"C",B957&gt;=t/2,"B",B957&gt;=t/4,"A",TRUE,"S"))</f>
        <v/>
      </c>
    </row>
    <row r="958">
      <c r="D958" s="8">
        <f>IF(OR(B958="",t=""),"",_xlfn.IFS(B958&gt;=t,"C",B958&gt;=t/2,"B",B958&gt;=t/4,"A",TRUE,"S"))</f>
        <v/>
      </c>
    </row>
    <row r="959">
      <c r="D959" s="8">
        <f>IF(OR(B959="",t=""),"",_xlfn.IFS(B959&gt;=t,"C",B959&gt;=t/2,"B",B959&gt;=t/4,"A",TRUE,"S"))</f>
        <v/>
      </c>
    </row>
    <row r="960">
      <c r="D960" s="8">
        <f>IF(OR(B960="",t=""),"",_xlfn.IFS(B960&gt;=t,"C",B960&gt;=t/2,"B",B960&gt;=t/4,"A",TRUE,"S"))</f>
        <v/>
      </c>
    </row>
    <row r="961">
      <c r="D961" s="8">
        <f>IF(OR(B961="",t=""),"",_xlfn.IFS(B961&gt;=t,"C",B961&gt;=t/2,"B",B961&gt;=t/4,"A",TRUE,"S"))</f>
        <v/>
      </c>
    </row>
    <row r="962">
      <c r="D962" s="8">
        <f>IF(OR(B962="",t=""),"",_xlfn.IFS(B962&gt;=t,"C",B962&gt;=t/2,"B",B962&gt;=t/4,"A",TRUE,"S"))</f>
        <v/>
      </c>
    </row>
    <row r="963">
      <c r="D963" s="8">
        <f>IF(OR(B963="",t=""),"",_xlfn.IFS(B963&gt;=t,"C",B963&gt;=t/2,"B",B963&gt;=t/4,"A",TRUE,"S"))</f>
        <v/>
      </c>
    </row>
    <row r="964">
      <c r="D964" s="8">
        <f>IF(OR(B964="",t=""),"",_xlfn.IFS(B964&gt;=t,"C",B964&gt;=t/2,"B",B964&gt;=t/4,"A",TRUE,"S"))</f>
        <v/>
      </c>
    </row>
    <row r="965">
      <c r="D965" s="8">
        <f>IF(OR(B965="",t=""),"",_xlfn.IFS(B965&gt;=t,"C",B965&gt;=t/2,"B",B965&gt;=t/4,"A",TRUE,"S"))</f>
        <v/>
      </c>
    </row>
    <row r="966">
      <c r="D966" s="8">
        <f>IF(OR(B966="",t=""),"",_xlfn.IFS(B966&gt;=t,"C",B966&gt;=t/2,"B",B966&gt;=t/4,"A",TRUE,"S"))</f>
        <v/>
      </c>
    </row>
    <row r="967">
      <c r="D967" s="8">
        <f>IF(OR(B967="",t=""),"",_xlfn.IFS(B967&gt;=t,"C",B967&gt;=t/2,"B",B967&gt;=t/4,"A",TRUE,"S"))</f>
        <v/>
      </c>
    </row>
    <row r="968">
      <c r="D968" s="8">
        <f>IF(OR(B968="",t=""),"",_xlfn.IFS(B968&gt;=t,"C",B968&gt;=t/2,"B",B968&gt;=t/4,"A",TRUE,"S"))</f>
        <v/>
      </c>
    </row>
    <row r="969">
      <c r="D969" s="8">
        <f>IF(OR(B969="",t=""),"",_xlfn.IFS(B969&gt;=t,"C",B969&gt;=t/2,"B",B969&gt;=t/4,"A",TRUE,"S"))</f>
        <v/>
      </c>
    </row>
    <row r="970">
      <c r="D970" s="8">
        <f>IF(OR(B970="",t=""),"",_xlfn.IFS(B970&gt;=t,"C",B970&gt;=t/2,"B",B970&gt;=t/4,"A",TRUE,"S"))</f>
        <v/>
      </c>
    </row>
    <row r="971">
      <c r="D971" s="8">
        <f>IF(OR(B971="",t=""),"",_xlfn.IFS(B971&gt;=t,"C",B971&gt;=t/2,"B",B971&gt;=t/4,"A",TRUE,"S"))</f>
        <v/>
      </c>
    </row>
    <row r="972">
      <c r="D972" s="8">
        <f>IF(OR(B972="",t=""),"",_xlfn.IFS(B972&gt;=t,"C",B972&gt;=t/2,"B",B972&gt;=t/4,"A",TRUE,"S"))</f>
        <v/>
      </c>
    </row>
    <row r="973">
      <c r="D973" s="8">
        <f>IF(OR(B973="",t=""),"",_xlfn.IFS(B973&gt;=t,"C",B973&gt;=t/2,"B",B973&gt;=t/4,"A",TRUE,"S"))</f>
        <v/>
      </c>
    </row>
    <row r="974">
      <c r="D974" s="8">
        <f>IF(OR(B974="",t=""),"",_xlfn.IFS(B974&gt;=t,"C",B974&gt;=t/2,"B",B974&gt;=t/4,"A",TRUE,"S"))</f>
        <v/>
      </c>
    </row>
    <row r="975">
      <c r="D975" s="8">
        <f>IF(OR(B975="",t=""),"",_xlfn.IFS(B975&gt;=t,"C",B975&gt;=t/2,"B",B975&gt;=t/4,"A",TRUE,"S"))</f>
        <v/>
      </c>
    </row>
    <row r="976">
      <c r="D976" s="8">
        <f>IF(OR(B976="",t=""),"",_xlfn.IFS(B976&gt;=t,"C",B976&gt;=t/2,"B",B976&gt;=t/4,"A",TRUE,"S"))</f>
        <v/>
      </c>
    </row>
    <row r="977">
      <c r="D977" s="8">
        <f>IF(OR(B977="",t=""),"",_xlfn.IFS(B977&gt;=t,"C",B977&gt;=t/2,"B",B977&gt;=t/4,"A",TRUE,"S"))</f>
        <v/>
      </c>
    </row>
    <row r="978">
      <c r="D978" s="8">
        <f>IF(OR(B978="",t=""),"",_xlfn.IFS(B978&gt;=t,"C",B978&gt;=t/2,"B",B978&gt;=t/4,"A",TRUE,"S"))</f>
        <v/>
      </c>
    </row>
    <row r="979">
      <c r="D979" s="8">
        <f>IF(OR(B979="",t=""),"",_xlfn.IFS(B979&gt;=t,"C",B979&gt;=t/2,"B",B979&gt;=t/4,"A",TRUE,"S"))</f>
        <v/>
      </c>
    </row>
    <row r="980">
      <c r="D980" s="8">
        <f>IF(OR(B980="",t=""),"",_xlfn.IFS(B980&gt;=t,"C",B980&gt;=t/2,"B",B980&gt;=t/4,"A",TRUE,"S"))</f>
        <v/>
      </c>
    </row>
    <row r="981">
      <c r="D981" s="8">
        <f>IF(OR(B981="",t=""),"",_xlfn.IFS(B981&gt;=t,"C",B981&gt;=t/2,"B",B981&gt;=t/4,"A",TRUE,"S"))</f>
        <v/>
      </c>
    </row>
    <row r="982">
      <c r="D982" s="8">
        <f>IF(OR(B982="",t=""),"",_xlfn.IFS(B982&gt;=t,"C",B982&gt;=t/2,"B",B982&gt;=t/4,"A",TRUE,"S"))</f>
        <v/>
      </c>
    </row>
    <row r="983">
      <c r="D983" s="8">
        <f>IF(OR(B983="",t=""),"",_xlfn.IFS(B983&gt;=t,"C",B983&gt;=t/2,"B",B983&gt;=t/4,"A",TRUE,"S"))</f>
        <v/>
      </c>
    </row>
    <row r="984">
      <c r="D984" s="8">
        <f>IF(OR(B984="",t=""),"",_xlfn.IFS(B984&gt;=t,"C",B984&gt;=t/2,"B",B984&gt;=t/4,"A",TRUE,"S"))</f>
        <v/>
      </c>
    </row>
    <row r="985">
      <c r="D985" s="8">
        <f>IF(OR(B985="",t=""),"",_xlfn.IFS(B985&gt;=t,"C",B985&gt;=t/2,"B",B985&gt;=t/4,"A",TRUE,"S"))</f>
        <v/>
      </c>
    </row>
    <row r="986">
      <c r="D986" s="8">
        <f>IF(OR(B986="",t=""),"",_xlfn.IFS(B986&gt;=t,"C",B986&gt;=t/2,"B",B986&gt;=t/4,"A",TRUE,"S"))</f>
        <v/>
      </c>
    </row>
    <row r="987">
      <c r="D987" s="8">
        <f>IF(OR(B987="",t=""),"",_xlfn.IFS(B987&gt;=t,"C",B987&gt;=t/2,"B",B987&gt;=t/4,"A",TRUE,"S"))</f>
        <v/>
      </c>
    </row>
    <row r="988">
      <c r="D988" s="8">
        <f>IF(OR(B988="",t=""),"",_xlfn.IFS(B988&gt;=t,"C",B988&gt;=t/2,"B",B988&gt;=t/4,"A",TRUE,"S"))</f>
        <v/>
      </c>
    </row>
    <row r="989">
      <c r="D989" s="8">
        <f>IF(OR(B989="",t=""),"",_xlfn.IFS(B989&gt;=t,"C",B989&gt;=t/2,"B",B989&gt;=t/4,"A",TRUE,"S"))</f>
        <v/>
      </c>
    </row>
    <row r="990">
      <c r="D990" s="8">
        <f>IF(OR(B990="",t=""),"",_xlfn.IFS(B990&gt;=t,"C",B990&gt;=t/2,"B",B990&gt;=t/4,"A",TRUE,"S"))</f>
        <v/>
      </c>
    </row>
    <row r="991">
      <c r="D991" s="8">
        <f>IF(OR(B991="",t=""),"",_xlfn.IFS(B991&gt;=t,"C",B991&gt;=t/2,"B",B991&gt;=t/4,"A",TRUE,"S"))</f>
        <v/>
      </c>
    </row>
    <row r="992">
      <c r="D992" s="8">
        <f>IF(OR(B992="",t=""),"",_xlfn.IFS(B992&gt;=t,"C",B992&gt;=t/2,"B",B992&gt;=t/4,"A",TRUE,"S"))</f>
        <v/>
      </c>
    </row>
    <row r="993">
      <c r="D993" s="8">
        <f>IF(OR(B993="",t=""),"",_xlfn.IFS(B993&gt;=t,"C",B993&gt;=t/2,"B",B993&gt;=t/4,"A",TRUE,"S"))</f>
        <v/>
      </c>
    </row>
    <row r="994">
      <c r="D994" s="8">
        <f>IF(OR(B994="",t=""),"",_xlfn.IFS(B994&gt;=t,"C",B994&gt;=t/2,"B",B994&gt;=t/4,"A",TRUE,"S"))</f>
        <v/>
      </c>
    </row>
    <row r="995">
      <c r="D995" s="8">
        <f>IF(OR(B995="",t=""),"",_xlfn.IFS(B995&gt;=t,"C",B995&gt;=t/2,"B",B995&gt;=t/4,"A",TRUE,"S"))</f>
        <v/>
      </c>
    </row>
    <row r="996">
      <c r="D996" s="8">
        <f>IF(OR(B996="",t=""),"",_xlfn.IFS(B996&gt;=t,"C",B996&gt;=t/2,"B",B996&gt;=t/4,"A",TRUE,"S"))</f>
        <v/>
      </c>
    </row>
    <row r="997">
      <c r="D997" s="8">
        <f>IF(OR(B997="",t=""),"",_xlfn.IFS(B997&gt;=t,"C",B997&gt;=t/2,"B",B997&gt;=t/4,"A",TRUE,"S"))</f>
        <v/>
      </c>
    </row>
    <row r="998">
      <c r="D998" s="8">
        <f>IF(OR(B998="",t=""),"",_xlfn.IFS(B998&gt;=t,"C",B998&gt;=t/2,"B",B998&gt;=t/4,"A",TRUE,"S"))</f>
        <v/>
      </c>
    </row>
    <row r="999">
      <c r="D999" s="8">
        <f>IF(OR(B999="",t=""),"",_xlfn.IFS(B999&gt;=t,"C",B999&gt;=t/2,"B",B999&gt;=t/4,"A",TRUE,"S"))</f>
        <v/>
      </c>
    </row>
    <row r="1000">
      <c r="D1000" s="8">
        <f>IF(OR(B1000="",t=""),"",_xlfn.IFS(B1000&gt;=t,"C",B1000&gt;=t/2,"B",B1000&gt;=t/4,"A",TRUE,"S"))</f>
        <v/>
      </c>
    </row>
    <row r="1001">
      <c r="D1001" s="8">
        <f>IF(OR(B1001="",t=""),"",_xlfn.IFS(B1001&gt;=t,"C",B1001&gt;=t/2,"B",B1001&gt;=t/4,"A",TRUE,"S"))</f>
        <v/>
      </c>
    </row>
    <row r="1002">
      <c r="D1002" s="8">
        <f>IF(OR(B1002="",t=""),"",_xlfn.IFS(B1002&gt;=t,"C",B1002&gt;=t/2,"B",B1002&gt;=t/4,"A",TRUE,"S"))</f>
        <v/>
      </c>
    </row>
    <row r="1003">
      <c r="D1003" s="8">
        <f>IF(OR(B1003="",t=""),"",_xlfn.IFS(B1003&gt;=t,"C",B1003&gt;=t/2,"B",B1003&gt;=t/4,"A",TRUE,"S"))</f>
        <v/>
      </c>
    </row>
    <row r="1004">
      <c r="D1004" s="8">
        <f>IF(OR(B1004="",t=""),"",_xlfn.IFS(B1004&gt;=t,"C",B1004&gt;=t/2,"B",B1004&gt;=t/4,"A",TRUE,"S"))</f>
        <v/>
      </c>
    </row>
    <row r="1005">
      <c r="D1005" s="8">
        <f>IF(OR(B1005="",t=""),"",_xlfn.IFS(B1005&gt;=t,"C",B1005&gt;=t/2,"B",B1005&gt;=t/4,"A",TRUE,"S"))</f>
        <v/>
      </c>
    </row>
    <row r="1006">
      <c r="D1006" s="8">
        <f>IF(OR(B1006="",t=""),"",_xlfn.IFS(B1006&gt;=t,"C",B1006&gt;=t/2,"B",B1006&gt;=t/4,"A",TRUE,"S"))</f>
        <v/>
      </c>
    </row>
    <row r="1007">
      <c r="D1007" s="8">
        <f>IF(OR(B1007="",t=""),"",_xlfn.IFS(B1007&gt;=t,"C",B1007&gt;=t/2,"B",B1007&gt;=t/4,"A",TRUE,"S"))</f>
        <v/>
      </c>
    </row>
    <row r="1008">
      <c r="D1008" s="8">
        <f>IF(OR(B1008="",t=""),"",_xlfn.IFS(B1008&gt;=t,"C",B1008&gt;=t/2,"B",B1008&gt;=t/4,"A",TRUE,"S"))</f>
        <v/>
      </c>
    </row>
    <row r="1009">
      <c r="D1009" s="8">
        <f>IF(OR(B1009="",t=""),"",_xlfn.IFS(B1009&gt;=t,"C",B1009&gt;=t/2,"B",B1009&gt;=t/4,"A",TRUE,"S"))</f>
        <v/>
      </c>
    </row>
    <row r="1010">
      <c r="D1010" s="8">
        <f>IF(OR(B1010="",t=""),"",_xlfn.IFS(B1010&gt;=t,"C",B1010&gt;=t/2,"B",B1010&gt;=t/4,"A",TRUE,"S"))</f>
        <v/>
      </c>
    </row>
    <row r="1011">
      <c r="D1011" s="8">
        <f>IF(OR(B1011="",t=""),"",_xlfn.IFS(B1011&gt;=t,"C",B1011&gt;=t/2,"B",B1011&gt;=t/4,"A",TRUE,"S"))</f>
        <v/>
      </c>
    </row>
    <row r="1012">
      <c r="D1012" s="8">
        <f>IF(OR(B1012="",t=""),"",_xlfn.IFS(B1012&gt;=t,"C",B1012&gt;=t/2,"B",B1012&gt;=t/4,"A",TRUE,"S"))</f>
        <v/>
      </c>
    </row>
    <row r="1013">
      <c r="D1013" s="8">
        <f>IF(OR(B1013="",t=""),"",_xlfn.IFS(B1013&gt;=t,"C",B1013&gt;=t/2,"B",B1013&gt;=t/4,"A",TRUE,"S"))</f>
        <v/>
      </c>
    </row>
    <row r="1014">
      <c r="D1014" s="8">
        <f>IF(OR(B1014="",t=""),"",_xlfn.IFS(B1014&gt;=t,"C",B1014&gt;=t/2,"B",B1014&gt;=t/4,"A",TRUE,"S"))</f>
        <v/>
      </c>
    </row>
    <row r="1015">
      <c r="D1015" s="8">
        <f>IF(OR(B1015="",t=""),"",_xlfn.IFS(B1015&gt;=t,"C",B1015&gt;=t/2,"B",B1015&gt;=t/4,"A",TRUE,"S"))</f>
        <v/>
      </c>
    </row>
    <row r="1016">
      <c r="D1016" s="8">
        <f>IF(OR(B1016="",t=""),"",_xlfn.IFS(B1016&gt;=t,"C",B1016&gt;=t/2,"B",B1016&gt;=t/4,"A",TRUE,"S"))</f>
        <v/>
      </c>
    </row>
    <row r="1017">
      <c r="D1017" s="8">
        <f>IF(OR(B1017="",t=""),"",_xlfn.IFS(B1017&gt;=t,"C",B1017&gt;=t/2,"B",B1017&gt;=t/4,"A",TRUE,"S"))</f>
        <v/>
      </c>
    </row>
    <row r="1018">
      <c r="D1018" s="8">
        <f>IF(OR(B1018="",t=""),"",_xlfn.IFS(B1018&gt;=t,"C",B1018&gt;=t/2,"B",B1018&gt;=t/4,"A",TRUE,"S"))</f>
        <v/>
      </c>
    </row>
    <row r="1019">
      <c r="D1019" s="8">
        <f>IF(OR(B1019="",t=""),"",_xlfn.IFS(B1019&gt;=t,"C",B1019&gt;=t/2,"B",B1019&gt;=t/4,"A",TRUE,"S"))</f>
        <v/>
      </c>
    </row>
    <row r="1020">
      <c r="D1020" s="8">
        <f>IF(OR(B1020="",t=""),"",_xlfn.IFS(B1020&gt;=t,"C",B1020&gt;=t/2,"B",B1020&gt;=t/4,"A",TRUE,"S"))</f>
        <v/>
      </c>
    </row>
    <row r="1021">
      <c r="D1021" s="8">
        <f>IF(OR(B1021="",t=""),"",_xlfn.IFS(B1021&gt;=t,"C",B1021&gt;=t/2,"B",B1021&gt;=t/4,"A",TRUE,"S"))</f>
        <v/>
      </c>
    </row>
    <row r="1022">
      <c r="D1022" s="8">
        <f>IF(OR(B1022="",t=""),"",_xlfn.IFS(B1022&gt;=t,"C",B1022&gt;=t/2,"B",B1022&gt;=t/4,"A",TRUE,"S"))</f>
        <v/>
      </c>
    </row>
    <row r="1023">
      <c r="D1023" s="8">
        <f>IF(OR(B1023="",t=""),"",_xlfn.IFS(B1023&gt;=t,"C",B1023&gt;=t/2,"B",B1023&gt;=t/4,"A",TRUE,"S"))</f>
        <v/>
      </c>
    </row>
    <row r="1024">
      <c r="D1024" s="8">
        <f>IF(OR(B1024="",t=""),"",_xlfn.IFS(B1024&gt;=t,"C",B1024&gt;=t/2,"B",B1024&gt;=t/4,"A",TRUE,"S"))</f>
        <v/>
      </c>
    </row>
    <row r="1025">
      <c r="D1025" s="8">
        <f>IF(OR(B1025="",t=""),"",_xlfn.IFS(B1025&gt;=t,"C",B1025&gt;=t/2,"B",B1025&gt;=t/4,"A",TRUE,"S"))</f>
        <v/>
      </c>
    </row>
    <row r="1026">
      <c r="D1026" s="8">
        <f>IF(OR(B1026="",t=""),"",_xlfn.IFS(B1026&gt;=t,"C",B1026&gt;=t/2,"B",B1026&gt;=t/4,"A",TRUE,"S"))</f>
        <v/>
      </c>
    </row>
    <row r="1027">
      <c r="D1027" s="8">
        <f>IF(OR(B1027="",t=""),"",_xlfn.IFS(B1027&gt;=t,"C",B1027&gt;=t/2,"B",B1027&gt;=t/4,"A",TRUE,"S"))</f>
        <v/>
      </c>
    </row>
    <row r="1028">
      <c r="D1028" s="8">
        <f>IF(OR(B1028="",t=""),"",_xlfn.IFS(B1028&gt;=t,"C",B1028&gt;=t/2,"B",B1028&gt;=t/4,"A",TRUE,"S"))</f>
        <v/>
      </c>
    </row>
    <row r="1029">
      <c r="D1029" s="8">
        <f>IF(OR(B1029="",t=""),"",_xlfn.IFS(B1029&gt;=t,"C",B1029&gt;=t/2,"B",B1029&gt;=t/4,"A",TRUE,"S"))</f>
        <v/>
      </c>
    </row>
    <row r="1030">
      <c r="D1030" s="8">
        <f>IF(OR(B1030="",t=""),"",_xlfn.IFS(B1030&gt;=t,"C",B1030&gt;=t/2,"B",B1030&gt;=t/4,"A",TRUE,"S"))</f>
        <v/>
      </c>
    </row>
    <row r="1031">
      <c r="D1031" s="8">
        <f>IF(OR(B1031="",t=""),"",_xlfn.IFS(B1031&gt;=t,"C",B1031&gt;=t/2,"B",B1031&gt;=t/4,"A",TRUE,"S"))</f>
        <v/>
      </c>
    </row>
    <row r="1032">
      <c r="D1032" s="8">
        <f>IF(OR(B1032="",t=""),"",_xlfn.IFS(B1032&gt;=t,"C",B1032&gt;=t/2,"B",B1032&gt;=t/4,"A",TRUE,"S"))</f>
        <v/>
      </c>
    </row>
    <row r="1033">
      <c r="D1033" s="8">
        <f>IF(OR(B1033="",t=""),"",_xlfn.IFS(B1033&gt;=t,"C",B1033&gt;=t/2,"B",B1033&gt;=t/4,"A",TRUE,"S"))</f>
        <v/>
      </c>
    </row>
    <row r="1034">
      <c r="D1034" s="8">
        <f>IF(OR(B1034="",t=""),"",_xlfn.IFS(B1034&gt;=t,"C",B1034&gt;=t/2,"B",B1034&gt;=t/4,"A",TRUE,"S"))</f>
        <v/>
      </c>
    </row>
    <row r="1035">
      <c r="D1035" s="8">
        <f>IF(OR(B1035="",t=""),"",_xlfn.IFS(B1035&gt;=t,"C",B1035&gt;=t/2,"B",B1035&gt;=t/4,"A",TRUE,"S"))</f>
        <v/>
      </c>
    </row>
    <row r="1036">
      <c r="D1036" s="8">
        <f>IF(OR(B1036="",t=""),"",_xlfn.IFS(B1036&gt;=t,"C",B1036&gt;=t/2,"B",B1036&gt;=t/4,"A",TRUE,"S"))</f>
        <v/>
      </c>
    </row>
    <row r="1037">
      <c r="D1037" s="8">
        <f>IF(OR(B1037="",t=""),"",_xlfn.IFS(B1037&gt;=t,"C",B1037&gt;=t/2,"B",B1037&gt;=t/4,"A",TRUE,"S"))</f>
        <v/>
      </c>
    </row>
    <row r="1038">
      <c r="D1038" s="8">
        <f>IF(OR(B1038="",t=""),"",_xlfn.IFS(B1038&gt;=t,"C",B1038&gt;=t/2,"B",B1038&gt;=t/4,"A",TRUE,"S"))</f>
        <v/>
      </c>
    </row>
    <row r="1039">
      <c r="D1039" s="8">
        <f>IF(OR(B1039="",t=""),"",_xlfn.IFS(B1039&gt;=t,"C",B1039&gt;=t/2,"B",B1039&gt;=t/4,"A",TRUE,"S"))</f>
        <v/>
      </c>
    </row>
    <row r="1040">
      <c r="D1040" s="8">
        <f>IF(OR(B1040="",t=""),"",_xlfn.IFS(B1040&gt;=t,"C",B1040&gt;=t/2,"B",B1040&gt;=t/4,"A",TRUE,"S"))</f>
        <v/>
      </c>
    </row>
    <row r="1041">
      <c r="D1041" s="8">
        <f>IF(OR(B1041="",t=""),"",_xlfn.IFS(B1041&gt;=t,"C",B1041&gt;=t/2,"B",B1041&gt;=t/4,"A",TRUE,"S"))</f>
        <v/>
      </c>
    </row>
    <row r="1042">
      <c r="D1042" s="8">
        <f>IF(OR(B1042="",t=""),"",_xlfn.IFS(B1042&gt;=t,"C",B1042&gt;=t/2,"B",B1042&gt;=t/4,"A",TRUE,"S"))</f>
        <v/>
      </c>
    </row>
    <row r="1043">
      <c r="D1043" s="8">
        <f>IF(OR(B1043="",t=""),"",_xlfn.IFS(B1043&gt;=t,"C",B1043&gt;=t/2,"B",B1043&gt;=t/4,"A",TRUE,"S"))</f>
        <v/>
      </c>
    </row>
    <row r="1044">
      <c r="D1044" s="8">
        <f>IF(OR(B1044="",t=""),"",_xlfn.IFS(B1044&gt;=t,"C",B1044&gt;=t/2,"B",B1044&gt;=t/4,"A",TRUE,"S"))</f>
        <v/>
      </c>
    </row>
    <row r="1045">
      <c r="D1045" s="8">
        <f>IF(OR(B1045="",t=""),"",_xlfn.IFS(B1045&gt;=t,"C",B1045&gt;=t/2,"B",B1045&gt;=t/4,"A",TRUE,"S"))</f>
        <v/>
      </c>
    </row>
    <row r="1046">
      <c r="D1046" s="8">
        <f>IF(OR(B1046="",t=""),"",_xlfn.IFS(B1046&gt;=t,"C",B1046&gt;=t/2,"B",B1046&gt;=t/4,"A",TRUE,"S"))</f>
        <v/>
      </c>
    </row>
    <row r="1047">
      <c r="D1047" s="8">
        <f>IF(OR(B1047="",t=""),"",_xlfn.IFS(B1047&gt;=t,"C",B1047&gt;=t/2,"B",B1047&gt;=t/4,"A",TRUE,"S"))</f>
        <v/>
      </c>
    </row>
    <row r="1048">
      <c r="D1048" s="8">
        <f>IF(OR(B1048="",t=""),"",_xlfn.IFS(B1048&gt;=t,"C",B1048&gt;=t/2,"B",B1048&gt;=t/4,"A",TRUE,"S"))</f>
        <v/>
      </c>
    </row>
    <row r="1049">
      <c r="D1049" s="8">
        <f>IF(OR(B1049="",t=""),"",_xlfn.IFS(B1049&gt;=t,"C",B1049&gt;=t/2,"B",B1049&gt;=t/4,"A",TRUE,"S"))</f>
        <v/>
      </c>
    </row>
    <row r="1050">
      <c r="D1050" s="8">
        <f>IF(OR(B1050="",t=""),"",_xlfn.IFS(B1050&gt;=t,"C",B1050&gt;=t/2,"B",B1050&gt;=t/4,"A",TRUE,"S"))</f>
        <v/>
      </c>
    </row>
    <row r="1051">
      <c r="D1051" s="8">
        <f>IF(OR(B1051="",t=""),"",_xlfn.IFS(B1051&gt;=t,"C",B1051&gt;=t/2,"B",B1051&gt;=t/4,"A",TRUE,"S"))</f>
        <v/>
      </c>
    </row>
    <row r="1052">
      <c r="D1052" s="8">
        <f>IF(OR(B1052="",t=""),"",_xlfn.IFS(B1052&gt;=t,"C",B1052&gt;=t/2,"B",B1052&gt;=t/4,"A",TRUE,"S"))</f>
        <v/>
      </c>
    </row>
    <row r="1053">
      <c r="D1053" s="8">
        <f>IF(OR(B1053="",t=""),"",_xlfn.IFS(B1053&gt;=t,"C",B1053&gt;=t/2,"B",B1053&gt;=t/4,"A",TRUE,"S"))</f>
        <v/>
      </c>
    </row>
    <row r="1054">
      <c r="D1054" s="8">
        <f>IF(OR(B1054="",t=""),"",_xlfn.IFS(B1054&gt;=t,"C",B1054&gt;=t/2,"B",B1054&gt;=t/4,"A",TRUE,"S"))</f>
        <v/>
      </c>
    </row>
    <row r="1055">
      <c r="D1055" s="8">
        <f>IF(OR(B1055="",t=""),"",_xlfn.IFS(B1055&gt;=t,"C",B1055&gt;=t/2,"B",B1055&gt;=t/4,"A",TRUE,"S"))</f>
        <v/>
      </c>
    </row>
    <row r="1056">
      <c r="D1056" s="8">
        <f>IF(OR(B1056="",t=""),"",_xlfn.IFS(B1056&gt;=t,"C",B1056&gt;=t/2,"B",B1056&gt;=t/4,"A",TRUE,"S"))</f>
        <v/>
      </c>
    </row>
    <row r="1057">
      <c r="D1057" s="8">
        <f>IF(OR(B1057="",t=""),"",_xlfn.IFS(B1057&gt;=t,"C",B1057&gt;=t/2,"B",B1057&gt;=t/4,"A",TRUE,"S"))</f>
        <v/>
      </c>
    </row>
    <row r="1058">
      <c r="D1058" s="8">
        <f>IF(OR(B1058="",t=""),"",_xlfn.IFS(B1058&gt;=t,"C",B1058&gt;=t/2,"B",B1058&gt;=t/4,"A",TRUE,"S"))</f>
        <v/>
      </c>
    </row>
    <row r="1059">
      <c r="D1059" s="8">
        <f>IF(OR(B1059="",t=""),"",_xlfn.IFS(B1059&gt;=t,"C",B1059&gt;=t/2,"B",B1059&gt;=t/4,"A",TRUE,"S"))</f>
        <v/>
      </c>
    </row>
    <row r="1060">
      <c r="D1060" s="8">
        <f>IF(OR(B1060="",t=""),"",_xlfn.IFS(B1060&gt;=t,"C",B1060&gt;=t/2,"B",B1060&gt;=t/4,"A",TRUE,"S"))</f>
        <v/>
      </c>
    </row>
    <row r="1061">
      <c r="D1061" s="8">
        <f>IF(OR(B1061="",t=""),"",_xlfn.IFS(B1061&gt;=t,"C",B1061&gt;=t/2,"B",B1061&gt;=t/4,"A",TRUE,"S"))</f>
        <v/>
      </c>
    </row>
    <row r="1062">
      <c r="D1062" s="8">
        <f>IF(OR(B1062="",t=""),"",_xlfn.IFS(B1062&gt;=t,"C",B1062&gt;=t/2,"B",B1062&gt;=t/4,"A",TRUE,"S"))</f>
        <v/>
      </c>
    </row>
    <row r="1063">
      <c r="D1063" s="8">
        <f>IF(OR(B1063="",t=""),"",_xlfn.IFS(B1063&gt;=t,"C",B1063&gt;=t/2,"B",B1063&gt;=t/4,"A",TRUE,"S"))</f>
        <v/>
      </c>
    </row>
    <row r="1064">
      <c r="D1064" s="8">
        <f>IF(OR(B1064="",t=""),"",_xlfn.IFS(B1064&gt;=t,"C",B1064&gt;=t/2,"B",B1064&gt;=t/4,"A",TRUE,"S"))</f>
        <v/>
      </c>
    </row>
    <row r="1065">
      <c r="D1065" s="8">
        <f>IF(OR(B1065="",t=""),"",_xlfn.IFS(B1065&gt;=t,"C",B1065&gt;=t/2,"B",B1065&gt;=t/4,"A",TRUE,"S"))</f>
        <v/>
      </c>
    </row>
    <row r="1066">
      <c r="D1066" s="8">
        <f>IF(OR(B1066="",t=""),"",_xlfn.IFS(B1066&gt;=t,"C",B1066&gt;=t/2,"B",B1066&gt;=t/4,"A",TRUE,"S"))</f>
        <v/>
      </c>
    </row>
    <row r="1067">
      <c r="D1067" s="8">
        <f>IF(OR(B1067="",t=""),"",_xlfn.IFS(B1067&gt;=t,"C",B1067&gt;=t/2,"B",B1067&gt;=t/4,"A",TRUE,"S"))</f>
        <v/>
      </c>
    </row>
    <row r="1068">
      <c r="D1068" s="8">
        <f>IF(OR(B1068="",t=""),"",_xlfn.IFS(B1068&gt;=t,"C",B1068&gt;=t/2,"B",B1068&gt;=t/4,"A",TRUE,"S"))</f>
        <v/>
      </c>
    </row>
    <row r="1069">
      <c r="D1069" s="8">
        <f>IF(OR(B1069="",t=""),"",_xlfn.IFS(B1069&gt;=t,"C",B1069&gt;=t/2,"B",B1069&gt;=t/4,"A",TRUE,"S"))</f>
        <v/>
      </c>
    </row>
    <row r="1070">
      <c r="D1070" s="8">
        <f>IF(OR(B1070="",t=""),"",_xlfn.IFS(B1070&gt;=t,"C",B1070&gt;=t/2,"B",B1070&gt;=t/4,"A",TRUE,"S"))</f>
        <v/>
      </c>
    </row>
    <row r="1071">
      <c r="D1071" s="8">
        <f>IF(OR(B1071="",t=""),"",_xlfn.IFS(B1071&gt;=t,"C",B1071&gt;=t/2,"B",B1071&gt;=t/4,"A",TRUE,"S"))</f>
        <v/>
      </c>
    </row>
    <row r="1072">
      <c r="D1072" s="8">
        <f>IF(OR(B1072="",t=""),"",_xlfn.IFS(B1072&gt;=t,"C",B1072&gt;=t/2,"B",B1072&gt;=t/4,"A",TRUE,"S"))</f>
        <v/>
      </c>
    </row>
    <row r="1073">
      <c r="D1073" s="8">
        <f>IF(OR(B1073="",t=""),"",_xlfn.IFS(B1073&gt;=t,"C",B1073&gt;=t/2,"B",B1073&gt;=t/4,"A",TRUE,"S"))</f>
        <v/>
      </c>
    </row>
    <row r="1074">
      <c r="D1074" s="8">
        <f>IF(OR(B1074="",t=""),"",_xlfn.IFS(B1074&gt;=t,"C",B1074&gt;=t/2,"B",B1074&gt;=t/4,"A",TRUE,"S"))</f>
        <v/>
      </c>
    </row>
    <row r="1075">
      <c r="D1075" s="8">
        <f>IF(OR(B1075="",t=""),"",_xlfn.IFS(B1075&gt;=t,"C",B1075&gt;=t/2,"B",B1075&gt;=t/4,"A",TRUE,"S"))</f>
        <v/>
      </c>
    </row>
    <row r="1076">
      <c r="D1076" s="8">
        <f>IF(OR(B1076="",t=""),"",_xlfn.IFS(B1076&gt;=t,"C",B1076&gt;=t/2,"B",B1076&gt;=t/4,"A",TRUE,"S"))</f>
        <v/>
      </c>
    </row>
    <row r="1077">
      <c r="D1077" s="8">
        <f>IF(OR(B1077="",t=""),"",_xlfn.IFS(B1077&gt;=t,"C",B1077&gt;=t/2,"B",B1077&gt;=t/4,"A",TRUE,"S"))</f>
        <v/>
      </c>
    </row>
    <row r="1078">
      <c r="D1078" s="8">
        <f>IF(OR(B1078="",t=""),"",_xlfn.IFS(B1078&gt;=t,"C",B1078&gt;=t/2,"B",B1078&gt;=t/4,"A",TRUE,"S"))</f>
        <v/>
      </c>
    </row>
    <row r="1079">
      <c r="D1079" s="8">
        <f>IF(OR(B1079="",t=""),"",_xlfn.IFS(B1079&gt;=t,"C",B1079&gt;=t/2,"B",B1079&gt;=t/4,"A",TRUE,"S"))</f>
        <v/>
      </c>
    </row>
    <row r="1080">
      <c r="D1080" s="8">
        <f>IF(OR(B1080="",t=""),"",_xlfn.IFS(B1080&gt;=t,"C",B1080&gt;=t/2,"B",B1080&gt;=t/4,"A",TRUE,"S"))</f>
        <v/>
      </c>
    </row>
    <row r="1081">
      <c r="D1081" s="8">
        <f>IF(OR(B1081="",t=""),"",_xlfn.IFS(B1081&gt;=t,"C",B1081&gt;=t/2,"B",B1081&gt;=t/4,"A",TRUE,"S"))</f>
        <v/>
      </c>
    </row>
    <row r="1082">
      <c r="D1082" s="8">
        <f>IF(OR(B1082="",t=""),"",_xlfn.IFS(B1082&gt;=t,"C",B1082&gt;=t/2,"B",B1082&gt;=t/4,"A",TRUE,"S"))</f>
        <v/>
      </c>
    </row>
    <row r="1083">
      <c r="D1083" s="8">
        <f>IF(OR(B1083="",t=""),"",_xlfn.IFS(B1083&gt;=t,"C",B1083&gt;=t/2,"B",B1083&gt;=t/4,"A",TRUE,"S"))</f>
        <v/>
      </c>
    </row>
    <row r="1084">
      <c r="D1084" s="8">
        <f>IF(OR(B1084="",t=""),"",_xlfn.IFS(B1084&gt;=t,"C",B1084&gt;=t/2,"B",B1084&gt;=t/4,"A",TRUE,"S"))</f>
        <v/>
      </c>
    </row>
    <row r="1085">
      <c r="D1085" s="8">
        <f>IF(OR(B1085="",t=""),"",_xlfn.IFS(B1085&gt;=t,"C",B1085&gt;=t/2,"B",B1085&gt;=t/4,"A",TRUE,"S"))</f>
        <v/>
      </c>
    </row>
    <row r="1086">
      <c r="D1086" s="8">
        <f>IF(OR(B1086="",t=""),"",_xlfn.IFS(B1086&gt;=t,"C",B1086&gt;=t/2,"B",B1086&gt;=t/4,"A",TRUE,"S"))</f>
        <v/>
      </c>
    </row>
    <row r="1087">
      <c r="D1087" s="8">
        <f>IF(OR(B1087="",t=""),"",_xlfn.IFS(B1087&gt;=t,"C",B1087&gt;=t/2,"B",B1087&gt;=t/4,"A",TRUE,"S"))</f>
        <v/>
      </c>
    </row>
    <row r="1088">
      <c r="D1088" s="8">
        <f>IF(OR(B1088="",t=""),"",_xlfn.IFS(B1088&gt;=t,"C",B1088&gt;=t/2,"B",B1088&gt;=t/4,"A",TRUE,"S"))</f>
        <v/>
      </c>
    </row>
    <row r="1089">
      <c r="D1089" s="8">
        <f>IF(OR(B1089="",t=""),"",_xlfn.IFS(B1089&gt;=t,"C",B1089&gt;=t/2,"B",B1089&gt;=t/4,"A",TRUE,"S"))</f>
        <v/>
      </c>
    </row>
    <row r="1090">
      <c r="D1090" s="8">
        <f>IF(OR(B1090="",t=""),"",_xlfn.IFS(B1090&gt;=t,"C",B1090&gt;=t/2,"B",B1090&gt;=t/4,"A",TRUE,"S"))</f>
        <v/>
      </c>
    </row>
    <row r="1091">
      <c r="D1091" s="8">
        <f>IF(OR(B1091="",t=""),"",_xlfn.IFS(B1091&gt;=t,"C",B1091&gt;=t/2,"B",B1091&gt;=t/4,"A",TRUE,"S"))</f>
        <v/>
      </c>
    </row>
    <row r="1092">
      <c r="D1092" s="8">
        <f>IF(OR(B1092="",t=""),"",_xlfn.IFS(B1092&gt;=t,"C",B1092&gt;=t/2,"B",B1092&gt;=t/4,"A",TRUE,"S"))</f>
        <v/>
      </c>
    </row>
    <row r="1093">
      <c r="D1093" s="8">
        <f>IF(OR(B1093="",t=""),"",_xlfn.IFS(B1093&gt;=t,"C",B1093&gt;=t/2,"B",B1093&gt;=t/4,"A",TRUE,"S"))</f>
        <v/>
      </c>
    </row>
    <row r="1094">
      <c r="D1094" s="8">
        <f>IF(OR(B1094="",t=""),"",_xlfn.IFS(B1094&gt;=t,"C",B1094&gt;=t/2,"B",B1094&gt;=t/4,"A",TRUE,"S"))</f>
        <v/>
      </c>
    </row>
    <row r="1095">
      <c r="D1095" s="8">
        <f>IF(OR(B1095="",t=""),"",_xlfn.IFS(B1095&gt;=t,"C",B1095&gt;=t/2,"B",B1095&gt;=t/4,"A",TRUE,"S"))</f>
        <v/>
      </c>
    </row>
    <row r="1096">
      <c r="D1096" s="8">
        <f>IF(OR(B1096="",t=""),"",_xlfn.IFS(B1096&gt;=t,"C",B1096&gt;=t/2,"B",B1096&gt;=t/4,"A",TRUE,"S"))</f>
        <v/>
      </c>
    </row>
    <row r="1097">
      <c r="D1097" s="8">
        <f>IF(OR(B1097="",t=""),"",_xlfn.IFS(B1097&gt;=t,"C",B1097&gt;=t/2,"B",B1097&gt;=t/4,"A",TRUE,"S"))</f>
        <v/>
      </c>
    </row>
    <row r="1098">
      <c r="D1098" s="8">
        <f>IF(OR(B1098="",t=""),"",_xlfn.IFS(B1098&gt;=t,"C",B1098&gt;=t/2,"B",B1098&gt;=t/4,"A",TRUE,"S"))</f>
        <v/>
      </c>
    </row>
    <row r="1099">
      <c r="D1099" s="8">
        <f>IF(OR(B1099="",t=""),"",_xlfn.IFS(B1099&gt;=t,"C",B1099&gt;=t/2,"B",B1099&gt;=t/4,"A",TRUE,"S"))</f>
        <v/>
      </c>
    </row>
    <row r="1100">
      <c r="D1100" s="8">
        <f>IF(OR(B1100="",t=""),"",_xlfn.IFS(B1100&gt;=t,"C",B1100&gt;=t/2,"B",B1100&gt;=t/4,"A",TRUE,"S"))</f>
        <v/>
      </c>
    </row>
    <row r="1101">
      <c r="D1101" s="8">
        <f>IF(OR(B1101="",t=""),"",_xlfn.IFS(B1101&gt;=t,"C",B1101&gt;=t/2,"B",B1101&gt;=t/4,"A",TRUE,"S"))</f>
        <v/>
      </c>
    </row>
    <row r="1102">
      <c r="D1102" s="8">
        <f>IF(OR(B1102="",t=""),"",_xlfn.IFS(B1102&gt;=t,"C",B1102&gt;=t/2,"B",B1102&gt;=t/4,"A",TRUE,"S"))</f>
        <v/>
      </c>
    </row>
    <row r="1103">
      <c r="D1103" s="8">
        <f>IF(OR(B1103="",t=""),"",_xlfn.IFS(B1103&gt;=t,"C",B1103&gt;=t/2,"B",B1103&gt;=t/4,"A",TRUE,"S"))</f>
        <v/>
      </c>
    </row>
    <row r="1104">
      <c r="D1104" s="8">
        <f>IF(OR(B1104="",t=""),"",_xlfn.IFS(B1104&gt;=t,"C",B1104&gt;=t/2,"B",B1104&gt;=t/4,"A",TRUE,"S"))</f>
        <v/>
      </c>
    </row>
    <row r="1105">
      <c r="D1105" s="8">
        <f>IF(OR(B1105="",t=""),"",_xlfn.IFS(B1105&gt;=t,"C",B1105&gt;=t/2,"B",B1105&gt;=t/4,"A",TRUE,"S"))</f>
        <v/>
      </c>
    </row>
    <row r="1106">
      <c r="D1106" s="8">
        <f>IF(OR(B1106="",t=""),"",_xlfn.IFS(B1106&gt;=t,"C",B1106&gt;=t/2,"B",B1106&gt;=t/4,"A",TRUE,"S"))</f>
        <v/>
      </c>
    </row>
    <row r="1107">
      <c r="D1107" s="8">
        <f>IF(OR(B1107="",t=""),"",_xlfn.IFS(B1107&gt;=t,"C",B1107&gt;=t/2,"B",B1107&gt;=t/4,"A",TRUE,"S"))</f>
        <v/>
      </c>
    </row>
    <row r="1108">
      <c r="D1108" s="8">
        <f>IF(OR(B1108="",t=""),"",_xlfn.IFS(B1108&gt;=t,"C",B1108&gt;=t/2,"B",B1108&gt;=t/4,"A",TRUE,"S"))</f>
        <v/>
      </c>
    </row>
    <row r="1109">
      <c r="D1109" s="8">
        <f>IF(OR(B1109="",t=""),"",_xlfn.IFS(B1109&gt;=t,"C",B1109&gt;=t/2,"B",B1109&gt;=t/4,"A",TRUE,"S"))</f>
        <v/>
      </c>
    </row>
    <row r="1110">
      <c r="D1110" s="8">
        <f>IF(OR(B1110="",t=""),"",_xlfn.IFS(B1110&gt;=t,"C",B1110&gt;=t/2,"B",B1110&gt;=t/4,"A",TRUE,"S"))</f>
        <v/>
      </c>
    </row>
    <row r="1111">
      <c r="D1111" s="8">
        <f>IF(OR(B1111="",t=""),"",_xlfn.IFS(B1111&gt;=t,"C",B1111&gt;=t/2,"B",B1111&gt;=t/4,"A",TRUE,"S"))</f>
        <v/>
      </c>
    </row>
    <row r="1112">
      <c r="D1112" s="8">
        <f>IF(OR(B1112="",t=""),"",_xlfn.IFS(B1112&gt;=t,"C",B1112&gt;=t/2,"B",B1112&gt;=t/4,"A",TRUE,"S"))</f>
        <v/>
      </c>
    </row>
    <row r="1113">
      <c r="D1113" s="8">
        <f>IF(OR(B1113="",t=""),"",_xlfn.IFS(B1113&gt;=t,"C",B1113&gt;=t/2,"B",B1113&gt;=t/4,"A",TRUE,"S"))</f>
        <v/>
      </c>
    </row>
    <row r="1114">
      <c r="D1114" s="8">
        <f>IF(OR(B1114="",t=""),"",_xlfn.IFS(B1114&gt;=t,"C",B1114&gt;=t/2,"B",B1114&gt;=t/4,"A",TRUE,"S"))</f>
        <v/>
      </c>
    </row>
    <row r="1115">
      <c r="D1115" s="8">
        <f>IF(OR(B1115="",t=""),"",_xlfn.IFS(B1115&gt;=t,"C",B1115&gt;=t/2,"B",B1115&gt;=t/4,"A",TRUE,"S"))</f>
        <v/>
      </c>
    </row>
    <row r="1116">
      <c r="D1116" s="8">
        <f>IF(OR(B1116="",t=""),"",_xlfn.IFS(B1116&gt;=t,"C",B1116&gt;=t/2,"B",B1116&gt;=t/4,"A",TRUE,"S"))</f>
        <v/>
      </c>
    </row>
    <row r="1117">
      <c r="D1117" s="8">
        <f>IF(OR(B1117="",t=""),"",_xlfn.IFS(B1117&gt;=t,"C",B1117&gt;=t/2,"B",B1117&gt;=t/4,"A",TRUE,"S"))</f>
        <v/>
      </c>
    </row>
    <row r="1118">
      <c r="D1118" s="8">
        <f>IF(OR(B1118="",t=""),"",_xlfn.IFS(B1118&gt;=t,"C",B1118&gt;=t/2,"B",B1118&gt;=t/4,"A",TRUE,"S"))</f>
        <v/>
      </c>
    </row>
    <row r="1119">
      <c r="D1119" s="8">
        <f>IF(OR(B1119="",t=""),"",_xlfn.IFS(B1119&gt;=t,"C",B1119&gt;=t/2,"B",B1119&gt;=t/4,"A",TRUE,"S"))</f>
        <v/>
      </c>
    </row>
    <row r="1120">
      <c r="D1120" s="8">
        <f>IF(OR(B1120="",t=""),"",_xlfn.IFS(B1120&gt;=t,"C",B1120&gt;=t/2,"B",B1120&gt;=t/4,"A",TRUE,"S"))</f>
        <v/>
      </c>
    </row>
    <row r="1121">
      <c r="D1121" s="8">
        <f>IF(OR(B1121="",t=""),"",_xlfn.IFS(B1121&gt;=t,"C",B1121&gt;=t/2,"B",B1121&gt;=t/4,"A",TRUE,"S"))</f>
        <v/>
      </c>
    </row>
    <row r="1122">
      <c r="D1122" s="8">
        <f>IF(OR(B1122="",t=""),"",_xlfn.IFS(B1122&gt;=t,"C",B1122&gt;=t/2,"B",B1122&gt;=t/4,"A",TRUE,"S"))</f>
        <v/>
      </c>
    </row>
    <row r="1123">
      <c r="D1123" s="8">
        <f>IF(OR(B1123="",t=""),"",_xlfn.IFS(B1123&gt;=t,"C",B1123&gt;=t/2,"B",B1123&gt;=t/4,"A",TRUE,"S"))</f>
        <v/>
      </c>
    </row>
    <row r="1124">
      <c r="D1124" s="8">
        <f>IF(OR(B1124="",t=""),"",_xlfn.IFS(B1124&gt;=t,"C",B1124&gt;=t/2,"B",B1124&gt;=t/4,"A",TRUE,"S"))</f>
        <v/>
      </c>
    </row>
    <row r="1125">
      <c r="D1125" s="8">
        <f>IF(OR(B1125="",t=""),"",_xlfn.IFS(B1125&gt;=t,"C",B1125&gt;=t/2,"B",B1125&gt;=t/4,"A",TRUE,"S"))</f>
        <v/>
      </c>
    </row>
    <row r="1126">
      <c r="D1126" s="8">
        <f>IF(OR(B1126="",t=""),"",_xlfn.IFS(B1126&gt;=t,"C",B1126&gt;=t/2,"B",B1126&gt;=t/4,"A",TRUE,"S"))</f>
        <v/>
      </c>
    </row>
    <row r="1127">
      <c r="D1127" s="8">
        <f>IF(OR(B1127="",t=""),"",_xlfn.IFS(B1127&gt;=t,"C",B1127&gt;=t/2,"B",B1127&gt;=t/4,"A",TRUE,"S"))</f>
        <v/>
      </c>
    </row>
    <row r="1128">
      <c r="D1128" s="8">
        <f>IF(OR(B1128="",t=""),"",_xlfn.IFS(B1128&gt;=t,"C",B1128&gt;=t/2,"B",B1128&gt;=t/4,"A",TRUE,"S"))</f>
        <v/>
      </c>
    </row>
    <row r="1129">
      <c r="D1129" s="8">
        <f>IF(OR(B1129="",t=""),"",_xlfn.IFS(B1129&gt;=t,"C",B1129&gt;=t/2,"B",B1129&gt;=t/4,"A",TRUE,"S"))</f>
        <v/>
      </c>
    </row>
    <row r="1130">
      <c r="D1130" s="8">
        <f>IF(OR(B1130="",t=""),"",_xlfn.IFS(B1130&gt;=t,"C",B1130&gt;=t/2,"B",B1130&gt;=t/4,"A",TRUE,"S"))</f>
        <v/>
      </c>
    </row>
    <row r="1131">
      <c r="D1131" s="8">
        <f>IF(OR(B1131="",t=""),"",_xlfn.IFS(B1131&gt;=t,"C",B1131&gt;=t/2,"B",B1131&gt;=t/4,"A",TRUE,"S"))</f>
        <v/>
      </c>
    </row>
    <row r="1132">
      <c r="D1132" s="8">
        <f>IF(OR(B1132="",t=""),"",_xlfn.IFS(B1132&gt;=t,"C",B1132&gt;=t/2,"B",B1132&gt;=t/4,"A",TRUE,"S"))</f>
        <v/>
      </c>
    </row>
    <row r="1133">
      <c r="D1133" s="8">
        <f>IF(OR(B1133="",t=""),"",_xlfn.IFS(B1133&gt;=t,"C",B1133&gt;=t/2,"B",B1133&gt;=t/4,"A",TRUE,"S"))</f>
        <v/>
      </c>
    </row>
    <row r="1134">
      <c r="D1134" s="8">
        <f>IF(OR(B1134="",t=""),"",_xlfn.IFS(B1134&gt;=t,"C",B1134&gt;=t/2,"B",B1134&gt;=t/4,"A",TRUE,"S"))</f>
        <v/>
      </c>
    </row>
    <row r="1135">
      <c r="D1135" s="8">
        <f>IF(OR(B1135="",t=""),"",_xlfn.IFS(B1135&gt;=t,"C",B1135&gt;=t/2,"B",B1135&gt;=t/4,"A",TRUE,"S"))</f>
        <v/>
      </c>
    </row>
    <row r="1136">
      <c r="D1136" s="8">
        <f>IF(OR(B1136="",t=""),"",_xlfn.IFS(B1136&gt;=t,"C",B1136&gt;=t/2,"B",B1136&gt;=t/4,"A",TRUE,"S"))</f>
        <v/>
      </c>
    </row>
    <row r="1137">
      <c r="D1137" s="8">
        <f>IF(OR(B1137="",t=""),"",_xlfn.IFS(B1137&gt;=t,"C",B1137&gt;=t/2,"B",B1137&gt;=t/4,"A",TRUE,"S"))</f>
        <v/>
      </c>
    </row>
    <row r="1138">
      <c r="D1138" s="8">
        <f>IF(OR(B1138="",t=""),"",_xlfn.IFS(B1138&gt;=t,"C",B1138&gt;=t/2,"B",B1138&gt;=t/4,"A",TRUE,"S"))</f>
        <v/>
      </c>
    </row>
    <row r="1139">
      <c r="D1139" s="8">
        <f>IF(OR(B1139="",t=""),"",_xlfn.IFS(B1139&gt;=t,"C",B1139&gt;=t/2,"B",B1139&gt;=t/4,"A",TRUE,"S"))</f>
        <v/>
      </c>
    </row>
    <row r="1140">
      <c r="D1140" s="8">
        <f>IF(OR(B1140="",t=""),"",_xlfn.IFS(B1140&gt;=t,"C",B1140&gt;=t/2,"B",B1140&gt;=t/4,"A",TRUE,"S"))</f>
        <v/>
      </c>
    </row>
    <row r="1141">
      <c r="D1141" s="8">
        <f>IF(OR(B1141="",t=""),"",_xlfn.IFS(B1141&gt;=t,"C",B1141&gt;=t/2,"B",B1141&gt;=t/4,"A",TRUE,"S"))</f>
        <v/>
      </c>
    </row>
    <row r="1142">
      <c r="D1142" s="8">
        <f>IF(OR(B1142="",t=""),"",_xlfn.IFS(B1142&gt;=t,"C",B1142&gt;=t/2,"B",B1142&gt;=t/4,"A",TRUE,"S"))</f>
        <v/>
      </c>
    </row>
    <row r="1143">
      <c r="D1143" s="8">
        <f>IF(OR(B1143="",t=""),"",_xlfn.IFS(B1143&gt;=t,"C",B1143&gt;=t/2,"B",B1143&gt;=t/4,"A",TRUE,"S"))</f>
        <v/>
      </c>
    </row>
    <row r="1144">
      <c r="D1144" s="8">
        <f>IF(OR(B1144="",t=""),"",_xlfn.IFS(B1144&gt;=t,"C",B1144&gt;=t/2,"B",B1144&gt;=t/4,"A",TRUE,"S"))</f>
        <v/>
      </c>
    </row>
    <row r="1145">
      <c r="D1145" s="8">
        <f>IF(OR(B1145="",t=""),"",_xlfn.IFS(B1145&gt;=t,"C",B1145&gt;=t/2,"B",B1145&gt;=t/4,"A",TRUE,"S"))</f>
        <v/>
      </c>
    </row>
    <row r="1146">
      <c r="D1146" s="8">
        <f>IF(OR(B1146="",t=""),"",_xlfn.IFS(B1146&gt;=t,"C",B1146&gt;=t/2,"B",B1146&gt;=t/4,"A",TRUE,"S"))</f>
        <v/>
      </c>
    </row>
    <row r="1147">
      <c r="D1147" s="8">
        <f>IF(OR(B1147="",t=""),"",_xlfn.IFS(B1147&gt;=t,"C",B1147&gt;=t/2,"B",B1147&gt;=t/4,"A",TRUE,"S"))</f>
        <v/>
      </c>
    </row>
    <row r="1148">
      <c r="D1148" s="8">
        <f>IF(OR(B1148="",t=""),"",_xlfn.IFS(B1148&gt;=t,"C",B1148&gt;=t/2,"B",B1148&gt;=t/4,"A",TRUE,"S"))</f>
        <v/>
      </c>
    </row>
    <row r="1149">
      <c r="D1149" s="8">
        <f>IF(OR(B1149="",t=""),"",_xlfn.IFS(B1149&gt;=t,"C",B1149&gt;=t/2,"B",B1149&gt;=t/4,"A",TRUE,"S"))</f>
        <v/>
      </c>
    </row>
    <row r="1150">
      <c r="D1150" s="8">
        <f>IF(OR(B1150="",t=""),"",_xlfn.IFS(B1150&gt;=t,"C",B1150&gt;=t/2,"B",B1150&gt;=t/4,"A",TRUE,"S"))</f>
        <v/>
      </c>
    </row>
    <row r="1151">
      <c r="D1151" s="8">
        <f>IF(OR(B1151="",t=""),"",_xlfn.IFS(B1151&gt;=t,"C",B1151&gt;=t/2,"B",B1151&gt;=t/4,"A",TRUE,"S"))</f>
        <v/>
      </c>
    </row>
    <row r="1152">
      <c r="D1152" s="8">
        <f>IF(OR(B1152="",t=""),"",_xlfn.IFS(B1152&gt;=t,"C",B1152&gt;=t/2,"B",B1152&gt;=t/4,"A",TRUE,"S"))</f>
        <v/>
      </c>
    </row>
    <row r="1153">
      <c r="D1153" s="8">
        <f>IF(OR(B1153="",t=""),"",_xlfn.IFS(B1153&gt;=t,"C",B1153&gt;=t/2,"B",B1153&gt;=t/4,"A",TRUE,"S"))</f>
        <v/>
      </c>
    </row>
    <row r="1154">
      <c r="D1154" s="8">
        <f>IF(OR(B1154="",t=""),"",_xlfn.IFS(B1154&gt;=t,"C",B1154&gt;=t/2,"B",B1154&gt;=t/4,"A",TRUE,"S"))</f>
        <v/>
      </c>
    </row>
    <row r="1155">
      <c r="D1155" s="8">
        <f>IF(OR(B1155="",t=""),"",_xlfn.IFS(B1155&gt;=t,"C",B1155&gt;=t/2,"B",B1155&gt;=t/4,"A",TRUE,"S"))</f>
        <v/>
      </c>
    </row>
    <row r="1156">
      <c r="D1156" s="8">
        <f>IF(OR(B1156="",t=""),"",_xlfn.IFS(B1156&gt;=t,"C",B1156&gt;=t/2,"B",B1156&gt;=t/4,"A",TRUE,"S"))</f>
        <v/>
      </c>
    </row>
    <row r="1157">
      <c r="D1157" s="8">
        <f>IF(OR(B1157="",t=""),"",_xlfn.IFS(B1157&gt;=t,"C",B1157&gt;=t/2,"B",B1157&gt;=t/4,"A",TRUE,"S"))</f>
        <v/>
      </c>
    </row>
    <row r="1158">
      <c r="D1158" s="8">
        <f>IF(OR(B1158="",t=""),"",_xlfn.IFS(B1158&gt;=t,"C",B1158&gt;=t/2,"B",B1158&gt;=t/4,"A",TRUE,"S"))</f>
        <v/>
      </c>
    </row>
    <row r="1159">
      <c r="D1159" s="8">
        <f>IF(OR(B1159="",t=""),"",_xlfn.IFS(B1159&gt;=t,"C",B1159&gt;=t/2,"B",B1159&gt;=t/4,"A",TRUE,"S"))</f>
        <v/>
      </c>
    </row>
    <row r="1160">
      <c r="D1160" s="8">
        <f>IF(OR(B1160="",t=""),"",_xlfn.IFS(B1160&gt;=t,"C",B1160&gt;=t/2,"B",B1160&gt;=t/4,"A",TRUE,"S"))</f>
        <v/>
      </c>
    </row>
    <row r="1161">
      <c r="D1161" s="8">
        <f>IF(OR(B1161="",t=""),"",_xlfn.IFS(B1161&gt;=t,"C",B1161&gt;=t/2,"B",B1161&gt;=t/4,"A",TRUE,"S"))</f>
        <v/>
      </c>
    </row>
    <row r="1162">
      <c r="D1162" s="8">
        <f>IF(OR(B1162="",t=""),"",_xlfn.IFS(B1162&gt;=t,"C",B1162&gt;=t/2,"B",B1162&gt;=t/4,"A",TRUE,"S"))</f>
        <v/>
      </c>
    </row>
    <row r="1163">
      <c r="D1163" s="8">
        <f>IF(OR(B1163="",t=""),"",_xlfn.IFS(B1163&gt;=t,"C",B1163&gt;=t/2,"B",B1163&gt;=t/4,"A",TRUE,"S"))</f>
        <v/>
      </c>
    </row>
    <row r="1164">
      <c r="D1164" s="8">
        <f>IF(OR(B1164="",t=""),"",_xlfn.IFS(B1164&gt;=t,"C",B1164&gt;=t/2,"B",B1164&gt;=t/4,"A",TRUE,"S"))</f>
        <v/>
      </c>
    </row>
    <row r="1165">
      <c r="D1165" s="8">
        <f>IF(OR(B1165="",t=""),"",_xlfn.IFS(B1165&gt;=t,"C",B1165&gt;=t/2,"B",B1165&gt;=t/4,"A",TRUE,"S"))</f>
        <v/>
      </c>
    </row>
    <row r="1166">
      <c r="D1166" s="8">
        <f>IF(OR(B1166="",t=""),"",_xlfn.IFS(B1166&gt;=t,"C",B1166&gt;=t/2,"B",B1166&gt;=t/4,"A",TRUE,"S"))</f>
        <v/>
      </c>
    </row>
    <row r="1167">
      <c r="D1167" s="8">
        <f>IF(OR(B1167="",t=""),"",_xlfn.IFS(B1167&gt;=t,"C",B1167&gt;=t/2,"B",B1167&gt;=t/4,"A",TRUE,"S"))</f>
        <v/>
      </c>
    </row>
    <row r="1168">
      <c r="D1168" s="8">
        <f>IF(OR(B1168="",t=""),"",_xlfn.IFS(B1168&gt;=t,"C",B1168&gt;=t/2,"B",B1168&gt;=t/4,"A",TRUE,"S"))</f>
        <v/>
      </c>
    </row>
    <row r="1169">
      <c r="D1169" s="8">
        <f>IF(OR(B1169="",t=""),"",_xlfn.IFS(B1169&gt;=t,"C",B1169&gt;=t/2,"B",B1169&gt;=t/4,"A",TRUE,"S"))</f>
        <v/>
      </c>
    </row>
    <row r="1170">
      <c r="D1170" s="8">
        <f>IF(OR(B1170="",t=""),"",_xlfn.IFS(B1170&gt;=t,"C",B1170&gt;=t/2,"B",B1170&gt;=t/4,"A",TRUE,"S"))</f>
        <v/>
      </c>
    </row>
    <row r="1171">
      <c r="D1171" s="8">
        <f>IF(OR(B1171="",t=""),"",_xlfn.IFS(B1171&gt;=t,"C",B1171&gt;=t/2,"B",B1171&gt;=t/4,"A",TRUE,"S"))</f>
        <v/>
      </c>
    </row>
    <row r="1172">
      <c r="D1172" s="8">
        <f>IF(OR(B1172="",t=""),"",_xlfn.IFS(B1172&gt;=t,"C",B1172&gt;=t/2,"B",B1172&gt;=t/4,"A",TRUE,"S"))</f>
        <v/>
      </c>
    </row>
    <row r="1173">
      <c r="D1173" s="8">
        <f>IF(OR(B1173="",t=""),"",_xlfn.IFS(B1173&gt;=t,"C",B1173&gt;=t/2,"B",B1173&gt;=t/4,"A",TRUE,"S"))</f>
        <v/>
      </c>
    </row>
    <row r="1174">
      <c r="D1174" s="8">
        <f>IF(OR(B1174="",t=""),"",_xlfn.IFS(B1174&gt;=t,"C",B1174&gt;=t/2,"B",B1174&gt;=t/4,"A",TRUE,"S"))</f>
        <v/>
      </c>
    </row>
    <row r="1175">
      <c r="D1175" s="8">
        <f>IF(OR(B1175="",t=""),"",_xlfn.IFS(B1175&gt;=t,"C",B1175&gt;=t/2,"B",B1175&gt;=t/4,"A",TRUE,"S"))</f>
        <v/>
      </c>
    </row>
    <row r="1176">
      <c r="D1176" s="8">
        <f>IF(OR(B1176="",t=""),"",_xlfn.IFS(B1176&gt;=t,"C",B1176&gt;=t/2,"B",B1176&gt;=t/4,"A",TRUE,"S"))</f>
        <v/>
      </c>
    </row>
    <row r="1177">
      <c r="D1177" s="8">
        <f>IF(OR(B1177="",t=""),"",_xlfn.IFS(B1177&gt;=t,"C",B1177&gt;=t/2,"B",B1177&gt;=t/4,"A",TRUE,"S"))</f>
        <v/>
      </c>
    </row>
    <row r="1178">
      <c r="D1178" s="8">
        <f>IF(OR(B1178="",t=""),"",_xlfn.IFS(B1178&gt;=t,"C",B1178&gt;=t/2,"B",B1178&gt;=t/4,"A",TRUE,"S"))</f>
        <v/>
      </c>
    </row>
    <row r="1179">
      <c r="D1179" s="8">
        <f>IF(OR(B1179="",t=""),"",_xlfn.IFS(B1179&gt;=t,"C",B1179&gt;=t/2,"B",B1179&gt;=t/4,"A",TRUE,"S"))</f>
        <v/>
      </c>
    </row>
    <row r="1180">
      <c r="D1180" s="8">
        <f>IF(OR(B1180="",t=""),"",_xlfn.IFS(B1180&gt;=t,"C",B1180&gt;=t/2,"B",B1180&gt;=t/4,"A",TRUE,"S"))</f>
        <v/>
      </c>
    </row>
    <row r="1181">
      <c r="D1181" s="8">
        <f>IF(OR(B1181="",t=""),"",_xlfn.IFS(B1181&gt;=t,"C",B1181&gt;=t/2,"B",B1181&gt;=t/4,"A",TRUE,"S"))</f>
        <v/>
      </c>
    </row>
    <row r="1182">
      <c r="D1182" s="8">
        <f>IF(OR(B1182="",t=""),"",_xlfn.IFS(B1182&gt;=t,"C",B1182&gt;=t/2,"B",B1182&gt;=t/4,"A",TRUE,"S"))</f>
        <v/>
      </c>
    </row>
    <row r="1183">
      <c r="D1183" s="8">
        <f>IF(OR(B1183="",t=""),"",_xlfn.IFS(B1183&gt;=t,"C",B1183&gt;=t/2,"B",B1183&gt;=t/4,"A",TRUE,"S"))</f>
        <v/>
      </c>
    </row>
    <row r="1184">
      <c r="D1184" s="8">
        <f>IF(OR(B1184="",t=""),"",_xlfn.IFS(B1184&gt;=t,"C",B1184&gt;=t/2,"B",B1184&gt;=t/4,"A",TRUE,"S"))</f>
        <v/>
      </c>
    </row>
    <row r="1185">
      <c r="D1185" s="8">
        <f>IF(OR(B1185="",t=""),"",_xlfn.IFS(B1185&gt;=t,"C",B1185&gt;=t/2,"B",B1185&gt;=t/4,"A",TRUE,"S"))</f>
        <v/>
      </c>
    </row>
    <row r="1186">
      <c r="D1186" s="8">
        <f>IF(OR(B1186="",t=""),"",_xlfn.IFS(B1186&gt;=t,"C",B1186&gt;=t/2,"B",B1186&gt;=t/4,"A",TRUE,"S"))</f>
        <v/>
      </c>
    </row>
    <row r="1187">
      <c r="D1187" s="8">
        <f>IF(OR(B1187="",t=""),"",_xlfn.IFS(B1187&gt;=t,"C",B1187&gt;=t/2,"B",B1187&gt;=t/4,"A",TRUE,"S"))</f>
        <v/>
      </c>
    </row>
    <row r="1188">
      <c r="D1188" s="8">
        <f>IF(OR(B1188="",t=""),"",_xlfn.IFS(B1188&gt;=t,"C",B1188&gt;=t/2,"B",B1188&gt;=t/4,"A",TRUE,"S"))</f>
        <v/>
      </c>
    </row>
    <row r="1189">
      <c r="D1189" s="8">
        <f>IF(OR(B1189="",t=""),"",_xlfn.IFS(B1189&gt;=t,"C",B1189&gt;=t/2,"B",B1189&gt;=t/4,"A",TRUE,"S"))</f>
        <v/>
      </c>
    </row>
    <row r="1190">
      <c r="D1190" s="8">
        <f>IF(OR(B1190="",t=""),"",_xlfn.IFS(B1190&gt;=t,"C",B1190&gt;=t/2,"B",B1190&gt;=t/4,"A",TRUE,"S"))</f>
        <v/>
      </c>
    </row>
    <row r="1191">
      <c r="D1191" s="8">
        <f>IF(OR(B1191="",t=""),"",_xlfn.IFS(B1191&gt;=t,"C",B1191&gt;=t/2,"B",B1191&gt;=t/4,"A",TRUE,"S"))</f>
        <v/>
      </c>
    </row>
    <row r="1192">
      <c r="D1192" s="8">
        <f>IF(OR(B1192="",t=""),"",_xlfn.IFS(B1192&gt;=t,"C",B1192&gt;=t/2,"B",B1192&gt;=t/4,"A",TRUE,"S"))</f>
        <v/>
      </c>
    </row>
    <row r="1193">
      <c r="D1193" s="8">
        <f>IF(OR(B1193="",t=""),"",_xlfn.IFS(B1193&gt;=t,"C",B1193&gt;=t/2,"B",B1193&gt;=t/4,"A",TRUE,"S"))</f>
        <v/>
      </c>
    </row>
    <row r="1194">
      <c r="D1194" s="8">
        <f>IF(OR(B1194="",t=""),"",_xlfn.IFS(B1194&gt;=t,"C",B1194&gt;=t/2,"B",B1194&gt;=t/4,"A",TRUE,"S"))</f>
        <v/>
      </c>
    </row>
    <row r="1195">
      <c r="D1195" s="8">
        <f>IF(OR(B1195="",t=""),"",_xlfn.IFS(B1195&gt;=t,"C",B1195&gt;=t/2,"B",B1195&gt;=t/4,"A",TRUE,"S"))</f>
        <v/>
      </c>
    </row>
    <row r="1196">
      <c r="D1196" s="8">
        <f>IF(OR(B1196="",t=""),"",_xlfn.IFS(B1196&gt;=t,"C",B1196&gt;=t/2,"B",B1196&gt;=t/4,"A",TRUE,"S"))</f>
        <v/>
      </c>
    </row>
    <row r="1197">
      <c r="D1197" s="8">
        <f>IF(OR(B1197="",t=""),"",_xlfn.IFS(B1197&gt;=t,"C",B1197&gt;=t/2,"B",B1197&gt;=t/4,"A",TRUE,"S"))</f>
        <v/>
      </c>
    </row>
    <row r="1198">
      <c r="D1198" s="8">
        <f>IF(OR(B1198="",t=""),"",_xlfn.IFS(B1198&gt;=t,"C",B1198&gt;=t/2,"B",B1198&gt;=t/4,"A",TRUE,"S"))</f>
        <v/>
      </c>
    </row>
    <row r="1199">
      <c r="D1199" s="8">
        <f>IF(OR(B1199="",t=""),"",_xlfn.IFS(B1199&gt;=t,"C",B1199&gt;=t/2,"B",B1199&gt;=t/4,"A",TRUE,"S"))</f>
        <v/>
      </c>
    </row>
    <row r="1200">
      <c r="D1200" s="8">
        <f>IF(OR(B1200="",t=""),"",_xlfn.IFS(B1200&gt;=t,"C",B1200&gt;=t/2,"B",B1200&gt;=t/4,"A",TRUE,"S"))</f>
        <v/>
      </c>
    </row>
    <row r="1201">
      <c r="D1201" s="8">
        <f>IF(OR(B1201="",t=""),"",_xlfn.IFS(B1201&gt;=t,"C",B1201&gt;=t/2,"B",B1201&gt;=t/4,"A",TRUE,"S"))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5" customWidth="1" min="5" max="5"/>
    <col width="20" customWidth="1" min="6" max="6"/>
  </cols>
  <sheetData>
    <row r="1">
      <c r="A1" s="4" t="inlineStr">
        <is>
          <t>buyer_id</t>
        </is>
      </c>
      <c r="B1" s="4" t="inlineStr">
        <is>
          <t>ref_date</t>
        </is>
      </c>
      <c r="C1" s="4" t="inlineStr">
        <is>
          <t>pd_30d</t>
        </is>
      </c>
      <c r="D1" s="4" t="inlineStr">
        <is>
          <t>grade</t>
        </is>
      </c>
      <c r="E1" s="4" t="inlineStr">
        <is>
          <t>threshold_used</t>
        </is>
      </c>
      <c r="F1" s="4" t="inlineStr">
        <is>
          <t>model_version</t>
        </is>
      </c>
    </row>
    <row r="2">
      <c r="A2" s="8">
        <f>IF(pred!$A2="","",pred!A2)</f>
        <v/>
      </c>
      <c r="B2" s="6">
        <f>IF(pred!$A2="","",pred!B2)</f>
        <v/>
      </c>
      <c r="C2" s="9">
        <f>IF(pred!$A2="","",pred!C2)</f>
        <v/>
      </c>
      <c r="D2" s="8">
        <f>IF(pred!$A2="","",pred!D2)</f>
        <v/>
      </c>
      <c r="E2" s="9">
        <f>IF(pred!$A2="","",pred!E2)</f>
        <v/>
      </c>
      <c r="F2" s="8">
        <f>IF(pred!$A2="","",pred!F2)</f>
        <v/>
      </c>
    </row>
    <row r="3">
      <c r="A3" s="8">
        <f>IF(pred!$A3="","",pred!A3)</f>
        <v/>
      </c>
      <c r="B3" s="6">
        <f>IF(pred!$A3="","",pred!B3)</f>
        <v/>
      </c>
      <c r="C3" s="9">
        <f>IF(pred!$A3="","",pred!C3)</f>
        <v/>
      </c>
      <c r="D3" s="8">
        <f>IF(pred!$A3="","",pred!D3)</f>
        <v/>
      </c>
      <c r="E3" s="9">
        <f>IF(pred!$A3="","",pred!E3)</f>
        <v/>
      </c>
      <c r="F3" s="8">
        <f>IF(pred!$A3="","",pred!F3)</f>
        <v/>
      </c>
    </row>
    <row r="4">
      <c r="A4" s="8">
        <f>IF(pred!$A4="","",pred!A4)</f>
        <v/>
      </c>
      <c r="B4" s="6">
        <f>IF(pred!$A4="","",pred!B4)</f>
        <v/>
      </c>
      <c r="C4" s="9">
        <f>IF(pred!$A4="","",pred!C4)</f>
        <v/>
      </c>
      <c r="D4" s="8">
        <f>IF(pred!$A4="","",pred!D4)</f>
        <v/>
      </c>
      <c r="E4" s="9">
        <f>IF(pred!$A4="","",pred!E4)</f>
        <v/>
      </c>
      <c r="F4" s="8">
        <f>IF(pred!$A4="","",pred!F4)</f>
        <v/>
      </c>
    </row>
    <row r="5">
      <c r="A5" s="8">
        <f>IF(pred!$A5="","",pred!A5)</f>
        <v/>
      </c>
      <c r="B5" s="6">
        <f>IF(pred!$A5="","",pred!B5)</f>
        <v/>
      </c>
      <c r="C5" s="9">
        <f>IF(pred!$A5="","",pred!C5)</f>
        <v/>
      </c>
      <c r="D5" s="8">
        <f>IF(pred!$A5="","",pred!D5)</f>
        <v/>
      </c>
      <c r="E5" s="9">
        <f>IF(pred!$A5="","",pred!E5)</f>
        <v/>
      </c>
      <c r="F5" s="8">
        <f>IF(pred!$A5="","",pred!F5)</f>
        <v/>
      </c>
    </row>
    <row r="6">
      <c r="A6" s="8">
        <f>IF(pred!$A6="","",pred!A6)</f>
        <v/>
      </c>
      <c r="B6" s="6">
        <f>IF(pred!$A6="","",pred!B6)</f>
        <v/>
      </c>
      <c r="C6" s="9">
        <f>IF(pred!$A6="","",pred!C6)</f>
        <v/>
      </c>
      <c r="D6" s="8">
        <f>IF(pred!$A6="","",pred!D6)</f>
        <v/>
      </c>
      <c r="E6" s="9">
        <f>IF(pred!$A6="","",pred!E6)</f>
        <v/>
      </c>
      <c r="F6" s="8">
        <f>IF(pred!$A6="","",pred!F6)</f>
        <v/>
      </c>
    </row>
    <row r="7">
      <c r="A7" s="8">
        <f>IF(pred!$A7="","",pred!A7)</f>
        <v/>
      </c>
      <c r="B7" s="6">
        <f>IF(pred!$A7="","",pred!B7)</f>
        <v/>
      </c>
      <c r="C7" s="9">
        <f>IF(pred!$A7="","",pred!C7)</f>
        <v/>
      </c>
      <c r="D7" s="8">
        <f>IF(pred!$A7="","",pred!D7)</f>
        <v/>
      </c>
      <c r="E7" s="9">
        <f>IF(pred!$A7="","",pred!E7)</f>
        <v/>
      </c>
      <c r="F7" s="8">
        <f>IF(pred!$A7="","",pred!F7)</f>
        <v/>
      </c>
    </row>
    <row r="8">
      <c r="A8" s="8">
        <f>IF(pred!$A8="","",pred!A8)</f>
        <v/>
      </c>
      <c r="B8" s="6">
        <f>IF(pred!$A8="","",pred!B8)</f>
        <v/>
      </c>
      <c r="C8" s="9">
        <f>IF(pred!$A8="","",pred!C8)</f>
        <v/>
      </c>
      <c r="D8" s="8">
        <f>IF(pred!$A8="","",pred!D8)</f>
        <v/>
      </c>
      <c r="E8" s="9">
        <f>IF(pred!$A8="","",pred!E8)</f>
        <v/>
      </c>
      <c r="F8" s="8">
        <f>IF(pred!$A8="","",pred!F8)</f>
        <v/>
      </c>
    </row>
    <row r="9">
      <c r="A9" s="8">
        <f>IF(pred!$A9="","",pred!A9)</f>
        <v/>
      </c>
      <c r="B9" s="6">
        <f>IF(pred!$A9="","",pred!B9)</f>
        <v/>
      </c>
      <c r="C9" s="9">
        <f>IF(pred!$A9="","",pred!C9)</f>
        <v/>
      </c>
      <c r="D9" s="8">
        <f>IF(pred!$A9="","",pred!D9)</f>
        <v/>
      </c>
      <c r="E9" s="9">
        <f>IF(pred!$A9="","",pred!E9)</f>
        <v/>
      </c>
      <c r="F9" s="8">
        <f>IF(pred!$A9="","",pred!F9)</f>
        <v/>
      </c>
    </row>
    <row r="10">
      <c r="A10" s="8">
        <f>IF(pred!$A10="","",pred!A10)</f>
        <v/>
      </c>
      <c r="B10" s="6">
        <f>IF(pred!$A10="","",pred!B10)</f>
        <v/>
      </c>
      <c r="C10" s="9">
        <f>IF(pred!$A10="","",pred!C10)</f>
        <v/>
      </c>
      <c r="D10" s="8">
        <f>IF(pred!$A10="","",pred!D10)</f>
        <v/>
      </c>
      <c r="E10" s="9">
        <f>IF(pred!$A10="","",pred!E10)</f>
        <v/>
      </c>
      <c r="F10" s="8">
        <f>IF(pred!$A10="","",pred!F10)</f>
        <v/>
      </c>
    </row>
    <row r="11">
      <c r="A11" s="8">
        <f>IF(pred!$A11="","",pred!A11)</f>
        <v/>
      </c>
      <c r="B11" s="6">
        <f>IF(pred!$A11="","",pred!B11)</f>
        <v/>
      </c>
      <c r="C11" s="9">
        <f>IF(pred!$A11="","",pred!C11)</f>
        <v/>
      </c>
      <c r="D11" s="8">
        <f>IF(pred!$A11="","",pred!D11)</f>
        <v/>
      </c>
      <c r="E11" s="9">
        <f>IF(pred!$A11="","",pred!E11)</f>
        <v/>
      </c>
      <c r="F11" s="8">
        <f>IF(pred!$A11="","",pred!F11)</f>
        <v/>
      </c>
    </row>
    <row r="12">
      <c r="A12" s="8">
        <f>IF(pred!$A12="","",pred!A12)</f>
        <v/>
      </c>
      <c r="B12" s="6">
        <f>IF(pred!$A12="","",pred!B12)</f>
        <v/>
      </c>
      <c r="C12" s="9">
        <f>IF(pred!$A12="","",pred!C12)</f>
        <v/>
      </c>
      <c r="D12" s="8">
        <f>IF(pred!$A12="","",pred!D12)</f>
        <v/>
      </c>
      <c r="E12" s="9">
        <f>IF(pred!$A12="","",pred!E12)</f>
        <v/>
      </c>
      <c r="F12" s="8">
        <f>IF(pred!$A12="","",pred!F12)</f>
        <v/>
      </c>
    </row>
    <row r="13">
      <c r="A13" s="8">
        <f>IF(pred!$A13="","",pred!A13)</f>
        <v/>
      </c>
      <c r="B13" s="6">
        <f>IF(pred!$A13="","",pred!B13)</f>
        <v/>
      </c>
      <c r="C13" s="9">
        <f>IF(pred!$A13="","",pred!C13)</f>
        <v/>
      </c>
      <c r="D13" s="8">
        <f>IF(pred!$A13="","",pred!D13)</f>
        <v/>
      </c>
      <c r="E13" s="9">
        <f>IF(pred!$A13="","",pred!E13)</f>
        <v/>
      </c>
      <c r="F13" s="8">
        <f>IF(pred!$A13="","",pred!F13)</f>
        <v/>
      </c>
    </row>
    <row r="14">
      <c r="A14" s="8">
        <f>IF(pred!$A14="","",pred!A14)</f>
        <v/>
      </c>
      <c r="B14" s="6">
        <f>IF(pred!$A14="","",pred!B14)</f>
        <v/>
      </c>
      <c r="C14" s="9">
        <f>IF(pred!$A14="","",pred!C14)</f>
        <v/>
      </c>
      <c r="D14" s="8">
        <f>IF(pred!$A14="","",pred!D14)</f>
        <v/>
      </c>
      <c r="E14" s="9">
        <f>IF(pred!$A14="","",pred!E14)</f>
        <v/>
      </c>
      <c r="F14" s="8">
        <f>IF(pred!$A14="","",pred!F14)</f>
        <v/>
      </c>
    </row>
    <row r="15">
      <c r="A15" s="8">
        <f>IF(pred!$A15="","",pred!A15)</f>
        <v/>
      </c>
      <c r="B15" s="6">
        <f>IF(pred!$A15="","",pred!B15)</f>
        <v/>
      </c>
      <c r="C15" s="9">
        <f>IF(pred!$A15="","",pred!C15)</f>
        <v/>
      </c>
      <c r="D15" s="8">
        <f>IF(pred!$A15="","",pred!D15)</f>
        <v/>
      </c>
      <c r="E15" s="9">
        <f>IF(pred!$A15="","",pred!E15)</f>
        <v/>
      </c>
      <c r="F15" s="8">
        <f>IF(pred!$A15="","",pred!F15)</f>
        <v/>
      </c>
    </row>
    <row r="16">
      <c r="A16" s="8">
        <f>IF(pred!$A16="","",pred!A16)</f>
        <v/>
      </c>
      <c r="B16" s="6">
        <f>IF(pred!$A16="","",pred!B16)</f>
        <v/>
      </c>
      <c r="C16" s="9">
        <f>IF(pred!$A16="","",pred!C16)</f>
        <v/>
      </c>
      <c r="D16" s="8">
        <f>IF(pred!$A16="","",pred!D16)</f>
        <v/>
      </c>
      <c r="E16" s="9">
        <f>IF(pred!$A16="","",pred!E16)</f>
        <v/>
      </c>
      <c r="F16" s="8">
        <f>IF(pred!$A16="","",pred!F16)</f>
        <v/>
      </c>
    </row>
    <row r="17">
      <c r="A17" s="8">
        <f>IF(pred!$A17="","",pred!A17)</f>
        <v/>
      </c>
      <c r="B17" s="6">
        <f>IF(pred!$A17="","",pred!B17)</f>
        <v/>
      </c>
      <c r="C17" s="9">
        <f>IF(pred!$A17="","",pred!C17)</f>
        <v/>
      </c>
      <c r="D17" s="8">
        <f>IF(pred!$A17="","",pred!D17)</f>
        <v/>
      </c>
      <c r="E17" s="9">
        <f>IF(pred!$A17="","",pred!E17)</f>
        <v/>
      </c>
      <c r="F17" s="8">
        <f>IF(pred!$A17="","",pred!F17)</f>
        <v/>
      </c>
    </row>
    <row r="18">
      <c r="A18" s="8">
        <f>IF(pred!$A18="","",pred!A18)</f>
        <v/>
      </c>
      <c r="B18" s="6">
        <f>IF(pred!$A18="","",pred!B18)</f>
        <v/>
      </c>
      <c r="C18" s="9">
        <f>IF(pred!$A18="","",pred!C18)</f>
        <v/>
      </c>
      <c r="D18" s="8">
        <f>IF(pred!$A18="","",pred!D18)</f>
        <v/>
      </c>
      <c r="E18" s="9">
        <f>IF(pred!$A18="","",pred!E18)</f>
        <v/>
      </c>
      <c r="F18" s="8">
        <f>IF(pred!$A18="","",pred!F18)</f>
        <v/>
      </c>
    </row>
    <row r="19">
      <c r="A19" s="8">
        <f>IF(pred!$A19="","",pred!A19)</f>
        <v/>
      </c>
      <c r="B19" s="6">
        <f>IF(pred!$A19="","",pred!B19)</f>
        <v/>
      </c>
      <c r="C19" s="9">
        <f>IF(pred!$A19="","",pred!C19)</f>
        <v/>
      </c>
      <c r="D19" s="8">
        <f>IF(pred!$A19="","",pred!D19)</f>
        <v/>
      </c>
      <c r="E19" s="9">
        <f>IF(pred!$A19="","",pred!E19)</f>
        <v/>
      </c>
      <c r="F19" s="8">
        <f>IF(pred!$A19="","",pred!F19)</f>
        <v/>
      </c>
    </row>
    <row r="20">
      <c r="A20" s="8">
        <f>IF(pred!$A20="","",pred!A20)</f>
        <v/>
      </c>
      <c r="B20" s="6">
        <f>IF(pred!$A20="","",pred!B20)</f>
        <v/>
      </c>
      <c r="C20" s="9">
        <f>IF(pred!$A20="","",pred!C20)</f>
        <v/>
      </c>
      <c r="D20" s="8">
        <f>IF(pred!$A20="","",pred!D20)</f>
        <v/>
      </c>
      <c r="E20" s="9">
        <f>IF(pred!$A20="","",pred!E20)</f>
        <v/>
      </c>
      <c r="F20" s="8">
        <f>IF(pred!$A20="","",pred!F20)</f>
        <v/>
      </c>
    </row>
    <row r="21">
      <c r="A21" s="8">
        <f>IF(pred!$A21="","",pred!A21)</f>
        <v/>
      </c>
      <c r="B21" s="6">
        <f>IF(pred!$A21="","",pred!B21)</f>
        <v/>
      </c>
      <c r="C21" s="9">
        <f>IF(pred!$A21="","",pred!C21)</f>
        <v/>
      </c>
      <c r="D21" s="8">
        <f>IF(pred!$A21="","",pred!D21)</f>
        <v/>
      </c>
      <c r="E21" s="9">
        <f>IF(pred!$A21="","",pred!E21)</f>
        <v/>
      </c>
      <c r="F21" s="8">
        <f>IF(pred!$A21="","",pred!F21)</f>
        <v/>
      </c>
    </row>
    <row r="22">
      <c r="A22" s="8">
        <f>IF(pred!$A22="","",pred!A22)</f>
        <v/>
      </c>
      <c r="B22" s="6">
        <f>IF(pred!$A22="","",pred!B22)</f>
        <v/>
      </c>
      <c r="C22" s="9">
        <f>IF(pred!$A22="","",pred!C22)</f>
        <v/>
      </c>
      <c r="D22" s="8">
        <f>IF(pred!$A22="","",pred!D22)</f>
        <v/>
      </c>
      <c r="E22" s="9">
        <f>IF(pred!$A22="","",pred!E22)</f>
        <v/>
      </c>
      <c r="F22" s="8">
        <f>IF(pred!$A22="","",pred!F22)</f>
        <v/>
      </c>
    </row>
    <row r="23">
      <c r="A23" s="8">
        <f>IF(pred!$A23="","",pred!A23)</f>
        <v/>
      </c>
      <c r="B23" s="6">
        <f>IF(pred!$A23="","",pred!B23)</f>
        <v/>
      </c>
      <c r="C23" s="9">
        <f>IF(pred!$A23="","",pred!C23)</f>
        <v/>
      </c>
      <c r="D23" s="8">
        <f>IF(pred!$A23="","",pred!D23)</f>
        <v/>
      </c>
      <c r="E23" s="9">
        <f>IF(pred!$A23="","",pred!E23)</f>
        <v/>
      </c>
      <c r="F23" s="8">
        <f>IF(pred!$A23="","",pred!F23)</f>
        <v/>
      </c>
    </row>
    <row r="24">
      <c r="A24" s="8">
        <f>IF(pred!$A24="","",pred!A24)</f>
        <v/>
      </c>
      <c r="B24" s="6">
        <f>IF(pred!$A24="","",pred!B24)</f>
        <v/>
      </c>
      <c r="C24" s="9">
        <f>IF(pred!$A24="","",pred!C24)</f>
        <v/>
      </c>
      <c r="D24" s="8">
        <f>IF(pred!$A24="","",pred!D24)</f>
        <v/>
      </c>
      <c r="E24" s="9">
        <f>IF(pred!$A24="","",pred!E24)</f>
        <v/>
      </c>
      <c r="F24" s="8">
        <f>IF(pred!$A24="","",pred!F24)</f>
        <v/>
      </c>
    </row>
    <row r="25">
      <c r="A25" s="8">
        <f>IF(pred!$A25="","",pred!A25)</f>
        <v/>
      </c>
      <c r="B25" s="6">
        <f>IF(pred!$A25="","",pred!B25)</f>
        <v/>
      </c>
      <c r="C25" s="9">
        <f>IF(pred!$A25="","",pred!C25)</f>
        <v/>
      </c>
      <c r="D25" s="8">
        <f>IF(pred!$A25="","",pred!D25)</f>
        <v/>
      </c>
      <c r="E25" s="9">
        <f>IF(pred!$A25="","",pred!E25)</f>
        <v/>
      </c>
      <c r="F25" s="8">
        <f>IF(pred!$A25="","",pred!F25)</f>
        <v/>
      </c>
    </row>
    <row r="26">
      <c r="A26" s="8">
        <f>IF(pred!$A26="","",pred!A26)</f>
        <v/>
      </c>
      <c r="B26" s="6">
        <f>IF(pred!$A26="","",pred!B26)</f>
        <v/>
      </c>
      <c r="C26" s="9">
        <f>IF(pred!$A26="","",pred!C26)</f>
        <v/>
      </c>
      <c r="D26" s="8">
        <f>IF(pred!$A26="","",pred!D26)</f>
        <v/>
      </c>
      <c r="E26" s="9">
        <f>IF(pred!$A26="","",pred!E26)</f>
        <v/>
      </c>
      <c r="F26" s="8">
        <f>IF(pred!$A26="","",pred!F26)</f>
        <v/>
      </c>
    </row>
    <row r="27">
      <c r="A27" s="8">
        <f>IF(pred!$A27="","",pred!A27)</f>
        <v/>
      </c>
      <c r="B27" s="6">
        <f>IF(pred!$A27="","",pred!B27)</f>
        <v/>
      </c>
      <c r="C27" s="9">
        <f>IF(pred!$A27="","",pred!C27)</f>
        <v/>
      </c>
      <c r="D27" s="8">
        <f>IF(pred!$A27="","",pred!D27)</f>
        <v/>
      </c>
      <c r="E27" s="9">
        <f>IF(pred!$A27="","",pred!E27)</f>
        <v/>
      </c>
      <c r="F27" s="8">
        <f>IF(pred!$A27="","",pred!F27)</f>
        <v/>
      </c>
    </row>
    <row r="28">
      <c r="A28" s="8">
        <f>IF(pred!$A28="","",pred!A28)</f>
        <v/>
      </c>
      <c r="B28" s="6">
        <f>IF(pred!$A28="","",pred!B28)</f>
        <v/>
      </c>
      <c r="C28" s="9">
        <f>IF(pred!$A28="","",pred!C28)</f>
        <v/>
      </c>
      <c r="D28" s="8">
        <f>IF(pred!$A28="","",pred!D28)</f>
        <v/>
      </c>
      <c r="E28" s="9">
        <f>IF(pred!$A28="","",pred!E28)</f>
        <v/>
      </c>
      <c r="F28" s="8">
        <f>IF(pred!$A28="","",pred!F28)</f>
        <v/>
      </c>
    </row>
    <row r="29">
      <c r="A29" s="8">
        <f>IF(pred!$A29="","",pred!A29)</f>
        <v/>
      </c>
      <c r="B29" s="6">
        <f>IF(pred!$A29="","",pred!B29)</f>
        <v/>
      </c>
      <c r="C29" s="9">
        <f>IF(pred!$A29="","",pred!C29)</f>
        <v/>
      </c>
      <c r="D29" s="8">
        <f>IF(pred!$A29="","",pred!D29)</f>
        <v/>
      </c>
      <c r="E29" s="9">
        <f>IF(pred!$A29="","",pred!E29)</f>
        <v/>
      </c>
      <c r="F29" s="8">
        <f>IF(pred!$A29="","",pred!F29)</f>
        <v/>
      </c>
    </row>
    <row r="30">
      <c r="A30" s="8">
        <f>IF(pred!$A30="","",pred!A30)</f>
        <v/>
      </c>
      <c r="B30" s="6">
        <f>IF(pred!$A30="","",pred!B30)</f>
        <v/>
      </c>
      <c r="C30" s="9">
        <f>IF(pred!$A30="","",pred!C30)</f>
        <v/>
      </c>
      <c r="D30" s="8">
        <f>IF(pred!$A30="","",pred!D30)</f>
        <v/>
      </c>
      <c r="E30" s="9">
        <f>IF(pred!$A30="","",pred!E30)</f>
        <v/>
      </c>
      <c r="F30" s="8">
        <f>IF(pred!$A30="","",pred!F30)</f>
        <v/>
      </c>
    </row>
    <row r="31">
      <c r="A31" s="8">
        <f>IF(pred!$A31="","",pred!A31)</f>
        <v/>
      </c>
      <c r="B31" s="6">
        <f>IF(pred!$A31="","",pred!B31)</f>
        <v/>
      </c>
      <c r="C31" s="9">
        <f>IF(pred!$A31="","",pred!C31)</f>
        <v/>
      </c>
      <c r="D31" s="8">
        <f>IF(pred!$A31="","",pred!D31)</f>
        <v/>
      </c>
      <c r="E31" s="9">
        <f>IF(pred!$A31="","",pred!E31)</f>
        <v/>
      </c>
      <c r="F31" s="8">
        <f>IF(pred!$A31="","",pred!F31)</f>
        <v/>
      </c>
    </row>
    <row r="32">
      <c r="A32" s="8">
        <f>IF(pred!$A32="","",pred!A32)</f>
        <v/>
      </c>
      <c r="B32" s="6">
        <f>IF(pred!$A32="","",pred!B32)</f>
        <v/>
      </c>
      <c r="C32" s="9">
        <f>IF(pred!$A32="","",pred!C32)</f>
        <v/>
      </c>
      <c r="D32" s="8">
        <f>IF(pred!$A32="","",pred!D32)</f>
        <v/>
      </c>
      <c r="E32" s="9">
        <f>IF(pred!$A32="","",pred!E32)</f>
        <v/>
      </c>
      <c r="F32" s="8">
        <f>IF(pred!$A32="","",pred!F32)</f>
        <v/>
      </c>
    </row>
    <row r="33">
      <c r="A33" s="8">
        <f>IF(pred!$A33="","",pred!A33)</f>
        <v/>
      </c>
      <c r="B33" s="6">
        <f>IF(pred!$A33="","",pred!B33)</f>
        <v/>
      </c>
      <c r="C33" s="9">
        <f>IF(pred!$A33="","",pred!C33)</f>
        <v/>
      </c>
      <c r="D33" s="8">
        <f>IF(pred!$A33="","",pred!D33)</f>
        <v/>
      </c>
      <c r="E33" s="9">
        <f>IF(pred!$A33="","",pred!E33)</f>
        <v/>
      </c>
      <c r="F33" s="8">
        <f>IF(pred!$A33="","",pred!F33)</f>
        <v/>
      </c>
    </row>
    <row r="34">
      <c r="A34" s="8">
        <f>IF(pred!$A34="","",pred!A34)</f>
        <v/>
      </c>
      <c r="B34" s="6">
        <f>IF(pred!$A34="","",pred!B34)</f>
        <v/>
      </c>
      <c r="C34" s="9">
        <f>IF(pred!$A34="","",pred!C34)</f>
        <v/>
      </c>
      <c r="D34" s="8">
        <f>IF(pred!$A34="","",pred!D34)</f>
        <v/>
      </c>
      <c r="E34" s="9">
        <f>IF(pred!$A34="","",pred!E34)</f>
        <v/>
      </c>
      <c r="F34" s="8">
        <f>IF(pred!$A34="","",pred!F34)</f>
        <v/>
      </c>
    </row>
    <row r="35">
      <c r="A35" s="8">
        <f>IF(pred!$A35="","",pred!A35)</f>
        <v/>
      </c>
      <c r="B35" s="6">
        <f>IF(pred!$A35="","",pred!B35)</f>
        <v/>
      </c>
      <c r="C35" s="9">
        <f>IF(pred!$A35="","",pred!C35)</f>
        <v/>
      </c>
      <c r="D35" s="8">
        <f>IF(pred!$A35="","",pred!D35)</f>
        <v/>
      </c>
      <c r="E35" s="9">
        <f>IF(pred!$A35="","",pred!E35)</f>
        <v/>
      </c>
      <c r="F35" s="8">
        <f>IF(pred!$A35="","",pred!F35)</f>
        <v/>
      </c>
    </row>
    <row r="36">
      <c r="A36" s="8">
        <f>IF(pred!$A36="","",pred!A36)</f>
        <v/>
      </c>
      <c r="B36" s="6">
        <f>IF(pred!$A36="","",pred!B36)</f>
        <v/>
      </c>
      <c r="C36" s="9">
        <f>IF(pred!$A36="","",pred!C36)</f>
        <v/>
      </c>
      <c r="D36" s="8">
        <f>IF(pred!$A36="","",pred!D36)</f>
        <v/>
      </c>
      <c r="E36" s="9">
        <f>IF(pred!$A36="","",pred!E36)</f>
        <v/>
      </c>
      <c r="F36" s="8">
        <f>IF(pred!$A36="","",pred!F36)</f>
        <v/>
      </c>
    </row>
    <row r="37">
      <c r="A37" s="8">
        <f>IF(pred!$A37="","",pred!A37)</f>
        <v/>
      </c>
      <c r="B37" s="6">
        <f>IF(pred!$A37="","",pred!B37)</f>
        <v/>
      </c>
      <c r="C37" s="9">
        <f>IF(pred!$A37="","",pred!C37)</f>
        <v/>
      </c>
      <c r="D37" s="8">
        <f>IF(pred!$A37="","",pred!D37)</f>
        <v/>
      </c>
      <c r="E37" s="9">
        <f>IF(pred!$A37="","",pred!E37)</f>
        <v/>
      </c>
      <c r="F37" s="8">
        <f>IF(pred!$A37="","",pred!F37)</f>
        <v/>
      </c>
    </row>
    <row r="38">
      <c r="A38" s="8">
        <f>IF(pred!$A38="","",pred!A38)</f>
        <v/>
      </c>
      <c r="B38" s="6">
        <f>IF(pred!$A38="","",pred!B38)</f>
        <v/>
      </c>
      <c r="C38" s="9">
        <f>IF(pred!$A38="","",pred!C38)</f>
        <v/>
      </c>
      <c r="D38" s="8">
        <f>IF(pred!$A38="","",pred!D38)</f>
        <v/>
      </c>
      <c r="E38" s="9">
        <f>IF(pred!$A38="","",pred!E38)</f>
        <v/>
      </c>
      <c r="F38" s="8">
        <f>IF(pred!$A38="","",pred!F38)</f>
        <v/>
      </c>
    </row>
    <row r="39">
      <c r="A39" s="8">
        <f>IF(pred!$A39="","",pred!A39)</f>
        <v/>
      </c>
      <c r="B39" s="6">
        <f>IF(pred!$A39="","",pred!B39)</f>
        <v/>
      </c>
      <c r="C39" s="9">
        <f>IF(pred!$A39="","",pred!C39)</f>
        <v/>
      </c>
      <c r="D39" s="8">
        <f>IF(pred!$A39="","",pred!D39)</f>
        <v/>
      </c>
      <c r="E39" s="9">
        <f>IF(pred!$A39="","",pred!E39)</f>
        <v/>
      </c>
      <c r="F39" s="8">
        <f>IF(pred!$A39="","",pred!F39)</f>
        <v/>
      </c>
    </row>
    <row r="40">
      <c r="A40" s="8">
        <f>IF(pred!$A40="","",pred!A40)</f>
        <v/>
      </c>
      <c r="B40" s="6">
        <f>IF(pred!$A40="","",pred!B40)</f>
        <v/>
      </c>
      <c r="C40" s="9">
        <f>IF(pred!$A40="","",pred!C40)</f>
        <v/>
      </c>
      <c r="D40" s="8">
        <f>IF(pred!$A40="","",pred!D40)</f>
        <v/>
      </c>
      <c r="E40" s="9">
        <f>IF(pred!$A40="","",pred!E40)</f>
        <v/>
      </c>
      <c r="F40" s="8">
        <f>IF(pred!$A40="","",pred!F40)</f>
        <v/>
      </c>
    </row>
    <row r="41">
      <c r="A41" s="8">
        <f>IF(pred!$A41="","",pred!A41)</f>
        <v/>
      </c>
      <c r="B41" s="6">
        <f>IF(pred!$A41="","",pred!B41)</f>
        <v/>
      </c>
      <c r="C41" s="9">
        <f>IF(pred!$A41="","",pred!C41)</f>
        <v/>
      </c>
      <c r="D41" s="8">
        <f>IF(pred!$A41="","",pred!D41)</f>
        <v/>
      </c>
      <c r="E41" s="9">
        <f>IF(pred!$A41="","",pred!E41)</f>
        <v/>
      </c>
      <c r="F41" s="8">
        <f>IF(pred!$A41="","",pred!F41)</f>
        <v/>
      </c>
    </row>
    <row r="42">
      <c r="A42" s="8">
        <f>IF(pred!$A42="","",pred!A42)</f>
        <v/>
      </c>
      <c r="B42" s="6">
        <f>IF(pred!$A42="","",pred!B42)</f>
        <v/>
      </c>
      <c r="C42" s="9">
        <f>IF(pred!$A42="","",pred!C42)</f>
        <v/>
      </c>
      <c r="D42" s="8">
        <f>IF(pred!$A42="","",pred!D42)</f>
        <v/>
      </c>
      <c r="E42" s="9">
        <f>IF(pred!$A42="","",pred!E42)</f>
        <v/>
      </c>
      <c r="F42" s="8">
        <f>IF(pred!$A42="","",pred!F42)</f>
        <v/>
      </c>
    </row>
    <row r="43">
      <c r="A43" s="8">
        <f>IF(pred!$A43="","",pred!A43)</f>
        <v/>
      </c>
      <c r="B43" s="6">
        <f>IF(pred!$A43="","",pred!B43)</f>
        <v/>
      </c>
      <c r="C43" s="9">
        <f>IF(pred!$A43="","",pred!C43)</f>
        <v/>
      </c>
      <c r="D43" s="8">
        <f>IF(pred!$A43="","",pred!D43)</f>
        <v/>
      </c>
      <c r="E43" s="9">
        <f>IF(pred!$A43="","",pred!E43)</f>
        <v/>
      </c>
      <c r="F43" s="8">
        <f>IF(pred!$A43="","",pred!F43)</f>
        <v/>
      </c>
    </row>
    <row r="44">
      <c r="A44" s="8">
        <f>IF(pred!$A44="","",pred!A44)</f>
        <v/>
      </c>
      <c r="B44" s="6">
        <f>IF(pred!$A44="","",pred!B44)</f>
        <v/>
      </c>
      <c r="C44" s="9">
        <f>IF(pred!$A44="","",pred!C44)</f>
        <v/>
      </c>
      <c r="D44" s="8">
        <f>IF(pred!$A44="","",pred!D44)</f>
        <v/>
      </c>
      <c r="E44" s="9">
        <f>IF(pred!$A44="","",pred!E44)</f>
        <v/>
      </c>
      <c r="F44" s="8">
        <f>IF(pred!$A44="","",pred!F44)</f>
        <v/>
      </c>
    </row>
    <row r="45">
      <c r="A45" s="8">
        <f>IF(pred!$A45="","",pred!A45)</f>
        <v/>
      </c>
      <c r="B45" s="6">
        <f>IF(pred!$A45="","",pred!B45)</f>
        <v/>
      </c>
      <c r="C45" s="9">
        <f>IF(pred!$A45="","",pred!C45)</f>
        <v/>
      </c>
      <c r="D45" s="8">
        <f>IF(pred!$A45="","",pred!D45)</f>
        <v/>
      </c>
      <c r="E45" s="9">
        <f>IF(pred!$A45="","",pred!E45)</f>
        <v/>
      </c>
      <c r="F45" s="8">
        <f>IF(pred!$A45="","",pred!F45)</f>
        <v/>
      </c>
    </row>
    <row r="46">
      <c r="A46" s="8">
        <f>IF(pred!$A46="","",pred!A46)</f>
        <v/>
      </c>
      <c r="B46" s="6">
        <f>IF(pred!$A46="","",pred!B46)</f>
        <v/>
      </c>
      <c r="C46" s="9">
        <f>IF(pred!$A46="","",pred!C46)</f>
        <v/>
      </c>
      <c r="D46" s="8">
        <f>IF(pred!$A46="","",pred!D46)</f>
        <v/>
      </c>
      <c r="E46" s="9">
        <f>IF(pred!$A46="","",pred!E46)</f>
        <v/>
      </c>
      <c r="F46" s="8">
        <f>IF(pred!$A46="","",pred!F46)</f>
        <v/>
      </c>
    </row>
    <row r="47">
      <c r="A47" s="8">
        <f>IF(pred!$A47="","",pred!A47)</f>
        <v/>
      </c>
      <c r="B47" s="6">
        <f>IF(pred!$A47="","",pred!B47)</f>
        <v/>
      </c>
      <c r="C47" s="9">
        <f>IF(pred!$A47="","",pred!C47)</f>
        <v/>
      </c>
      <c r="D47" s="8">
        <f>IF(pred!$A47="","",pred!D47)</f>
        <v/>
      </c>
      <c r="E47" s="9">
        <f>IF(pred!$A47="","",pred!E47)</f>
        <v/>
      </c>
      <c r="F47" s="8">
        <f>IF(pred!$A47="","",pred!F47)</f>
        <v/>
      </c>
    </row>
    <row r="48">
      <c r="A48" s="8">
        <f>IF(pred!$A48="","",pred!A48)</f>
        <v/>
      </c>
      <c r="B48" s="6">
        <f>IF(pred!$A48="","",pred!B48)</f>
        <v/>
      </c>
      <c r="C48" s="9">
        <f>IF(pred!$A48="","",pred!C48)</f>
        <v/>
      </c>
      <c r="D48" s="8">
        <f>IF(pred!$A48="","",pred!D48)</f>
        <v/>
      </c>
      <c r="E48" s="9">
        <f>IF(pred!$A48="","",pred!E48)</f>
        <v/>
      </c>
      <c r="F48" s="8">
        <f>IF(pred!$A48="","",pred!F48)</f>
        <v/>
      </c>
    </row>
    <row r="49">
      <c r="A49" s="8">
        <f>IF(pred!$A49="","",pred!A49)</f>
        <v/>
      </c>
      <c r="B49" s="6">
        <f>IF(pred!$A49="","",pred!B49)</f>
        <v/>
      </c>
      <c r="C49" s="9">
        <f>IF(pred!$A49="","",pred!C49)</f>
        <v/>
      </c>
      <c r="D49" s="8">
        <f>IF(pred!$A49="","",pred!D49)</f>
        <v/>
      </c>
      <c r="E49" s="9">
        <f>IF(pred!$A49="","",pred!E49)</f>
        <v/>
      </c>
      <c r="F49" s="8">
        <f>IF(pred!$A49="","",pred!F49)</f>
        <v/>
      </c>
    </row>
    <row r="50">
      <c r="A50" s="8">
        <f>IF(pred!$A50="","",pred!A50)</f>
        <v/>
      </c>
      <c r="B50" s="6">
        <f>IF(pred!$A50="","",pred!B50)</f>
        <v/>
      </c>
      <c r="C50" s="9">
        <f>IF(pred!$A50="","",pred!C50)</f>
        <v/>
      </c>
      <c r="D50" s="8">
        <f>IF(pred!$A50="","",pred!D50)</f>
        <v/>
      </c>
      <c r="E50" s="9">
        <f>IF(pred!$A50="","",pred!E50)</f>
        <v/>
      </c>
      <c r="F50" s="8">
        <f>IF(pred!$A50="","",pred!F50)</f>
        <v/>
      </c>
    </row>
    <row r="51">
      <c r="A51" s="8">
        <f>IF(pred!$A51="","",pred!A51)</f>
        <v/>
      </c>
      <c r="B51" s="6">
        <f>IF(pred!$A51="","",pred!B51)</f>
        <v/>
      </c>
      <c r="C51" s="9">
        <f>IF(pred!$A51="","",pred!C51)</f>
        <v/>
      </c>
      <c r="D51" s="8">
        <f>IF(pred!$A51="","",pred!D51)</f>
        <v/>
      </c>
      <c r="E51" s="9">
        <f>IF(pred!$A51="","",pred!E51)</f>
        <v/>
      </c>
      <c r="F51" s="8">
        <f>IF(pred!$A51="","",pred!F51)</f>
        <v/>
      </c>
    </row>
    <row r="52">
      <c r="A52" s="8">
        <f>IF(pred!$A52="","",pred!A52)</f>
        <v/>
      </c>
      <c r="B52" s="6">
        <f>IF(pred!$A52="","",pred!B52)</f>
        <v/>
      </c>
      <c r="C52" s="9">
        <f>IF(pred!$A52="","",pred!C52)</f>
        <v/>
      </c>
      <c r="D52" s="8">
        <f>IF(pred!$A52="","",pred!D52)</f>
        <v/>
      </c>
      <c r="E52" s="9">
        <f>IF(pred!$A52="","",pred!E52)</f>
        <v/>
      </c>
      <c r="F52" s="8">
        <f>IF(pred!$A52="","",pred!F52)</f>
        <v/>
      </c>
    </row>
    <row r="53">
      <c r="A53" s="8">
        <f>IF(pred!$A53="","",pred!A53)</f>
        <v/>
      </c>
      <c r="B53" s="6">
        <f>IF(pred!$A53="","",pred!B53)</f>
        <v/>
      </c>
      <c r="C53" s="9">
        <f>IF(pred!$A53="","",pred!C53)</f>
        <v/>
      </c>
      <c r="D53" s="8">
        <f>IF(pred!$A53="","",pred!D53)</f>
        <v/>
      </c>
      <c r="E53" s="9">
        <f>IF(pred!$A53="","",pred!E53)</f>
        <v/>
      </c>
      <c r="F53" s="8">
        <f>IF(pred!$A53="","",pred!F53)</f>
        <v/>
      </c>
    </row>
    <row r="54">
      <c r="A54" s="8">
        <f>IF(pred!$A54="","",pred!A54)</f>
        <v/>
      </c>
      <c r="B54" s="6">
        <f>IF(pred!$A54="","",pred!B54)</f>
        <v/>
      </c>
      <c r="C54" s="9">
        <f>IF(pred!$A54="","",pred!C54)</f>
        <v/>
      </c>
      <c r="D54" s="8">
        <f>IF(pred!$A54="","",pred!D54)</f>
        <v/>
      </c>
      <c r="E54" s="9">
        <f>IF(pred!$A54="","",pred!E54)</f>
        <v/>
      </c>
      <c r="F54" s="8">
        <f>IF(pred!$A54="","",pred!F54)</f>
        <v/>
      </c>
    </row>
    <row r="55">
      <c r="A55" s="8">
        <f>IF(pred!$A55="","",pred!A55)</f>
        <v/>
      </c>
      <c r="B55" s="6">
        <f>IF(pred!$A55="","",pred!B55)</f>
        <v/>
      </c>
      <c r="C55" s="9">
        <f>IF(pred!$A55="","",pred!C55)</f>
        <v/>
      </c>
      <c r="D55" s="8">
        <f>IF(pred!$A55="","",pred!D55)</f>
        <v/>
      </c>
      <c r="E55" s="9">
        <f>IF(pred!$A55="","",pred!E55)</f>
        <v/>
      </c>
      <c r="F55" s="8">
        <f>IF(pred!$A55="","",pred!F55)</f>
        <v/>
      </c>
    </row>
    <row r="56">
      <c r="A56" s="8">
        <f>IF(pred!$A56="","",pred!A56)</f>
        <v/>
      </c>
      <c r="B56" s="6">
        <f>IF(pred!$A56="","",pred!B56)</f>
        <v/>
      </c>
      <c r="C56" s="9">
        <f>IF(pred!$A56="","",pred!C56)</f>
        <v/>
      </c>
      <c r="D56" s="8">
        <f>IF(pred!$A56="","",pred!D56)</f>
        <v/>
      </c>
      <c r="E56" s="9">
        <f>IF(pred!$A56="","",pred!E56)</f>
        <v/>
      </c>
      <c r="F56" s="8">
        <f>IF(pred!$A56="","",pred!F56)</f>
        <v/>
      </c>
    </row>
    <row r="57">
      <c r="A57" s="8">
        <f>IF(pred!$A57="","",pred!A57)</f>
        <v/>
      </c>
      <c r="B57" s="6">
        <f>IF(pred!$A57="","",pred!B57)</f>
        <v/>
      </c>
      <c r="C57" s="9">
        <f>IF(pred!$A57="","",pred!C57)</f>
        <v/>
      </c>
      <c r="D57" s="8">
        <f>IF(pred!$A57="","",pred!D57)</f>
        <v/>
      </c>
      <c r="E57" s="9">
        <f>IF(pred!$A57="","",pred!E57)</f>
        <v/>
      </c>
      <c r="F57" s="8">
        <f>IF(pred!$A57="","",pred!F57)</f>
        <v/>
      </c>
    </row>
    <row r="58">
      <c r="A58" s="8">
        <f>IF(pred!$A58="","",pred!A58)</f>
        <v/>
      </c>
      <c r="B58" s="6">
        <f>IF(pred!$A58="","",pred!B58)</f>
        <v/>
      </c>
      <c r="C58" s="9">
        <f>IF(pred!$A58="","",pred!C58)</f>
        <v/>
      </c>
      <c r="D58" s="8">
        <f>IF(pred!$A58="","",pred!D58)</f>
        <v/>
      </c>
      <c r="E58" s="9">
        <f>IF(pred!$A58="","",pred!E58)</f>
        <v/>
      </c>
      <c r="F58" s="8">
        <f>IF(pred!$A58="","",pred!F58)</f>
        <v/>
      </c>
    </row>
    <row r="59">
      <c r="A59" s="8">
        <f>IF(pred!$A59="","",pred!A59)</f>
        <v/>
      </c>
      <c r="B59" s="6">
        <f>IF(pred!$A59="","",pred!B59)</f>
        <v/>
      </c>
      <c r="C59" s="9">
        <f>IF(pred!$A59="","",pred!C59)</f>
        <v/>
      </c>
      <c r="D59" s="8">
        <f>IF(pred!$A59="","",pred!D59)</f>
        <v/>
      </c>
      <c r="E59" s="9">
        <f>IF(pred!$A59="","",pred!E59)</f>
        <v/>
      </c>
      <c r="F59" s="8">
        <f>IF(pred!$A59="","",pred!F59)</f>
        <v/>
      </c>
    </row>
    <row r="60">
      <c r="A60" s="8">
        <f>IF(pred!$A60="","",pred!A60)</f>
        <v/>
      </c>
      <c r="B60" s="6">
        <f>IF(pred!$A60="","",pred!B60)</f>
        <v/>
      </c>
      <c r="C60" s="9">
        <f>IF(pred!$A60="","",pred!C60)</f>
        <v/>
      </c>
      <c r="D60" s="8">
        <f>IF(pred!$A60="","",pred!D60)</f>
        <v/>
      </c>
      <c r="E60" s="9">
        <f>IF(pred!$A60="","",pred!E60)</f>
        <v/>
      </c>
      <c r="F60" s="8">
        <f>IF(pred!$A60="","",pred!F60)</f>
        <v/>
      </c>
    </row>
    <row r="61">
      <c r="A61" s="8">
        <f>IF(pred!$A61="","",pred!A61)</f>
        <v/>
      </c>
      <c r="B61" s="6">
        <f>IF(pred!$A61="","",pred!B61)</f>
        <v/>
      </c>
      <c r="C61" s="9">
        <f>IF(pred!$A61="","",pred!C61)</f>
        <v/>
      </c>
      <c r="D61" s="8">
        <f>IF(pred!$A61="","",pred!D61)</f>
        <v/>
      </c>
      <c r="E61" s="9">
        <f>IF(pred!$A61="","",pred!E61)</f>
        <v/>
      </c>
      <c r="F61" s="8">
        <f>IF(pred!$A61="","",pred!F61)</f>
        <v/>
      </c>
    </row>
    <row r="62">
      <c r="A62" s="8">
        <f>IF(pred!$A62="","",pred!A62)</f>
        <v/>
      </c>
      <c r="B62" s="6">
        <f>IF(pred!$A62="","",pred!B62)</f>
        <v/>
      </c>
      <c r="C62" s="9">
        <f>IF(pred!$A62="","",pred!C62)</f>
        <v/>
      </c>
      <c r="D62" s="8">
        <f>IF(pred!$A62="","",pred!D62)</f>
        <v/>
      </c>
      <c r="E62" s="9">
        <f>IF(pred!$A62="","",pred!E62)</f>
        <v/>
      </c>
      <c r="F62" s="8">
        <f>IF(pred!$A62="","",pred!F62)</f>
        <v/>
      </c>
    </row>
    <row r="63">
      <c r="A63" s="8">
        <f>IF(pred!$A63="","",pred!A63)</f>
        <v/>
      </c>
      <c r="B63" s="6">
        <f>IF(pred!$A63="","",pred!B63)</f>
        <v/>
      </c>
      <c r="C63" s="9">
        <f>IF(pred!$A63="","",pred!C63)</f>
        <v/>
      </c>
      <c r="D63" s="8">
        <f>IF(pred!$A63="","",pred!D63)</f>
        <v/>
      </c>
      <c r="E63" s="9">
        <f>IF(pred!$A63="","",pred!E63)</f>
        <v/>
      </c>
      <c r="F63" s="8">
        <f>IF(pred!$A63="","",pred!F63)</f>
        <v/>
      </c>
    </row>
    <row r="64">
      <c r="A64" s="8">
        <f>IF(pred!$A64="","",pred!A64)</f>
        <v/>
      </c>
      <c r="B64" s="6">
        <f>IF(pred!$A64="","",pred!B64)</f>
        <v/>
      </c>
      <c r="C64" s="9">
        <f>IF(pred!$A64="","",pred!C64)</f>
        <v/>
      </c>
      <c r="D64" s="8">
        <f>IF(pred!$A64="","",pred!D64)</f>
        <v/>
      </c>
      <c r="E64" s="9">
        <f>IF(pred!$A64="","",pred!E64)</f>
        <v/>
      </c>
      <c r="F64" s="8">
        <f>IF(pred!$A64="","",pred!F64)</f>
        <v/>
      </c>
    </row>
    <row r="65">
      <c r="A65" s="8">
        <f>IF(pred!$A65="","",pred!A65)</f>
        <v/>
      </c>
      <c r="B65" s="6">
        <f>IF(pred!$A65="","",pred!B65)</f>
        <v/>
      </c>
      <c r="C65" s="9">
        <f>IF(pred!$A65="","",pred!C65)</f>
        <v/>
      </c>
      <c r="D65" s="8">
        <f>IF(pred!$A65="","",pred!D65)</f>
        <v/>
      </c>
      <c r="E65" s="9">
        <f>IF(pred!$A65="","",pred!E65)</f>
        <v/>
      </c>
      <c r="F65" s="8">
        <f>IF(pred!$A65="","",pred!F65)</f>
        <v/>
      </c>
    </row>
    <row r="66">
      <c r="A66" s="8">
        <f>IF(pred!$A66="","",pred!A66)</f>
        <v/>
      </c>
      <c r="B66" s="6">
        <f>IF(pred!$A66="","",pred!B66)</f>
        <v/>
      </c>
      <c r="C66" s="9">
        <f>IF(pred!$A66="","",pred!C66)</f>
        <v/>
      </c>
      <c r="D66" s="8">
        <f>IF(pred!$A66="","",pred!D66)</f>
        <v/>
      </c>
      <c r="E66" s="9">
        <f>IF(pred!$A66="","",pred!E66)</f>
        <v/>
      </c>
      <c r="F66" s="8">
        <f>IF(pred!$A66="","",pred!F66)</f>
        <v/>
      </c>
    </row>
    <row r="67">
      <c r="A67" s="8">
        <f>IF(pred!$A67="","",pred!A67)</f>
        <v/>
      </c>
      <c r="B67" s="6">
        <f>IF(pred!$A67="","",pred!B67)</f>
        <v/>
      </c>
      <c r="C67" s="9">
        <f>IF(pred!$A67="","",pred!C67)</f>
        <v/>
      </c>
      <c r="D67" s="8">
        <f>IF(pred!$A67="","",pred!D67)</f>
        <v/>
      </c>
      <c r="E67" s="9">
        <f>IF(pred!$A67="","",pred!E67)</f>
        <v/>
      </c>
      <c r="F67" s="8">
        <f>IF(pred!$A67="","",pred!F67)</f>
        <v/>
      </c>
    </row>
    <row r="68">
      <c r="A68" s="8">
        <f>IF(pred!$A68="","",pred!A68)</f>
        <v/>
      </c>
      <c r="B68" s="6">
        <f>IF(pred!$A68="","",pred!B68)</f>
        <v/>
      </c>
      <c r="C68" s="9">
        <f>IF(pred!$A68="","",pred!C68)</f>
        <v/>
      </c>
      <c r="D68" s="8">
        <f>IF(pred!$A68="","",pred!D68)</f>
        <v/>
      </c>
      <c r="E68" s="9">
        <f>IF(pred!$A68="","",pred!E68)</f>
        <v/>
      </c>
      <c r="F68" s="8">
        <f>IF(pred!$A68="","",pred!F68)</f>
        <v/>
      </c>
    </row>
    <row r="69">
      <c r="A69" s="8">
        <f>IF(pred!$A69="","",pred!A69)</f>
        <v/>
      </c>
      <c r="B69" s="6">
        <f>IF(pred!$A69="","",pred!B69)</f>
        <v/>
      </c>
      <c r="C69" s="9">
        <f>IF(pred!$A69="","",pred!C69)</f>
        <v/>
      </c>
      <c r="D69" s="8">
        <f>IF(pred!$A69="","",pred!D69)</f>
        <v/>
      </c>
      <c r="E69" s="9">
        <f>IF(pred!$A69="","",pred!E69)</f>
        <v/>
      </c>
      <c r="F69" s="8">
        <f>IF(pred!$A69="","",pred!F69)</f>
        <v/>
      </c>
    </row>
    <row r="70">
      <c r="A70" s="8">
        <f>IF(pred!$A70="","",pred!A70)</f>
        <v/>
      </c>
      <c r="B70" s="6">
        <f>IF(pred!$A70="","",pred!B70)</f>
        <v/>
      </c>
      <c r="C70" s="9">
        <f>IF(pred!$A70="","",pred!C70)</f>
        <v/>
      </c>
      <c r="D70" s="8">
        <f>IF(pred!$A70="","",pred!D70)</f>
        <v/>
      </c>
      <c r="E70" s="9">
        <f>IF(pred!$A70="","",pred!E70)</f>
        <v/>
      </c>
      <c r="F70" s="8">
        <f>IF(pred!$A70="","",pred!F70)</f>
        <v/>
      </c>
    </row>
    <row r="71">
      <c r="A71" s="8">
        <f>IF(pred!$A71="","",pred!A71)</f>
        <v/>
      </c>
      <c r="B71" s="6">
        <f>IF(pred!$A71="","",pred!B71)</f>
        <v/>
      </c>
      <c r="C71" s="9">
        <f>IF(pred!$A71="","",pred!C71)</f>
        <v/>
      </c>
      <c r="D71" s="8">
        <f>IF(pred!$A71="","",pred!D71)</f>
        <v/>
      </c>
      <c r="E71" s="9">
        <f>IF(pred!$A71="","",pred!E71)</f>
        <v/>
      </c>
      <c r="F71" s="8">
        <f>IF(pred!$A71="","",pred!F71)</f>
        <v/>
      </c>
    </row>
    <row r="72">
      <c r="A72" s="8">
        <f>IF(pred!$A72="","",pred!A72)</f>
        <v/>
      </c>
      <c r="B72" s="6">
        <f>IF(pred!$A72="","",pred!B72)</f>
        <v/>
      </c>
      <c r="C72" s="9">
        <f>IF(pred!$A72="","",pred!C72)</f>
        <v/>
      </c>
      <c r="D72" s="8">
        <f>IF(pred!$A72="","",pred!D72)</f>
        <v/>
      </c>
      <c r="E72" s="9">
        <f>IF(pred!$A72="","",pred!E72)</f>
        <v/>
      </c>
      <c r="F72" s="8">
        <f>IF(pred!$A72="","",pred!F72)</f>
        <v/>
      </c>
    </row>
    <row r="73">
      <c r="A73" s="8">
        <f>IF(pred!$A73="","",pred!A73)</f>
        <v/>
      </c>
      <c r="B73" s="6">
        <f>IF(pred!$A73="","",pred!B73)</f>
        <v/>
      </c>
      <c r="C73" s="9">
        <f>IF(pred!$A73="","",pred!C73)</f>
        <v/>
      </c>
      <c r="D73" s="8">
        <f>IF(pred!$A73="","",pred!D73)</f>
        <v/>
      </c>
      <c r="E73" s="9">
        <f>IF(pred!$A73="","",pred!E73)</f>
        <v/>
      </c>
      <c r="F73" s="8">
        <f>IF(pred!$A73="","",pred!F73)</f>
        <v/>
      </c>
    </row>
    <row r="74">
      <c r="A74" s="8">
        <f>IF(pred!$A74="","",pred!A74)</f>
        <v/>
      </c>
      <c r="B74" s="6">
        <f>IF(pred!$A74="","",pred!B74)</f>
        <v/>
      </c>
      <c r="C74" s="9">
        <f>IF(pred!$A74="","",pred!C74)</f>
        <v/>
      </c>
      <c r="D74" s="8">
        <f>IF(pred!$A74="","",pred!D74)</f>
        <v/>
      </c>
      <c r="E74" s="9">
        <f>IF(pred!$A74="","",pred!E74)</f>
        <v/>
      </c>
      <c r="F74" s="8">
        <f>IF(pred!$A74="","",pred!F74)</f>
        <v/>
      </c>
    </row>
    <row r="75">
      <c r="A75" s="8">
        <f>IF(pred!$A75="","",pred!A75)</f>
        <v/>
      </c>
      <c r="B75" s="6">
        <f>IF(pred!$A75="","",pred!B75)</f>
        <v/>
      </c>
      <c r="C75" s="9">
        <f>IF(pred!$A75="","",pred!C75)</f>
        <v/>
      </c>
      <c r="D75" s="8">
        <f>IF(pred!$A75="","",pred!D75)</f>
        <v/>
      </c>
      <c r="E75" s="9">
        <f>IF(pred!$A75="","",pred!E75)</f>
        <v/>
      </c>
      <c r="F75" s="8">
        <f>IF(pred!$A75="","",pred!F75)</f>
        <v/>
      </c>
    </row>
    <row r="76">
      <c r="A76" s="8">
        <f>IF(pred!$A76="","",pred!A76)</f>
        <v/>
      </c>
      <c r="B76" s="6">
        <f>IF(pred!$A76="","",pred!B76)</f>
        <v/>
      </c>
      <c r="C76" s="9">
        <f>IF(pred!$A76="","",pred!C76)</f>
        <v/>
      </c>
      <c r="D76" s="8">
        <f>IF(pred!$A76="","",pred!D76)</f>
        <v/>
      </c>
      <c r="E76" s="9">
        <f>IF(pred!$A76="","",pred!E76)</f>
        <v/>
      </c>
      <c r="F76" s="8">
        <f>IF(pred!$A76="","",pred!F76)</f>
        <v/>
      </c>
    </row>
    <row r="77">
      <c r="A77" s="8">
        <f>IF(pred!$A77="","",pred!A77)</f>
        <v/>
      </c>
      <c r="B77" s="6">
        <f>IF(pred!$A77="","",pred!B77)</f>
        <v/>
      </c>
      <c r="C77" s="9">
        <f>IF(pred!$A77="","",pred!C77)</f>
        <v/>
      </c>
      <c r="D77" s="8">
        <f>IF(pred!$A77="","",pred!D77)</f>
        <v/>
      </c>
      <c r="E77" s="9">
        <f>IF(pred!$A77="","",pred!E77)</f>
        <v/>
      </c>
      <c r="F77" s="8">
        <f>IF(pred!$A77="","",pred!F77)</f>
        <v/>
      </c>
    </row>
    <row r="78">
      <c r="A78" s="8">
        <f>IF(pred!$A78="","",pred!A78)</f>
        <v/>
      </c>
      <c r="B78" s="6">
        <f>IF(pred!$A78="","",pred!B78)</f>
        <v/>
      </c>
      <c r="C78" s="9">
        <f>IF(pred!$A78="","",pred!C78)</f>
        <v/>
      </c>
      <c r="D78" s="8">
        <f>IF(pred!$A78="","",pred!D78)</f>
        <v/>
      </c>
      <c r="E78" s="9">
        <f>IF(pred!$A78="","",pred!E78)</f>
        <v/>
      </c>
      <c r="F78" s="8">
        <f>IF(pred!$A78="","",pred!F78)</f>
        <v/>
      </c>
    </row>
    <row r="79">
      <c r="A79" s="8">
        <f>IF(pred!$A79="","",pred!A79)</f>
        <v/>
      </c>
      <c r="B79" s="6">
        <f>IF(pred!$A79="","",pred!B79)</f>
        <v/>
      </c>
      <c r="C79" s="9">
        <f>IF(pred!$A79="","",pred!C79)</f>
        <v/>
      </c>
      <c r="D79" s="8">
        <f>IF(pred!$A79="","",pred!D79)</f>
        <v/>
      </c>
      <c r="E79" s="9">
        <f>IF(pred!$A79="","",pred!E79)</f>
        <v/>
      </c>
      <c r="F79" s="8">
        <f>IF(pred!$A79="","",pred!F79)</f>
        <v/>
      </c>
    </row>
    <row r="80">
      <c r="A80" s="8">
        <f>IF(pred!$A80="","",pred!A80)</f>
        <v/>
      </c>
      <c r="B80" s="6">
        <f>IF(pred!$A80="","",pred!B80)</f>
        <v/>
      </c>
      <c r="C80" s="9">
        <f>IF(pred!$A80="","",pred!C80)</f>
        <v/>
      </c>
      <c r="D80" s="8">
        <f>IF(pred!$A80="","",pred!D80)</f>
        <v/>
      </c>
      <c r="E80" s="9">
        <f>IF(pred!$A80="","",pred!E80)</f>
        <v/>
      </c>
      <c r="F80" s="8">
        <f>IF(pred!$A80="","",pred!F80)</f>
        <v/>
      </c>
    </row>
    <row r="81">
      <c r="A81" s="8">
        <f>IF(pred!$A81="","",pred!A81)</f>
        <v/>
      </c>
      <c r="B81" s="6">
        <f>IF(pred!$A81="","",pred!B81)</f>
        <v/>
      </c>
      <c r="C81" s="9">
        <f>IF(pred!$A81="","",pred!C81)</f>
        <v/>
      </c>
      <c r="D81" s="8">
        <f>IF(pred!$A81="","",pred!D81)</f>
        <v/>
      </c>
      <c r="E81" s="9">
        <f>IF(pred!$A81="","",pred!E81)</f>
        <v/>
      </c>
      <c r="F81" s="8">
        <f>IF(pred!$A81="","",pred!F81)</f>
        <v/>
      </c>
    </row>
    <row r="82">
      <c r="A82" s="8">
        <f>IF(pred!$A82="","",pred!A82)</f>
        <v/>
      </c>
      <c r="B82" s="6">
        <f>IF(pred!$A82="","",pred!B82)</f>
        <v/>
      </c>
      <c r="C82" s="9">
        <f>IF(pred!$A82="","",pred!C82)</f>
        <v/>
      </c>
      <c r="D82" s="8">
        <f>IF(pred!$A82="","",pred!D82)</f>
        <v/>
      </c>
      <c r="E82" s="9">
        <f>IF(pred!$A82="","",pred!E82)</f>
        <v/>
      </c>
      <c r="F82" s="8">
        <f>IF(pred!$A82="","",pred!F82)</f>
        <v/>
      </c>
    </row>
    <row r="83">
      <c r="A83" s="8">
        <f>IF(pred!$A83="","",pred!A83)</f>
        <v/>
      </c>
      <c r="B83" s="6">
        <f>IF(pred!$A83="","",pred!B83)</f>
        <v/>
      </c>
      <c r="C83" s="9">
        <f>IF(pred!$A83="","",pred!C83)</f>
        <v/>
      </c>
      <c r="D83" s="8">
        <f>IF(pred!$A83="","",pred!D83)</f>
        <v/>
      </c>
      <c r="E83" s="9">
        <f>IF(pred!$A83="","",pred!E83)</f>
        <v/>
      </c>
      <c r="F83" s="8">
        <f>IF(pred!$A83="","",pred!F83)</f>
        <v/>
      </c>
    </row>
    <row r="84">
      <c r="A84" s="8">
        <f>IF(pred!$A84="","",pred!A84)</f>
        <v/>
      </c>
      <c r="B84" s="6">
        <f>IF(pred!$A84="","",pred!B84)</f>
        <v/>
      </c>
      <c r="C84" s="9">
        <f>IF(pred!$A84="","",pred!C84)</f>
        <v/>
      </c>
      <c r="D84" s="8">
        <f>IF(pred!$A84="","",pred!D84)</f>
        <v/>
      </c>
      <c r="E84" s="9">
        <f>IF(pred!$A84="","",pred!E84)</f>
        <v/>
      </c>
      <c r="F84" s="8">
        <f>IF(pred!$A84="","",pred!F84)</f>
        <v/>
      </c>
    </row>
    <row r="85">
      <c r="A85" s="8">
        <f>IF(pred!$A85="","",pred!A85)</f>
        <v/>
      </c>
      <c r="B85" s="6">
        <f>IF(pred!$A85="","",pred!B85)</f>
        <v/>
      </c>
      <c r="C85" s="9">
        <f>IF(pred!$A85="","",pred!C85)</f>
        <v/>
      </c>
      <c r="D85" s="8">
        <f>IF(pred!$A85="","",pred!D85)</f>
        <v/>
      </c>
      <c r="E85" s="9">
        <f>IF(pred!$A85="","",pred!E85)</f>
        <v/>
      </c>
      <c r="F85" s="8">
        <f>IF(pred!$A85="","",pred!F85)</f>
        <v/>
      </c>
    </row>
    <row r="86">
      <c r="A86" s="8">
        <f>IF(pred!$A86="","",pred!A86)</f>
        <v/>
      </c>
      <c r="B86" s="6">
        <f>IF(pred!$A86="","",pred!B86)</f>
        <v/>
      </c>
      <c r="C86" s="9">
        <f>IF(pred!$A86="","",pred!C86)</f>
        <v/>
      </c>
      <c r="D86" s="8">
        <f>IF(pred!$A86="","",pred!D86)</f>
        <v/>
      </c>
      <c r="E86" s="9">
        <f>IF(pred!$A86="","",pred!E86)</f>
        <v/>
      </c>
      <c r="F86" s="8">
        <f>IF(pred!$A86="","",pred!F86)</f>
        <v/>
      </c>
    </row>
    <row r="87">
      <c r="A87" s="8">
        <f>IF(pred!$A87="","",pred!A87)</f>
        <v/>
      </c>
      <c r="B87" s="6">
        <f>IF(pred!$A87="","",pred!B87)</f>
        <v/>
      </c>
      <c r="C87" s="9">
        <f>IF(pred!$A87="","",pred!C87)</f>
        <v/>
      </c>
      <c r="D87" s="8">
        <f>IF(pred!$A87="","",pred!D87)</f>
        <v/>
      </c>
      <c r="E87" s="9">
        <f>IF(pred!$A87="","",pred!E87)</f>
        <v/>
      </c>
      <c r="F87" s="8">
        <f>IF(pred!$A87="","",pred!F87)</f>
        <v/>
      </c>
    </row>
    <row r="88">
      <c r="A88" s="8">
        <f>IF(pred!$A88="","",pred!A88)</f>
        <v/>
      </c>
      <c r="B88" s="6">
        <f>IF(pred!$A88="","",pred!B88)</f>
        <v/>
      </c>
      <c r="C88" s="9">
        <f>IF(pred!$A88="","",pred!C88)</f>
        <v/>
      </c>
      <c r="D88" s="8">
        <f>IF(pred!$A88="","",pred!D88)</f>
        <v/>
      </c>
      <c r="E88" s="9">
        <f>IF(pred!$A88="","",pred!E88)</f>
        <v/>
      </c>
      <c r="F88" s="8">
        <f>IF(pred!$A88="","",pred!F88)</f>
        <v/>
      </c>
    </row>
    <row r="89">
      <c r="A89" s="8">
        <f>IF(pred!$A89="","",pred!A89)</f>
        <v/>
      </c>
      <c r="B89" s="6">
        <f>IF(pred!$A89="","",pred!B89)</f>
        <v/>
      </c>
      <c r="C89" s="9">
        <f>IF(pred!$A89="","",pred!C89)</f>
        <v/>
      </c>
      <c r="D89" s="8">
        <f>IF(pred!$A89="","",pred!D89)</f>
        <v/>
      </c>
      <c r="E89" s="9">
        <f>IF(pred!$A89="","",pred!E89)</f>
        <v/>
      </c>
      <c r="F89" s="8">
        <f>IF(pred!$A89="","",pred!F89)</f>
        <v/>
      </c>
    </row>
    <row r="90">
      <c r="A90" s="8">
        <f>IF(pred!$A90="","",pred!A90)</f>
        <v/>
      </c>
      <c r="B90" s="6">
        <f>IF(pred!$A90="","",pred!B90)</f>
        <v/>
      </c>
      <c r="C90" s="9">
        <f>IF(pred!$A90="","",pred!C90)</f>
        <v/>
      </c>
      <c r="D90" s="8">
        <f>IF(pred!$A90="","",pred!D90)</f>
        <v/>
      </c>
      <c r="E90" s="9">
        <f>IF(pred!$A90="","",pred!E90)</f>
        <v/>
      </c>
      <c r="F90" s="8">
        <f>IF(pred!$A90="","",pred!F90)</f>
        <v/>
      </c>
    </row>
    <row r="91">
      <c r="A91" s="8">
        <f>IF(pred!$A91="","",pred!A91)</f>
        <v/>
      </c>
      <c r="B91" s="6">
        <f>IF(pred!$A91="","",pred!B91)</f>
        <v/>
      </c>
      <c r="C91" s="9">
        <f>IF(pred!$A91="","",pred!C91)</f>
        <v/>
      </c>
      <c r="D91" s="8">
        <f>IF(pred!$A91="","",pred!D91)</f>
        <v/>
      </c>
      <c r="E91" s="9">
        <f>IF(pred!$A91="","",pred!E91)</f>
        <v/>
      </c>
      <c r="F91" s="8">
        <f>IF(pred!$A91="","",pred!F91)</f>
        <v/>
      </c>
    </row>
    <row r="92">
      <c r="A92" s="8">
        <f>IF(pred!$A92="","",pred!A92)</f>
        <v/>
      </c>
      <c r="B92" s="6">
        <f>IF(pred!$A92="","",pred!B92)</f>
        <v/>
      </c>
      <c r="C92" s="9">
        <f>IF(pred!$A92="","",pred!C92)</f>
        <v/>
      </c>
      <c r="D92" s="8">
        <f>IF(pred!$A92="","",pred!D92)</f>
        <v/>
      </c>
      <c r="E92" s="9">
        <f>IF(pred!$A92="","",pred!E92)</f>
        <v/>
      </c>
      <c r="F92" s="8">
        <f>IF(pred!$A92="","",pred!F92)</f>
        <v/>
      </c>
    </row>
    <row r="93">
      <c r="A93" s="8">
        <f>IF(pred!$A93="","",pred!A93)</f>
        <v/>
      </c>
      <c r="B93" s="6">
        <f>IF(pred!$A93="","",pred!B93)</f>
        <v/>
      </c>
      <c r="C93" s="9">
        <f>IF(pred!$A93="","",pred!C93)</f>
        <v/>
      </c>
      <c r="D93" s="8">
        <f>IF(pred!$A93="","",pred!D93)</f>
        <v/>
      </c>
      <c r="E93" s="9">
        <f>IF(pred!$A93="","",pred!E93)</f>
        <v/>
      </c>
      <c r="F93" s="8">
        <f>IF(pred!$A93="","",pred!F93)</f>
        <v/>
      </c>
    </row>
    <row r="94">
      <c r="A94" s="8">
        <f>IF(pred!$A94="","",pred!A94)</f>
        <v/>
      </c>
      <c r="B94" s="6">
        <f>IF(pred!$A94="","",pred!B94)</f>
        <v/>
      </c>
      <c r="C94" s="9">
        <f>IF(pred!$A94="","",pred!C94)</f>
        <v/>
      </c>
      <c r="D94" s="8">
        <f>IF(pred!$A94="","",pred!D94)</f>
        <v/>
      </c>
      <c r="E94" s="9">
        <f>IF(pred!$A94="","",pred!E94)</f>
        <v/>
      </c>
      <c r="F94" s="8">
        <f>IF(pred!$A94="","",pred!F94)</f>
        <v/>
      </c>
    </row>
    <row r="95">
      <c r="A95" s="8">
        <f>IF(pred!$A95="","",pred!A95)</f>
        <v/>
      </c>
      <c r="B95" s="6">
        <f>IF(pred!$A95="","",pred!B95)</f>
        <v/>
      </c>
      <c r="C95" s="9">
        <f>IF(pred!$A95="","",pred!C95)</f>
        <v/>
      </c>
      <c r="D95" s="8">
        <f>IF(pred!$A95="","",pred!D95)</f>
        <v/>
      </c>
      <c r="E95" s="9">
        <f>IF(pred!$A95="","",pred!E95)</f>
        <v/>
      </c>
      <c r="F95" s="8">
        <f>IF(pred!$A95="","",pred!F95)</f>
        <v/>
      </c>
    </row>
    <row r="96">
      <c r="A96" s="8">
        <f>IF(pred!$A96="","",pred!A96)</f>
        <v/>
      </c>
      <c r="B96" s="6">
        <f>IF(pred!$A96="","",pred!B96)</f>
        <v/>
      </c>
      <c r="C96" s="9">
        <f>IF(pred!$A96="","",pred!C96)</f>
        <v/>
      </c>
      <c r="D96" s="8">
        <f>IF(pred!$A96="","",pred!D96)</f>
        <v/>
      </c>
      <c r="E96" s="9">
        <f>IF(pred!$A96="","",pred!E96)</f>
        <v/>
      </c>
      <c r="F96" s="8">
        <f>IF(pred!$A96="","",pred!F96)</f>
        <v/>
      </c>
    </row>
    <row r="97">
      <c r="A97" s="8">
        <f>IF(pred!$A97="","",pred!A97)</f>
        <v/>
      </c>
      <c r="B97" s="6">
        <f>IF(pred!$A97="","",pred!B97)</f>
        <v/>
      </c>
      <c r="C97" s="9">
        <f>IF(pred!$A97="","",pred!C97)</f>
        <v/>
      </c>
      <c r="D97" s="8">
        <f>IF(pred!$A97="","",pred!D97)</f>
        <v/>
      </c>
      <c r="E97" s="9">
        <f>IF(pred!$A97="","",pred!E97)</f>
        <v/>
      </c>
      <c r="F97" s="8">
        <f>IF(pred!$A97="","",pred!F97)</f>
        <v/>
      </c>
    </row>
    <row r="98">
      <c r="A98" s="8">
        <f>IF(pred!$A98="","",pred!A98)</f>
        <v/>
      </c>
      <c r="B98" s="6">
        <f>IF(pred!$A98="","",pred!B98)</f>
        <v/>
      </c>
      <c r="C98" s="9">
        <f>IF(pred!$A98="","",pred!C98)</f>
        <v/>
      </c>
      <c r="D98" s="8">
        <f>IF(pred!$A98="","",pred!D98)</f>
        <v/>
      </c>
      <c r="E98" s="9">
        <f>IF(pred!$A98="","",pred!E98)</f>
        <v/>
      </c>
      <c r="F98" s="8">
        <f>IF(pred!$A98="","",pred!F98)</f>
        <v/>
      </c>
    </row>
    <row r="99">
      <c r="A99" s="8">
        <f>IF(pred!$A99="","",pred!A99)</f>
        <v/>
      </c>
      <c r="B99" s="6">
        <f>IF(pred!$A99="","",pred!B99)</f>
        <v/>
      </c>
      <c r="C99" s="9">
        <f>IF(pred!$A99="","",pred!C99)</f>
        <v/>
      </c>
      <c r="D99" s="8">
        <f>IF(pred!$A99="","",pred!D99)</f>
        <v/>
      </c>
      <c r="E99" s="9">
        <f>IF(pred!$A99="","",pred!E99)</f>
        <v/>
      </c>
      <c r="F99" s="8">
        <f>IF(pred!$A99="","",pred!F99)</f>
        <v/>
      </c>
    </row>
    <row r="100">
      <c r="A100" s="8">
        <f>IF(pred!$A100="","",pred!A100)</f>
        <v/>
      </c>
      <c r="B100" s="6">
        <f>IF(pred!$A100="","",pred!B100)</f>
        <v/>
      </c>
      <c r="C100" s="9">
        <f>IF(pred!$A100="","",pred!C100)</f>
        <v/>
      </c>
      <c r="D100" s="8">
        <f>IF(pred!$A100="","",pred!D100)</f>
        <v/>
      </c>
      <c r="E100" s="9">
        <f>IF(pred!$A100="","",pred!E100)</f>
        <v/>
      </c>
      <c r="F100" s="8">
        <f>IF(pred!$A100="","",pred!F100)</f>
        <v/>
      </c>
    </row>
    <row r="101">
      <c r="A101" s="8">
        <f>IF(pred!$A101="","",pred!A101)</f>
        <v/>
      </c>
      <c r="B101" s="6">
        <f>IF(pred!$A101="","",pred!B101)</f>
        <v/>
      </c>
      <c r="C101" s="9">
        <f>IF(pred!$A101="","",pred!C101)</f>
        <v/>
      </c>
      <c r="D101" s="8">
        <f>IF(pred!$A101="","",pred!D101)</f>
        <v/>
      </c>
      <c r="E101" s="9">
        <f>IF(pred!$A101="","",pred!E101)</f>
        <v/>
      </c>
      <c r="F101" s="8">
        <f>IF(pred!$A101="","",pred!F101)</f>
        <v/>
      </c>
    </row>
    <row r="102">
      <c r="A102" s="8">
        <f>IF(pred!$A102="","",pred!A102)</f>
        <v/>
      </c>
      <c r="B102" s="6">
        <f>IF(pred!$A102="","",pred!B102)</f>
        <v/>
      </c>
      <c r="C102" s="9">
        <f>IF(pred!$A102="","",pred!C102)</f>
        <v/>
      </c>
      <c r="D102" s="8">
        <f>IF(pred!$A102="","",pred!D102)</f>
        <v/>
      </c>
      <c r="E102" s="9">
        <f>IF(pred!$A102="","",pred!E102)</f>
        <v/>
      </c>
      <c r="F102" s="8">
        <f>IF(pred!$A102="","",pred!F102)</f>
        <v/>
      </c>
    </row>
    <row r="103">
      <c r="A103" s="8">
        <f>IF(pred!$A103="","",pred!A103)</f>
        <v/>
      </c>
      <c r="B103" s="6">
        <f>IF(pred!$A103="","",pred!B103)</f>
        <v/>
      </c>
      <c r="C103" s="9">
        <f>IF(pred!$A103="","",pred!C103)</f>
        <v/>
      </c>
      <c r="D103" s="8">
        <f>IF(pred!$A103="","",pred!D103)</f>
        <v/>
      </c>
      <c r="E103" s="9">
        <f>IF(pred!$A103="","",pred!E103)</f>
        <v/>
      </c>
      <c r="F103" s="8">
        <f>IF(pred!$A103="","",pred!F103)</f>
        <v/>
      </c>
    </row>
    <row r="104">
      <c r="A104" s="8">
        <f>IF(pred!$A104="","",pred!A104)</f>
        <v/>
      </c>
      <c r="B104" s="6">
        <f>IF(pred!$A104="","",pred!B104)</f>
        <v/>
      </c>
      <c r="C104" s="9">
        <f>IF(pred!$A104="","",pred!C104)</f>
        <v/>
      </c>
      <c r="D104" s="8">
        <f>IF(pred!$A104="","",pred!D104)</f>
        <v/>
      </c>
      <c r="E104" s="9">
        <f>IF(pred!$A104="","",pred!E104)</f>
        <v/>
      </c>
      <c r="F104" s="8">
        <f>IF(pred!$A104="","",pred!F104)</f>
        <v/>
      </c>
    </row>
    <row r="105">
      <c r="A105" s="8">
        <f>IF(pred!$A105="","",pred!A105)</f>
        <v/>
      </c>
      <c r="B105" s="6">
        <f>IF(pred!$A105="","",pred!B105)</f>
        <v/>
      </c>
      <c r="C105" s="9">
        <f>IF(pred!$A105="","",pred!C105)</f>
        <v/>
      </c>
      <c r="D105" s="8">
        <f>IF(pred!$A105="","",pred!D105)</f>
        <v/>
      </c>
      <c r="E105" s="9">
        <f>IF(pred!$A105="","",pred!E105)</f>
        <v/>
      </c>
      <c r="F105" s="8">
        <f>IF(pred!$A105="","",pred!F105)</f>
        <v/>
      </c>
    </row>
    <row r="106">
      <c r="A106" s="8">
        <f>IF(pred!$A106="","",pred!A106)</f>
        <v/>
      </c>
      <c r="B106" s="6">
        <f>IF(pred!$A106="","",pred!B106)</f>
        <v/>
      </c>
      <c r="C106" s="9">
        <f>IF(pred!$A106="","",pred!C106)</f>
        <v/>
      </c>
      <c r="D106" s="8">
        <f>IF(pred!$A106="","",pred!D106)</f>
        <v/>
      </c>
      <c r="E106" s="9">
        <f>IF(pred!$A106="","",pred!E106)</f>
        <v/>
      </c>
      <c r="F106" s="8">
        <f>IF(pred!$A106="","",pred!F106)</f>
        <v/>
      </c>
    </row>
    <row r="107">
      <c r="A107" s="8">
        <f>IF(pred!$A107="","",pred!A107)</f>
        <v/>
      </c>
      <c r="B107" s="6">
        <f>IF(pred!$A107="","",pred!B107)</f>
        <v/>
      </c>
      <c r="C107" s="9">
        <f>IF(pred!$A107="","",pred!C107)</f>
        <v/>
      </c>
      <c r="D107" s="8">
        <f>IF(pred!$A107="","",pred!D107)</f>
        <v/>
      </c>
      <c r="E107" s="9">
        <f>IF(pred!$A107="","",pred!E107)</f>
        <v/>
      </c>
      <c r="F107" s="8">
        <f>IF(pred!$A107="","",pred!F107)</f>
        <v/>
      </c>
    </row>
    <row r="108">
      <c r="A108" s="8">
        <f>IF(pred!$A108="","",pred!A108)</f>
        <v/>
      </c>
      <c r="B108" s="6">
        <f>IF(pred!$A108="","",pred!B108)</f>
        <v/>
      </c>
      <c r="C108" s="9">
        <f>IF(pred!$A108="","",pred!C108)</f>
        <v/>
      </c>
      <c r="D108" s="8">
        <f>IF(pred!$A108="","",pred!D108)</f>
        <v/>
      </c>
      <c r="E108" s="9">
        <f>IF(pred!$A108="","",pred!E108)</f>
        <v/>
      </c>
      <c r="F108" s="8">
        <f>IF(pred!$A108="","",pred!F108)</f>
        <v/>
      </c>
    </row>
    <row r="109">
      <c r="A109" s="8">
        <f>IF(pred!$A109="","",pred!A109)</f>
        <v/>
      </c>
      <c r="B109" s="6">
        <f>IF(pred!$A109="","",pred!B109)</f>
        <v/>
      </c>
      <c r="C109" s="9">
        <f>IF(pred!$A109="","",pred!C109)</f>
        <v/>
      </c>
      <c r="D109" s="8">
        <f>IF(pred!$A109="","",pred!D109)</f>
        <v/>
      </c>
      <c r="E109" s="9">
        <f>IF(pred!$A109="","",pred!E109)</f>
        <v/>
      </c>
      <c r="F109" s="8">
        <f>IF(pred!$A109="","",pred!F109)</f>
        <v/>
      </c>
    </row>
    <row r="110">
      <c r="A110" s="8">
        <f>IF(pred!$A110="","",pred!A110)</f>
        <v/>
      </c>
      <c r="B110" s="6">
        <f>IF(pred!$A110="","",pred!B110)</f>
        <v/>
      </c>
      <c r="C110" s="9">
        <f>IF(pred!$A110="","",pred!C110)</f>
        <v/>
      </c>
      <c r="D110" s="8">
        <f>IF(pred!$A110="","",pred!D110)</f>
        <v/>
      </c>
      <c r="E110" s="9">
        <f>IF(pred!$A110="","",pred!E110)</f>
        <v/>
      </c>
      <c r="F110" s="8">
        <f>IF(pred!$A110="","",pred!F110)</f>
        <v/>
      </c>
    </row>
    <row r="111">
      <c r="A111" s="8">
        <f>IF(pred!$A111="","",pred!A111)</f>
        <v/>
      </c>
      <c r="B111" s="6">
        <f>IF(pred!$A111="","",pred!B111)</f>
        <v/>
      </c>
      <c r="C111" s="9">
        <f>IF(pred!$A111="","",pred!C111)</f>
        <v/>
      </c>
      <c r="D111" s="8">
        <f>IF(pred!$A111="","",pred!D111)</f>
        <v/>
      </c>
      <c r="E111" s="9">
        <f>IF(pred!$A111="","",pred!E111)</f>
        <v/>
      </c>
      <c r="F111" s="8">
        <f>IF(pred!$A111="","",pred!F111)</f>
        <v/>
      </c>
    </row>
    <row r="112">
      <c r="A112" s="8">
        <f>IF(pred!$A112="","",pred!A112)</f>
        <v/>
      </c>
      <c r="B112" s="6">
        <f>IF(pred!$A112="","",pred!B112)</f>
        <v/>
      </c>
      <c r="C112" s="9">
        <f>IF(pred!$A112="","",pred!C112)</f>
        <v/>
      </c>
      <c r="D112" s="8">
        <f>IF(pred!$A112="","",pred!D112)</f>
        <v/>
      </c>
      <c r="E112" s="9">
        <f>IF(pred!$A112="","",pred!E112)</f>
        <v/>
      </c>
      <c r="F112" s="8">
        <f>IF(pred!$A112="","",pred!F112)</f>
        <v/>
      </c>
    </row>
    <row r="113">
      <c r="A113" s="8">
        <f>IF(pred!$A113="","",pred!A113)</f>
        <v/>
      </c>
      <c r="B113" s="6">
        <f>IF(pred!$A113="","",pred!B113)</f>
        <v/>
      </c>
      <c r="C113" s="9">
        <f>IF(pred!$A113="","",pred!C113)</f>
        <v/>
      </c>
      <c r="D113" s="8">
        <f>IF(pred!$A113="","",pred!D113)</f>
        <v/>
      </c>
      <c r="E113" s="9">
        <f>IF(pred!$A113="","",pred!E113)</f>
        <v/>
      </c>
      <c r="F113" s="8">
        <f>IF(pred!$A113="","",pred!F113)</f>
        <v/>
      </c>
    </row>
    <row r="114">
      <c r="A114" s="8">
        <f>IF(pred!$A114="","",pred!A114)</f>
        <v/>
      </c>
      <c r="B114" s="6">
        <f>IF(pred!$A114="","",pred!B114)</f>
        <v/>
      </c>
      <c r="C114" s="9">
        <f>IF(pred!$A114="","",pred!C114)</f>
        <v/>
      </c>
      <c r="D114" s="8">
        <f>IF(pred!$A114="","",pred!D114)</f>
        <v/>
      </c>
      <c r="E114" s="9">
        <f>IF(pred!$A114="","",pred!E114)</f>
        <v/>
      </c>
      <c r="F114" s="8">
        <f>IF(pred!$A114="","",pred!F114)</f>
        <v/>
      </c>
    </row>
    <row r="115">
      <c r="A115" s="8">
        <f>IF(pred!$A115="","",pred!A115)</f>
        <v/>
      </c>
      <c r="B115" s="6">
        <f>IF(pred!$A115="","",pred!B115)</f>
        <v/>
      </c>
      <c r="C115" s="9">
        <f>IF(pred!$A115="","",pred!C115)</f>
        <v/>
      </c>
      <c r="D115" s="8">
        <f>IF(pred!$A115="","",pred!D115)</f>
        <v/>
      </c>
      <c r="E115" s="9">
        <f>IF(pred!$A115="","",pred!E115)</f>
        <v/>
      </c>
      <c r="F115" s="8">
        <f>IF(pred!$A115="","",pred!F115)</f>
        <v/>
      </c>
    </row>
    <row r="116">
      <c r="A116" s="8">
        <f>IF(pred!$A116="","",pred!A116)</f>
        <v/>
      </c>
      <c r="B116" s="6">
        <f>IF(pred!$A116="","",pred!B116)</f>
        <v/>
      </c>
      <c r="C116" s="9">
        <f>IF(pred!$A116="","",pred!C116)</f>
        <v/>
      </c>
      <c r="D116" s="8">
        <f>IF(pred!$A116="","",pred!D116)</f>
        <v/>
      </c>
      <c r="E116" s="9">
        <f>IF(pred!$A116="","",pred!E116)</f>
        <v/>
      </c>
      <c r="F116" s="8">
        <f>IF(pred!$A116="","",pred!F116)</f>
        <v/>
      </c>
    </row>
    <row r="117">
      <c r="A117" s="8">
        <f>IF(pred!$A117="","",pred!A117)</f>
        <v/>
      </c>
      <c r="B117" s="6">
        <f>IF(pred!$A117="","",pred!B117)</f>
        <v/>
      </c>
      <c r="C117" s="9">
        <f>IF(pred!$A117="","",pred!C117)</f>
        <v/>
      </c>
      <c r="D117" s="8">
        <f>IF(pred!$A117="","",pred!D117)</f>
        <v/>
      </c>
      <c r="E117" s="9">
        <f>IF(pred!$A117="","",pred!E117)</f>
        <v/>
      </c>
      <c r="F117" s="8">
        <f>IF(pred!$A117="","",pred!F117)</f>
        <v/>
      </c>
    </row>
    <row r="118">
      <c r="A118" s="8">
        <f>IF(pred!$A118="","",pred!A118)</f>
        <v/>
      </c>
      <c r="B118" s="6">
        <f>IF(pred!$A118="","",pred!B118)</f>
        <v/>
      </c>
      <c r="C118" s="9">
        <f>IF(pred!$A118="","",pred!C118)</f>
        <v/>
      </c>
      <c r="D118" s="8">
        <f>IF(pred!$A118="","",pred!D118)</f>
        <v/>
      </c>
      <c r="E118" s="9">
        <f>IF(pred!$A118="","",pred!E118)</f>
        <v/>
      </c>
      <c r="F118" s="8">
        <f>IF(pred!$A118="","",pred!F118)</f>
        <v/>
      </c>
    </row>
    <row r="119">
      <c r="A119" s="8">
        <f>IF(pred!$A119="","",pred!A119)</f>
        <v/>
      </c>
      <c r="B119" s="6">
        <f>IF(pred!$A119="","",pred!B119)</f>
        <v/>
      </c>
      <c r="C119" s="9">
        <f>IF(pred!$A119="","",pred!C119)</f>
        <v/>
      </c>
      <c r="D119" s="8">
        <f>IF(pred!$A119="","",pred!D119)</f>
        <v/>
      </c>
      <c r="E119" s="9">
        <f>IF(pred!$A119="","",pred!E119)</f>
        <v/>
      </c>
      <c r="F119" s="8">
        <f>IF(pred!$A119="","",pred!F119)</f>
        <v/>
      </c>
    </row>
    <row r="120">
      <c r="A120" s="8">
        <f>IF(pred!$A120="","",pred!A120)</f>
        <v/>
      </c>
      <c r="B120" s="6">
        <f>IF(pred!$A120="","",pred!B120)</f>
        <v/>
      </c>
      <c r="C120" s="9">
        <f>IF(pred!$A120="","",pred!C120)</f>
        <v/>
      </c>
      <c r="D120" s="8">
        <f>IF(pred!$A120="","",pred!D120)</f>
        <v/>
      </c>
      <c r="E120" s="9">
        <f>IF(pred!$A120="","",pred!E120)</f>
        <v/>
      </c>
      <c r="F120" s="8">
        <f>IF(pred!$A120="","",pred!F120)</f>
        <v/>
      </c>
    </row>
    <row r="121">
      <c r="A121" s="8">
        <f>IF(pred!$A121="","",pred!A121)</f>
        <v/>
      </c>
      <c r="B121" s="6">
        <f>IF(pred!$A121="","",pred!B121)</f>
        <v/>
      </c>
      <c r="C121" s="9">
        <f>IF(pred!$A121="","",pred!C121)</f>
        <v/>
      </c>
      <c r="D121" s="8">
        <f>IF(pred!$A121="","",pred!D121)</f>
        <v/>
      </c>
      <c r="E121" s="9">
        <f>IF(pred!$A121="","",pred!E121)</f>
        <v/>
      </c>
      <c r="F121" s="8">
        <f>IF(pred!$A121="","",pred!F121)</f>
        <v/>
      </c>
    </row>
    <row r="122">
      <c r="A122" s="8">
        <f>IF(pred!$A122="","",pred!A122)</f>
        <v/>
      </c>
      <c r="B122" s="6">
        <f>IF(pred!$A122="","",pred!B122)</f>
        <v/>
      </c>
      <c r="C122" s="9">
        <f>IF(pred!$A122="","",pred!C122)</f>
        <v/>
      </c>
      <c r="D122" s="8">
        <f>IF(pred!$A122="","",pred!D122)</f>
        <v/>
      </c>
      <c r="E122" s="9">
        <f>IF(pred!$A122="","",pred!E122)</f>
        <v/>
      </c>
      <c r="F122" s="8">
        <f>IF(pred!$A122="","",pred!F122)</f>
        <v/>
      </c>
    </row>
    <row r="123">
      <c r="A123" s="8">
        <f>IF(pred!$A123="","",pred!A123)</f>
        <v/>
      </c>
      <c r="B123" s="6">
        <f>IF(pred!$A123="","",pred!B123)</f>
        <v/>
      </c>
      <c r="C123" s="9">
        <f>IF(pred!$A123="","",pred!C123)</f>
        <v/>
      </c>
      <c r="D123" s="8">
        <f>IF(pred!$A123="","",pred!D123)</f>
        <v/>
      </c>
      <c r="E123" s="9">
        <f>IF(pred!$A123="","",pred!E123)</f>
        <v/>
      </c>
      <c r="F123" s="8">
        <f>IF(pred!$A123="","",pred!F123)</f>
        <v/>
      </c>
    </row>
    <row r="124">
      <c r="A124" s="8">
        <f>IF(pred!$A124="","",pred!A124)</f>
        <v/>
      </c>
      <c r="B124" s="6">
        <f>IF(pred!$A124="","",pred!B124)</f>
        <v/>
      </c>
      <c r="C124" s="9">
        <f>IF(pred!$A124="","",pred!C124)</f>
        <v/>
      </c>
      <c r="D124" s="8">
        <f>IF(pred!$A124="","",pred!D124)</f>
        <v/>
      </c>
      <c r="E124" s="9">
        <f>IF(pred!$A124="","",pred!E124)</f>
        <v/>
      </c>
      <c r="F124" s="8">
        <f>IF(pred!$A124="","",pred!F124)</f>
        <v/>
      </c>
    </row>
    <row r="125">
      <c r="A125" s="8">
        <f>IF(pred!$A125="","",pred!A125)</f>
        <v/>
      </c>
      <c r="B125" s="6">
        <f>IF(pred!$A125="","",pred!B125)</f>
        <v/>
      </c>
      <c r="C125" s="9">
        <f>IF(pred!$A125="","",pred!C125)</f>
        <v/>
      </c>
      <c r="D125" s="8">
        <f>IF(pred!$A125="","",pred!D125)</f>
        <v/>
      </c>
      <c r="E125" s="9">
        <f>IF(pred!$A125="","",pred!E125)</f>
        <v/>
      </c>
      <c r="F125" s="8">
        <f>IF(pred!$A125="","",pred!F125)</f>
        <v/>
      </c>
    </row>
    <row r="126">
      <c r="A126" s="8">
        <f>IF(pred!$A126="","",pred!A126)</f>
        <v/>
      </c>
      <c r="B126" s="6">
        <f>IF(pred!$A126="","",pred!B126)</f>
        <v/>
      </c>
      <c r="C126" s="9">
        <f>IF(pred!$A126="","",pred!C126)</f>
        <v/>
      </c>
      <c r="D126" s="8">
        <f>IF(pred!$A126="","",pred!D126)</f>
        <v/>
      </c>
      <c r="E126" s="9">
        <f>IF(pred!$A126="","",pred!E126)</f>
        <v/>
      </c>
      <c r="F126" s="8">
        <f>IF(pred!$A126="","",pred!F126)</f>
        <v/>
      </c>
    </row>
    <row r="127">
      <c r="A127" s="8">
        <f>IF(pred!$A127="","",pred!A127)</f>
        <v/>
      </c>
      <c r="B127" s="6">
        <f>IF(pred!$A127="","",pred!B127)</f>
        <v/>
      </c>
      <c r="C127" s="9">
        <f>IF(pred!$A127="","",pred!C127)</f>
        <v/>
      </c>
      <c r="D127" s="8">
        <f>IF(pred!$A127="","",pred!D127)</f>
        <v/>
      </c>
      <c r="E127" s="9">
        <f>IF(pred!$A127="","",pred!E127)</f>
        <v/>
      </c>
      <c r="F127" s="8">
        <f>IF(pred!$A127="","",pred!F127)</f>
        <v/>
      </c>
    </row>
    <row r="128">
      <c r="A128" s="8">
        <f>IF(pred!$A128="","",pred!A128)</f>
        <v/>
      </c>
      <c r="B128" s="6">
        <f>IF(pred!$A128="","",pred!B128)</f>
        <v/>
      </c>
      <c r="C128" s="9">
        <f>IF(pred!$A128="","",pred!C128)</f>
        <v/>
      </c>
      <c r="D128" s="8">
        <f>IF(pred!$A128="","",pred!D128)</f>
        <v/>
      </c>
      <c r="E128" s="9">
        <f>IF(pred!$A128="","",pred!E128)</f>
        <v/>
      </c>
      <c r="F128" s="8">
        <f>IF(pred!$A128="","",pred!F128)</f>
        <v/>
      </c>
    </row>
    <row r="129">
      <c r="A129" s="8">
        <f>IF(pred!$A129="","",pred!A129)</f>
        <v/>
      </c>
      <c r="B129" s="6">
        <f>IF(pred!$A129="","",pred!B129)</f>
        <v/>
      </c>
      <c r="C129" s="9">
        <f>IF(pred!$A129="","",pred!C129)</f>
        <v/>
      </c>
      <c r="D129" s="8">
        <f>IF(pred!$A129="","",pred!D129)</f>
        <v/>
      </c>
      <c r="E129" s="9">
        <f>IF(pred!$A129="","",pred!E129)</f>
        <v/>
      </c>
      <c r="F129" s="8">
        <f>IF(pred!$A129="","",pred!F129)</f>
        <v/>
      </c>
    </row>
    <row r="130">
      <c r="A130" s="8">
        <f>IF(pred!$A130="","",pred!A130)</f>
        <v/>
      </c>
      <c r="B130" s="6">
        <f>IF(pred!$A130="","",pred!B130)</f>
        <v/>
      </c>
      <c r="C130" s="9">
        <f>IF(pred!$A130="","",pred!C130)</f>
        <v/>
      </c>
      <c r="D130" s="8">
        <f>IF(pred!$A130="","",pred!D130)</f>
        <v/>
      </c>
      <c r="E130" s="9">
        <f>IF(pred!$A130="","",pred!E130)</f>
        <v/>
      </c>
      <c r="F130" s="8">
        <f>IF(pred!$A130="","",pred!F130)</f>
        <v/>
      </c>
    </row>
    <row r="131">
      <c r="A131" s="8">
        <f>IF(pred!$A131="","",pred!A131)</f>
        <v/>
      </c>
      <c r="B131" s="6">
        <f>IF(pred!$A131="","",pred!B131)</f>
        <v/>
      </c>
      <c r="C131" s="9">
        <f>IF(pred!$A131="","",pred!C131)</f>
        <v/>
      </c>
      <c r="D131" s="8">
        <f>IF(pred!$A131="","",pred!D131)</f>
        <v/>
      </c>
      <c r="E131" s="9">
        <f>IF(pred!$A131="","",pred!E131)</f>
        <v/>
      </c>
      <c r="F131" s="8">
        <f>IF(pred!$A131="","",pred!F131)</f>
        <v/>
      </c>
    </row>
    <row r="132">
      <c r="A132" s="8">
        <f>IF(pred!$A132="","",pred!A132)</f>
        <v/>
      </c>
      <c r="B132" s="6">
        <f>IF(pred!$A132="","",pred!B132)</f>
        <v/>
      </c>
      <c r="C132" s="9">
        <f>IF(pred!$A132="","",pred!C132)</f>
        <v/>
      </c>
      <c r="D132" s="8">
        <f>IF(pred!$A132="","",pred!D132)</f>
        <v/>
      </c>
      <c r="E132" s="9">
        <f>IF(pred!$A132="","",pred!E132)</f>
        <v/>
      </c>
      <c r="F132" s="8">
        <f>IF(pred!$A132="","",pred!F132)</f>
        <v/>
      </c>
    </row>
    <row r="133">
      <c r="A133" s="8">
        <f>IF(pred!$A133="","",pred!A133)</f>
        <v/>
      </c>
      <c r="B133" s="6">
        <f>IF(pred!$A133="","",pred!B133)</f>
        <v/>
      </c>
      <c r="C133" s="9">
        <f>IF(pred!$A133="","",pred!C133)</f>
        <v/>
      </c>
      <c r="D133" s="8">
        <f>IF(pred!$A133="","",pred!D133)</f>
        <v/>
      </c>
      <c r="E133" s="9">
        <f>IF(pred!$A133="","",pred!E133)</f>
        <v/>
      </c>
      <c r="F133" s="8">
        <f>IF(pred!$A133="","",pred!F133)</f>
        <v/>
      </c>
    </row>
    <row r="134">
      <c r="A134" s="8">
        <f>IF(pred!$A134="","",pred!A134)</f>
        <v/>
      </c>
      <c r="B134" s="6">
        <f>IF(pred!$A134="","",pred!B134)</f>
        <v/>
      </c>
      <c r="C134" s="9">
        <f>IF(pred!$A134="","",pred!C134)</f>
        <v/>
      </c>
      <c r="D134" s="8">
        <f>IF(pred!$A134="","",pred!D134)</f>
        <v/>
      </c>
      <c r="E134" s="9">
        <f>IF(pred!$A134="","",pred!E134)</f>
        <v/>
      </c>
      <c r="F134" s="8">
        <f>IF(pred!$A134="","",pred!F134)</f>
        <v/>
      </c>
    </row>
    <row r="135">
      <c r="A135" s="8">
        <f>IF(pred!$A135="","",pred!A135)</f>
        <v/>
      </c>
      <c r="B135" s="6">
        <f>IF(pred!$A135="","",pred!B135)</f>
        <v/>
      </c>
      <c r="C135" s="9">
        <f>IF(pred!$A135="","",pred!C135)</f>
        <v/>
      </c>
      <c r="D135" s="8">
        <f>IF(pred!$A135="","",pred!D135)</f>
        <v/>
      </c>
      <c r="E135" s="9">
        <f>IF(pred!$A135="","",pred!E135)</f>
        <v/>
      </c>
      <c r="F135" s="8">
        <f>IF(pred!$A135="","",pred!F135)</f>
        <v/>
      </c>
    </row>
    <row r="136">
      <c r="A136" s="8">
        <f>IF(pred!$A136="","",pred!A136)</f>
        <v/>
      </c>
      <c r="B136" s="6">
        <f>IF(pred!$A136="","",pred!B136)</f>
        <v/>
      </c>
      <c r="C136" s="9">
        <f>IF(pred!$A136="","",pred!C136)</f>
        <v/>
      </c>
      <c r="D136" s="8">
        <f>IF(pred!$A136="","",pred!D136)</f>
        <v/>
      </c>
      <c r="E136" s="9">
        <f>IF(pred!$A136="","",pred!E136)</f>
        <v/>
      </c>
      <c r="F136" s="8">
        <f>IF(pred!$A136="","",pred!F136)</f>
        <v/>
      </c>
    </row>
    <row r="137">
      <c r="A137" s="8">
        <f>IF(pred!$A137="","",pred!A137)</f>
        <v/>
      </c>
      <c r="B137" s="6">
        <f>IF(pred!$A137="","",pred!B137)</f>
        <v/>
      </c>
      <c r="C137" s="9">
        <f>IF(pred!$A137="","",pred!C137)</f>
        <v/>
      </c>
      <c r="D137" s="8">
        <f>IF(pred!$A137="","",pred!D137)</f>
        <v/>
      </c>
      <c r="E137" s="9">
        <f>IF(pred!$A137="","",pred!E137)</f>
        <v/>
      </c>
      <c r="F137" s="8">
        <f>IF(pred!$A137="","",pred!F137)</f>
        <v/>
      </c>
    </row>
    <row r="138">
      <c r="A138" s="8">
        <f>IF(pred!$A138="","",pred!A138)</f>
        <v/>
      </c>
      <c r="B138" s="6">
        <f>IF(pred!$A138="","",pred!B138)</f>
        <v/>
      </c>
      <c r="C138" s="9">
        <f>IF(pred!$A138="","",pred!C138)</f>
        <v/>
      </c>
      <c r="D138" s="8">
        <f>IF(pred!$A138="","",pred!D138)</f>
        <v/>
      </c>
      <c r="E138" s="9">
        <f>IF(pred!$A138="","",pred!E138)</f>
        <v/>
      </c>
      <c r="F138" s="8">
        <f>IF(pred!$A138="","",pred!F138)</f>
        <v/>
      </c>
    </row>
    <row r="139">
      <c r="A139" s="8">
        <f>IF(pred!$A139="","",pred!A139)</f>
        <v/>
      </c>
      <c r="B139" s="6">
        <f>IF(pred!$A139="","",pred!B139)</f>
        <v/>
      </c>
      <c r="C139" s="9">
        <f>IF(pred!$A139="","",pred!C139)</f>
        <v/>
      </c>
      <c r="D139" s="8">
        <f>IF(pred!$A139="","",pred!D139)</f>
        <v/>
      </c>
      <c r="E139" s="9">
        <f>IF(pred!$A139="","",pred!E139)</f>
        <v/>
      </c>
      <c r="F139" s="8">
        <f>IF(pred!$A139="","",pred!F139)</f>
        <v/>
      </c>
    </row>
    <row r="140">
      <c r="A140" s="8">
        <f>IF(pred!$A140="","",pred!A140)</f>
        <v/>
      </c>
      <c r="B140" s="6">
        <f>IF(pred!$A140="","",pred!B140)</f>
        <v/>
      </c>
      <c r="C140" s="9">
        <f>IF(pred!$A140="","",pred!C140)</f>
        <v/>
      </c>
      <c r="D140" s="8">
        <f>IF(pred!$A140="","",pred!D140)</f>
        <v/>
      </c>
      <c r="E140" s="9">
        <f>IF(pred!$A140="","",pred!E140)</f>
        <v/>
      </c>
      <c r="F140" s="8">
        <f>IF(pred!$A140="","",pred!F140)</f>
        <v/>
      </c>
    </row>
    <row r="141">
      <c r="A141" s="8">
        <f>IF(pred!$A141="","",pred!A141)</f>
        <v/>
      </c>
      <c r="B141" s="6">
        <f>IF(pred!$A141="","",pred!B141)</f>
        <v/>
      </c>
      <c r="C141" s="9">
        <f>IF(pred!$A141="","",pred!C141)</f>
        <v/>
      </c>
      <c r="D141" s="8">
        <f>IF(pred!$A141="","",pred!D141)</f>
        <v/>
      </c>
      <c r="E141" s="9">
        <f>IF(pred!$A141="","",pred!E141)</f>
        <v/>
      </c>
      <c r="F141" s="8">
        <f>IF(pred!$A141="","",pred!F141)</f>
        <v/>
      </c>
    </row>
    <row r="142">
      <c r="A142" s="8">
        <f>IF(pred!$A142="","",pred!A142)</f>
        <v/>
      </c>
      <c r="B142" s="6">
        <f>IF(pred!$A142="","",pred!B142)</f>
        <v/>
      </c>
      <c r="C142" s="9">
        <f>IF(pred!$A142="","",pred!C142)</f>
        <v/>
      </c>
      <c r="D142" s="8">
        <f>IF(pred!$A142="","",pred!D142)</f>
        <v/>
      </c>
      <c r="E142" s="9">
        <f>IF(pred!$A142="","",pred!E142)</f>
        <v/>
      </c>
      <c r="F142" s="8">
        <f>IF(pred!$A142="","",pred!F142)</f>
        <v/>
      </c>
    </row>
    <row r="143">
      <c r="A143" s="8">
        <f>IF(pred!$A143="","",pred!A143)</f>
        <v/>
      </c>
      <c r="B143" s="6">
        <f>IF(pred!$A143="","",pred!B143)</f>
        <v/>
      </c>
      <c r="C143" s="9">
        <f>IF(pred!$A143="","",pred!C143)</f>
        <v/>
      </c>
      <c r="D143" s="8">
        <f>IF(pred!$A143="","",pred!D143)</f>
        <v/>
      </c>
      <c r="E143" s="9">
        <f>IF(pred!$A143="","",pred!E143)</f>
        <v/>
      </c>
      <c r="F143" s="8">
        <f>IF(pred!$A143="","",pred!F143)</f>
        <v/>
      </c>
    </row>
    <row r="144">
      <c r="A144" s="8">
        <f>IF(pred!$A144="","",pred!A144)</f>
        <v/>
      </c>
      <c r="B144" s="6">
        <f>IF(pred!$A144="","",pred!B144)</f>
        <v/>
      </c>
      <c r="C144" s="9">
        <f>IF(pred!$A144="","",pred!C144)</f>
        <v/>
      </c>
      <c r="D144" s="8">
        <f>IF(pred!$A144="","",pred!D144)</f>
        <v/>
      </c>
      <c r="E144" s="9">
        <f>IF(pred!$A144="","",pred!E144)</f>
        <v/>
      </c>
      <c r="F144" s="8">
        <f>IF(pred!$A144="","",pred!F144)</f>
        <v/>
      </c>
    </row>
    <row r="145">
      <c r="A145" s="8">
        <f>IF(pred!$A145="","",pred!A145)</f>
        <v/>
      </c>
      <c r="B145" s="6">
        <f>IF(pred!$A145="","",pred!B145)</f>
        <v/>
      </c>
      <c r="C145" s="9">
        <f>IF(pred!$A145="","",pred!C145)</f>
        <v/>
      </c>
      <c r="D145" s="8">
        <f>IF(pred!$A145="","",pred!D145)</f>
        <v/>
      </c>
      <c r="E145" s="9">
        <f>IF(pred!$A145="","",pred!E145)</f>
        <v/>
      </c>
      <c r="F145" s="8">
        <f>IF(pred!$A145="","",pred!F145)</f>
        <v/>
      </c>
    </row>
    <row r="146">
      <c r="A146" s="8">
        <f>IF(pred!$A146="","",pred!A146)</f>
        <v/>
      </c>
      <c r="B146" s="6">
        <f>IF(pred!$A146="","",pred!B146)</f>
        <v/>
      </c>
      <c r="C146" s="9">
        <f>IF(pred!$A146="","",pred!C146)</f>
        <v/>
      </c>
      <c r="D146" s="8">
        <f>IF(pred!$A146="","",pred!D146)</f>
        <v/>
      </c>
      <c r="E146" s="9">
        <f>IF(pred!$A146="","",pred!E146)</f>
        <v/>
      </c>
      <c r="F146" s="8">
        <f>IF(pred!$A146="","",pred!F146)</f>
        <v/>
      </c>
    </row>
    <row r="147">
      <c r="A147" s="8">
        <f>IF(pred!$A147="","",pred!A147)</f>
        <v/>
      </c>
      <c r="B147" s="6">
        <f>IF(pred!$A147="","",pred!B147)</f>
        <v/>
      </c>
      <c r="C147" s="9">
        <f>IF(pred!$A147="","",pred!C147)</f>
        <v/>
      </c>
      <c r="D147" s="8">
        <f>IF(pred!$A147="","",pred!D147)</f>
        <v/>
      </c>
      <c r="E147" s="9">
        <f>IF(pred!$A147="","",pred!E147)</f>
        <v/>
      </c>
      <c r="F147" s="8">
        <f>IF(pred!$A147="","",pred!F147)</f>
        <v/>
      </c>
    </row>
    <row r="148">
      <c r="A148" s="8">
        <f>IF(pred!$A148="","",pred!A148)</f>
        <v/>
      </c>
      <c r="B148" s="6">
        <f>IF(pred!$A148="","",pred!B148)</f>
        <v/>
      </c>
      <c r="C148" s="9">
        <f>IF(pred!$A148="","",pred!C148)</f>
        <v/>
      </c>
      <c r="D148" s="8">
        <f>IF(pred!$A148="","",pred!D148)</f>
        <v/>
      </c>
      <c r="E148" s="9">
        <f>IF(pred!$A148="","",pred!E148)</f>
        <v/>
      </c>
      <c r="F148" s="8">
        <f>IF(pred!$A148="","",pred!F148)</f>
        <v/>
      </c>
    </row>
    <row r="149">
      <c r="A149" s="8">
        <f>IF(pred!$A149="","",pred!A149)</f>
        <v/>
      </c>
      <c r="B149" s="6">
        <f>IF(pred!$A149="","",pred!B149)</f>
        <v/>
      </c>
      <c r="C149" s="9">
        <f>IF(pred!$A149="","",pred!C149)</f>
        <v/>
      </c>
      <c r="D149" s="8">
        <f>IF(pred!$A149="","",pred!D149)</f>
        <v/>
      </c>
      <c r="E149" s="9">
        <f>IF(pred!$A149="","",pred!E149)</f>
        <v/>
      </c>
      <c r="F149" s="8">
        <f>IF(pred!$A149="","",pred!F149)</f>
        <v/>
      </c>
    </row>
    <row r="150">
      <c r="A150" s="8">
        <f>IF(pred!$A150="","",pred!A150)</f>
        <v/>
      </c>
      <c r="B150" s="6">
        <f>IF(pred!$A150="","",pred!B150)</f>
        <v/>
      </c>
      <c r="C150" s="9">
        <f>IF(pred!$A150="","",pred!C150)</f>
        <v/>
      </c>
      <c r="D150" s="8">
        <f>IF(pred!$A150="","",pred!D150)</f>
        <v/>
      </c>
      <c r="E150" s="9">
        <f>IF(pred!$A150="","",pred!E150)</f>
        <v/>
      </c>
      <c r="F150" s="8">
        <f>IF(pred!$A150="","",pred!F150)</f>
        <v/>
      </c>
    </row>
    <row r="151">
      <c r="A151" s="8">
        <f>IF(pred!$A151="","",pred!A151)</f>
        <v/>
      </c>
      <c r="B151" s="6">
        <f>IF(pred!$A151="","",pred!B151)</f>
        <v/>
      </c>
      <c r="C151" s="9">
        <f>IF(pred!$A151="","",pred!C151)</f>
        <v/>
      </c>
      <c r="D151" s="8">
        <f>IF(pred!$A151="","",pred!D151)</f>
        <v/>
      </c>
      <c r="E151" s="9">
        <f>IF(pred!$A151="","",pred!E151)</f>
        <v/>
      </c>
      <c r="F151" s="8">
        <f>IF(pred!$A151="","",pred!F151)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2026-10-07T00:27:03Z</dcterms:created>
  <dcterms:modified xmlns:dcterms="http://purl.org/dc/terms/" xmlns:xsi="http://www.w3.org/2001/XMLSchema-instance" xsi:type="dcterms:W3CDTF">2026-10-07T00:27:03Z</dcterms:modified>
</cp:coreProperties>
</file>