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10_KPI" sheetId="2" state="visible" r:id="rId2"/>
    <sheet xmlns:r="http://schemas.openxmlformats.org/officeDocument/2006/relationships" name="20_ROI" sheetId="3" state="visible" r:id="rId3"/>
    <sheet xmlns:r="http://schemas.openxmlformats.org/officeDocument/2006/relationships" name="21_Walkthrough" sheetId="4" state="visible" r:id="rId4"/>
    <sheet xmlns:r="http://schemas.openxmlformats.org/officeDocument/2006/relationships" name="30_ToolCost" sheetId="5" state="visible" r:id="rId5"/>
    <sheet xmlns:r="http://schemas.openxmlformats.org/officeDocument/2006/relationships" name="40_MyKPI" sheetId="6" state="visible" r:id="rId6"/>
    <sheet xmlns:r="http://schemas.openxmlformats.org/officeDocument/2006/relationships" name="50_TimeLog" sheetId="7" state="visible" r:id="rId7"/>
    <sheet xmlns:r="http://schemas.openxmlformats.org/officeDocument/2006/relationships" name="60_Sensitivity" sheetId="8" state="visible" r:id="rId8"/>
    <sheet xmlns:r="http://schemas.openxmlformats.org/officeDocument/2006/relationships" name="70_Benchmar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##"/>
    <numFmt numFmtId="165" formatCode="0.0"/>
    <numFmt numFmtId="166" formatCode="0.0%"/>
    <numFmt numFmtId="167" formatCode="hh:mm"/>
  </numFmts>
  <fonts count="5">
    <font>
      <name val="Calibri"/>
      <family val="2"/>
      <color theme="1"/>
      <sz val="11"/>
      <scheme val="minor"/>
    </font>
    <font>
      <name val="Malgun Gothic"/>
      <b val="1"/>
      <color rgb="00000000"/>
      <sz val="14"/>
    </font>
    <font>
      <name val="Malgun Gothic"/>
      <i val="1"/>
      <color rgb="005B6475"/>
      <sz val="10"/>
    </font>
    <font>
      <name val="Malgun Gothic"/>
      <b val="1"/>
      <color rgb="00000000"/>
      <sz val="10"/>
    </font>
    <font>
      <name val="Malgun Gothic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ECEAE3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CEBF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applyAlignment="1" pivotButton="0" quotePrefix="0" xfId="0">
      <alignment vertical="top" wrapText="1"/>
    </xf>
    <xf numFmtId="0" fontId="4" fillId="3" borderId="1" pivotButton="0" quotePrefix="0" xfId="0"/>
    <xf numFmtId="164" fontId="4" fillId="4" borderId="1" pivotButton="0" quotePrefix="0" xfId="0"/>
    <xf numFmtId="164" fontId="4" fillId="3" borderId="1" pivotButton="0" quotePrefix="0" xfId="0"/>
    <xf numFmtId="0" fontId="4" fillId="0" borderId="0" pivotButton="0" quotePrefix="0" xfId="0"/>
    <xf numFmtId="0" fontId="4" fillId="4" borderId="1" pivotButton="0" quotePrefix="0" xfId="0"/>
    <xf numFmtId="0" fontId="3" fillId="0" borderId="0" applyAlignment="1" pivotButton="0" quotePrefix="0" xfId="0">
      <alignment vertical="top" wrapText="1"/>
    </xf>
    <xf numFmtId="165" fontId="3" fillId="4" borderId="1" pivotButton="0" quotePrefix="0" xfId="0"/>
    <xf numFmtId="166" fontId="3" fillId="4" borderId="1" pivotButton="0" quotePrefix="0" xfId="0"/>
    <xf numFmtId="10" fontId="3" fillId="4" borderId="1" pivotButton="0" quotePrefix="0" xfId="0"/>
    <xf numFmtId="3" fontId="4" fillId="3" borderId="1" pivotButton="0" quotePrefix="0" xfId="0"/>
    <xf numFmtId="10" fontId="4" fillId="3" borderId="1" pivotButton="0" quotePrefix="0" xfId="0"/>
    <xf numFmtId="165" fontId="4" fillId="3" borderId="1" pivotButton="0" quotePrefix="0" xfId="0"/>
    <xf numFmtId="166" fontId="4" fillId="3" borderId="1" pivotButton="0" quotePrefix="0" xfId="0"/>
    <xf numFmtId="0" fontId="3" fillId="0" borderId="0" pivotButton="0" quotePrefix="0" xfId="0"/>
    <xf numFmtId="3" fontId="4" fillId="4" borderId="1" pivotButton="0" quotePrefix="0" xfId="0"/>
    <xf numFmtId="2" fontId="3" fillId="4" borderId="1" pivotButton="0" quotePrefix="0" xfId="0"/>
    <xf numFmtId="0" fontId="4" fillId="4" borderId="1" applyAlignment="1" pivotButton="0" quotePrefix="0" xfId="0">
      <alignment vertical="top" wrapText="1"/>
    </xf>
    <xf numFmtId="0" fontId="4" fillId="5" borderId="1" pivotButton="0" quotePrefix="0" xfId="0"/>
    <xf numFmtId="166" fontId="4" fillId="5" borderId="1" pivotButton="0" quotePrefix="0" xfId="0"/>
    <xf numFmtId="0" fontId="4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10" fontId="4" fillId="4" borderId="1" pivotButton="0" quotePrefix="0" xfId="0"/>
    <xf numFmtId="165" fontId="4" fillId="4" borderId="1" pivotButton="0" quotePrefix="0" xfId="0"/>
    <xf numFmtId="166" fontId="4" fillId="4" borderId="1" pivotButton="0" quotePrefix="0" xfId="0"/>
    <xf numFmtId="3" fontId="4" fillId="5" borderId="1" pivotButton="0" quotePrefix="0" xfId="0"/>
    <xf numFmtId="3" fontId="3" fillId="4" borderId="1" pivotButton="0" quotePrefix="0" xfId="0"/>
    <xf numFmtId="167" fontId="4" fillId="3" borderId="1" pivotButton="0" quotePrefix="0" xfId="0"/>
    <xf numFmtId="1" fontId="4" fillId="4" borderId="1" pivotButton="0" quotePrefix="0" xfId="0"/>
    <xf numFmtId="166" fontId="3" fillId="5" borderId="1" pivotButton="0" quotePrefix="0" xfId="0"/>
    <xf numFmtId="1" fontId="4" fillId="5" borderId="1" pivotButton="0" quotePrefix="0" xfId="0"/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zoomScale="100" workbookViewId="0">
      <selection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1" t="inlineStr">
        <is>
          <t>roi_kpi_template.xlsx — 6일차 KPI · ROI 템플릿(팀 roi/roi_kpi.xlsx · 개인 d6_roi__T{조}-{번호}.xlsx)</t>
        </is>
      </c>
    </row>
    <row r="2">
      <c r="A2" s="2" t="inlineStr">
        <is>
          <t>생성형 AI 기반 무역 금융 리스크 최적화 과정 · 6일차 Step 5(5교시) · 03 Part2 §6.8</t>
        </is>
      </c>
    </row>
    <row r="3">
      <c r="A3" s="2" t="inlineStr">
        <is>
          <t>(가상) 한빛정밀(주) 교육용 — 들어 있는 값은 모두 [교육용 가정]</t>
        </is>
      </c>
    </row>
    <row r="5" ht="42" customHeight="1">
      <c r="A5" s="3" t="inlineStr">
        <is>
          <t>색</t>
        </is>
      </c>
      <c r="B5" s="4" t="inlineStr">
        <is>
          <t>노랑 = 입력 · 회색 = 계산(고치지 않는다) · 파랑 = 출처가 있는 기준값</t>
        </is>
      </c>
    </row>
    <row r="6" ht="42" customHeight="1">
      <c r="A6" s="3" t="inlineStr">
        <is>
          <t>시트</t>
        </is>
      </c>
      <c r="B6" s="4" t="inlineStr">
        <is>
          <t>10_KPI(DSO · BPDSO · ADD · CEI · 30일 초과 연체 비중 · 대손율 · DSO 감소율 · 미수금 발생률) · 20_ROI(팀 3안, 편집) · 21_Walkthrough(워크스루 고정 사본) · 30_ToolCost(도구비 S0–S3 · 운영비 계산기) · 40_MyKPI(나만의 KPI 3개) · 50_TimeLog(1주 타임로그) · 60_Sensitivity(신뢰도 × DSO 단축 민감도 — C 트랙) · 70_Benchmark(목표 설정 기준)</t>
        </is>
      </c>
    </row>
    <row r="7" ht="42" customHeight="1">
      <c r="A7" s="3" t="inlineStr">
        <is>
          <t>팀(③ 역할)</t>
        </is>
      </c>
      <c r="B7" s="4" t="inlineStr">
        <is>
          <t>이 파일을 `roi/roi_kpi.xlsx`로 저장 → 20_ROI에서 워크스루 3안을 확인 → 우리 카드에 맞게 편익 1항목을 고친다(근거를 G열에) → CP3(14:50) 커밋</t>
        </is>
      </c>
    </row>
    <row r="8" ht="42" customHeight="1">
      <c r="A8" s="3" t="inlineStr">
        <is>
          <t>개인</t>
        </is>
      </c>
      <c r="B8" s="4" t="inlineStr">
        <is>
          <t>이 파일을 `d6_roi__T{조}-{번호}.xlsx`로 저장 → 40_MyKPI 3행 + (S 트랙) 자사 값으로 보수안 → 17:50 비공개 폼. 저장소에 올리지 않는다</t>
        </is>
      </c>
    </row>
    <row r="9" ht="42" customHeight="1">
      <c r="A9" s="3" t="inlineStr">
        <is>
          <t>규칙 1</t>
        </is>
      </c>
      <c r="B9" s="4" t="inlineStr">
        <is>
          <t>보수안부터 보여 준다 — 측정 가능한 시간 절감만 넣은 안. 발표 · 기획서 9장도 보수안이 첫 줄</t>
        </is>
      </c>
    </row>
    <row r="10" ht="42" customHeight="1">
      <c r="A10" s="3" t="inlineStr">
        <is>
          <t>규칙 2</t>
        </is>
      </c>
      <c r="B10" s="4" t="inlineStr">
        <is>
          <t>재무 AI ROI 중앙값 10%(BCG)와 비교한 문장을 한 줄 쓴다. 기준안이 중앙값보다 훨씬 크면 인과 근거(파일럿 전후 비교)를 붙인다</t>
        </is>
      </c>
    </row>
    <row r="11" ht="42" customHeight="1">
      <c r="A11" s="3" t="inlineStr">
        <is>
          <t>규칙 3</t>
        </is>
      </c>
      <c r="B11" s="4" t="inlineStr">
        <is>
          <t>DSO는 신용(외상)매출로만 나눈다 — 현금매출을 넣으면 DSO가 작게 나온다. CEI 분모는 기말 정상(미연체)채권</t>
        </is>
      </c>
    </row>
    <row r="12" ht="42" customHeight="1">
      <c r="A12" s="3" t="inlineStr">
        <is>
          <t>규칙 4</t>
        </is>
      </c>
      <c r="B12" s="4" t="inlineStr">
        <is>
          <t>계획서의 '미수금 전수조사 시간 90% 단축'은 목표의 예일 뿐 근거가 아니다 — 기준선은 1주 타임로그로 잰다</t>
        </is>
      </c>
    </row>
    <row r="13" ht="42" customHeight="1">
      <c r="A13" s="3" t="inlineStr">
        <is>
          <t>규칙 5</t>
        </is>
      </c>
      <c r="B13" s="4" t="inlineStr">
        <is>
          <t>[교육용 가정] 표시는 지우지 않는다. 자사 값은 익명화 체크리스트를 통과한 것만 개인 파일에</t>
        </is>
      </c>
    </row>
    <row r="14" ht="42" customHeight="1">
      <c r="A14" s="3" t="inlineStr">
        <is>
          <t>LLM</t>
        </is>
      </c>
      <c r="B14" s="4" t="inlineStr">
        <is>
          <t>산식 설명에만 쓴다. 숫자는 이 시트에서 계산한다(AI가 다시 계산한 숫자를 붙여 넣지 않는다)</t>
        </is>
      </c>
    </row>
    <row r="15" ht="42" customHeight="1">
      <c r="A15" s="3" t="inlineStr">
        <is>
          <t>검산</t>
        </is>
      </c>
      <c r="B15" s="4" t="inlineStr">
        <is>
          <t>CRF 예: 분기 신용매출 3,000 · 기말 1,400(정상 900) · 기초 1,300(천 달러) → DSO 42 · BPDSO 27 · ADD 15 · CEI 64.3% (10_KPI C열)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6" customWidth="1" min="4" max="4"/>
    <col width="8" customWidth="1" min="5" max="5"/>
    <col width="80" customWidth="1" min="6" max="6"/>
  </cols>
  <sheetData>
    <row r="1">
      <c r="A1" s="1" t="inlineStr">
        <is>
          <t>10_KPI — 매출채권 KPI(CRF 정의) · DSO 감소율 · 미수금 발생률</t>
        </is>
      </c>
    </row>
    <row r="2">
      <c r="A2" s="2" t="inlineStr">
        <is>
          <t>C열 = CRF 검산 예(천 달러) — 고치지 않는다 · D열 = 우리 값(노랑, 익명화한 자사 값이나 [교육용 가정]) · 회색 = 계산</t>
        </is>
      </c>
    </row>
    <row r="5">
      <c r="A5" s="3" t="inlineStr">
        <is>
          <t>구분</t>
        </is>
      </c>
      <c r="B5" s="3" t="inlineStr">
        <is>
          <t>이름</t>
        </is>
      </c>
      <c r="C5" s="3" t="inlineStr">
        <is>
          <t>검산 예(CRF)</t>
        </is>
      </c>
      <c r="D5" s="3" t="inlineStr">
        <is>
          <t>우리 값</t>
        </is>
      </c>
      <c r="E5" s="3" t="inlineStr">
        <is>
          <t>단위</t>
        </is>
      </c>
      <c r="F5" s="3" t="inlineStr">
        <is>
          <t>설명 · 출처</t>
        </is>
      </c>
    </row>
    <row r="6" ht="30" customHeight="1">
      <c r="A6" s="5" t="inlineStr">
        <is>
          <t>입력</t>
        </is>
      </c>
      <c r="B6" s="4" t="inlineStr">
        <is>
          <t>PeriodDays
(측정 기간 일수)</t>
        </is>
      </c>
      <c r="C6" s="6" t="n">
        <v>90</v>
      </c>
      <c r="D6" s="7" t="n"/>
      <c r="E6" s="8" t="inlineStr">
        <is>
          <t>일</t>
        </is>
      </c>
      <c r="F6" s="4" t="inlineStr">
        <is>
          <t>분기 90 등</t>
        </is>
      </c>
    </row>
    <row r="7" ht="30" customHeight="1">
      <c r="A7" s="5" t="inlineStr">
        <is>
          <t>입력</t>
        </is>
      </c>
      <c r="B7" s="4" t="inlineStr">
        <is>
          <t>CreditSales_P
(기간 신용(외상)매출)</t>
        </is>
      </c>
      <c r="C7" s="6" t="n">
        <v>3000</v>
      </c>
      <c r="D7" s="7" t="n"/>
      <c r="E7" s="8" t="inlineStr">
        <is>
          <t>금액</t>
        </is>
      </c>
      <c r="F7" s="4" t="inlineStr">
        <is>
          <t>현금매출 제외 [R10]</t>
        </is>
      </c>
    </row>
    <row r="8" ht="30" customHeight="1">
      <c r="A8" s="5" t="inlineStr">
        <is>
          <t>입력</t>
        </is>
      </c>
      <c r="B8" s="4" t="inlineStr">
        <is>
          <t>AR_End
(기말 총채권)</t>
        </is>
      </c>
      <c r="C8" s="6" t="n">
        <v>1400</v>
      </c>
      <c r="D8" s="7" t="n"/>
      <c r="E8" s="8" t="inlineStr">
        <is>
          <t>금액</t>
        </is>
      </c>
      <c r="F8" s="4" t="inlineStr"/>
    </row>
    <row r="9" ht="30" customHeight="1">
      <c r="A9" s="5" t="inlineStr">
        <is>
          <t>입력</t>
        </is>
      </c>
      <c r="B9" s="4" t="inlineStr">
        <is>
          <t>AR_Current_End
(기말 정상(미연체)채권)</t>
        </is>
      </c>
      <c r="C9" s="6" t="n">
        <v>900</v>
      </c>
      <c r="D9" s="7" t="n"/>
      <c r="E9" s="8" t="inlineStr">
        <is>
          <t>금액</t>
        </is>
      </c>
      <c r="F9" s="4" t="inlineStr">
        <is>
          <t>BPDSO · CEI 분모에 쓴다</t>
        </is>
      </c>
    </row>
    <row r="10" ht="30" customHeight="1">
      <c r="A10" s="5" t="inlineStr">
        <is>
          <t>입력</t>
        </is>
      </c>
      <c r="B10" s="4" t="inlineStr">
        <is>
          <t>AR_Begin
(기초 채권)</t>
        </is>
      </c>
      <c r="C10" s="6" t="n">
        <v>1300</v>
      </c>
      <c r="D10" s="7" t="n"/>
      <c r="E10" s="8" t="inlineStr">
        <is>
          <t>금액</t>
        </is>
      </c>
      <c r="F10" s="4" t="inlineStr"/>
    </row>
    <row r="11" ht="30" customHeight="1">
      <c r="A11" s="5" t="inlineStr">
        <is>
          <t>입력</t>
        </is>
      </c>
      <c r="B11" s="4" t="inlineStr">
        <is>
          <t>AR_Over30_End
(기말 30일 초과 연체 채권)</t>
        </is>
      </c>
      <c r="C11" s="6" t="n"/>
      <c r="D11" s="7" t="n"/>
      <c r="E11" s="8" t="inlineStr">
        <is>
          <t>금액</t>
        </is>
      </c>
      <c r="F11" s="4" t="inlineStr">
        <is>
          <t>IFRS 9 30일 추정선 · K-SURE 30일 면책선과 정렬 [R01]</t>
        </is>
      </c>
    </row>
    <row r="12" ht="30" customHeight="1">
      <c r="A12" s="5" t="inlineStr">
        <is>
          <t>입력</t>
        </is>
      </c>
      <c r="B12" s="4" t="inlineStr">
        <is>
          <t>N_Months
(기간 개월 수)</t>
        </is>
      </c>
      <c r="C12" s="6" t="n">
        <v>3</v>
      </c>
      <c r="D12" s="7" t="n"/>
      <c r="E12" s="8" t="inlineStr">
        <is>
          <t>개월</t>
        </is>
      </c>
      <c r="F12" s="4" t="inlineStr">
        <is>
          <t>CEI용</t>
        </is>
      </c>
    </row>
    <row r="13" ht="30" customHeight="1">
      <c r="A13" s="5" t="inlineStr">
        <is>
          <t>입력</t>
        </is>
      </c>
      <c r="B13" s="4" t="inlineStr">
        <is>
          <t>BadDebt_Y
(연 대손상각액)</t>
        </is>
      </c>
      <c r="C13" s="6" t="n"/>
      <c r="D13" s="7" t="n"/>
      <c r="E13" s="8" t="inlineStr">
        <is>
          <t>금액</t>
        </is>
      </c>
      <c r="F13" s="4" t="inlineStr">
        <is>
          <t>사내 정의</t>
        </is>
      </c>
    </row>
    <row r="14" ht="30" customHeight="1">
      <c r="A14" s="5" t="inlineStr">
        <is>
          <t>입력</t>
        </is>
      </c>
      <c r="B14" s="4" t="inlineStr">
        <is>
          <t>CreditSales_Y
(연 신용매출)</t>
        </is>
      </c>
      <c r="C14" s="6" t="n"/>
      <c r="D14" s="7" t="n"/>
      <c r="E14" s="8" t="inlineStr">
        <is>
          <t>금액</t>
        </is>
      </c>
      <c r="F14" s="4" t="inlineStr"/>
    </row>
    <row r="15" ht="30" customHeight="1">
      <c r="A15" s="5" t="inlineStr">
        <is>
          <t>입력</t>
        </is>
      </c>
      <c r="B15" s="4" t="inlineStr">
        <is>
          <t>DSO_Baseline
(기준선 DSO)</t>
        </is>
      </c>
      <c r="C15" s="6" t="n">
        <v>42</v>
      </c>
      <c r="D15" s="7" t="n"/>
      <c r="E15" s="8" t="inlineStr">
        <is>
          <t>일</t>
        </is>
      </c>
      <c r="F15" s="4" t="inlineStr">
        <is>
          <t>도입 전 같은 정의로 잰 최근 값</t>
        </is>
      </c>
    </row>
    <row r="16" ht="30" customHeight="1">
      <c r="A16" s="5" t="inlineStr">
        <is>
          <t>입력</t>
        </is>
      </c>
      <c r="B16" s="4" t="inlineStr">
        <is>
          <t>DSO_Current
(현재 DSO)</t>
        </is>
      </c>
      <c r="C16" s="6" t="n">
        <v>40</v>
      </c>
      <c r="D16" s="7" t="n"/>
      <c r="E16" s="8" t="inlineStr">
        <is>
          <t>일</t>
        </is>
      </c>
      <c r="F16" s="4" t="inlineStr">
        <is>
          <t>도입 후 값</t>
        </is>
      </c>
    </row>
    <row r="17" ht="30" customHeight="1">
      <c r="A17" s="5" t="inlineStr">
        <is>
          <t>입력</t>
        </is>
      </c>
      <c r="B17" s="4" t="inlineStr">
        <is>
          <t>Due_P
(기간 중 만기 도래 금액)</t>
        </is>
      </c>
      <c r="C17" s="6" t="n">
        <v>100</v>
      </c>
      <c r="D17" s="7" t="n"/>
      <c r="E17" s="8" t="inlineStr">
        <is>
          <t>금액</t>
        </is>
      </c>
      <c r="F17" s="4" t="inlineStr">
        <is>
          <t>미수금 발생률 분모 — 예: 분기 만기 100억 원 [가상 예시]</t>
        </is>
      </c>
    </row>
    <row r="18" ht="30" customHeight="1">
      <c r="A18" s="5" t="inlineStr">
        <is>
          <t>입력</t>
        </is>
      </c>
      <c r="B18" s="4" t="inlineStr">
        <is>
          <t>Unpaid_ByDue
(기일 내 미회수 금액)</t>
        </is>
      </c>
      <c r="C18" s="6" t="n">
        <v>12</v>
      </c>
      <c r="D18" s="7" t="n"/>
      <c r="E18" s="8" t="inlineStr">
        <is>
          <t>금액</t>
        </is>
      </c>
      <c r="F18" s="4" t="inlineStr">
        <is>
          <t>결제기일까지 못 받은 금액 — 예: 12억 원 [가상 예시]</t>
        </is>
      </c>
    </row>
    <row r="20" ht="30" customHeight="1">
      <c r="A20" s="9" t="inlineStr">
        <is>
          <t>계산</t>
        </is>
      </c>
      <c r="B20" s="10" t="inlineStr">
        <is>
          <t>DSO
(매출채권 회수기간)</t>
        </is>
      </c>
      <c r="C20" s="11">
        <f>IF(AND(ISNUMBER(C8),C7&gt;0),C8*C6/C7,"")</f>
        <v/>
      </c>
      <c r="D20" s="11">
        <f>IF(AND(ISNUMBER(D8),D7&gt;0),D8*D6/D7,"")</f>
        <v/>
      </c>
      <c r="F20" s="4" t="inlineStr">
        <is>
          <t>기말 총채권 × 일수 ÷ 기간 신용매출 [CRF · R01]</t>
        </is>
      </c>
    </row>
    <row r="21" ht="30" customHeight="1">
      <c r="A21" s="9" t="inlineStr">
        <is>
          <t>계산</t>
        </is>
      </c>
      <c r="B21" s="10" t="inlineStr">
        <is>
          <t>BPDSO
(최선 가능 DSO)</t>
        </is>
      </c>
      <c r="C21" s="11">
        <f>IF(AND(ISNUMBER(C9),C7&gt;0),C9*C6/C7,"")</f>
        <v/>
      </c>
      <c r="D21" s="11">
        <f>IF(AND(ISNUMBER(D9),D7&gt;0),D9*D6/D7,"")</f>
        <v/>
      </c>
      <c r="F21" s="4" t="inlineStr">
        <is>
          <t>기말 정상채권 × 일수 ÷ 기간 신용매출</t>
        </is>
      </c>
    </row>
    <row r="22" ht="30" customHeight="1">
      <c r="A22" s="9" t="inlineStr">
        <is>
          <t>계산</t>
        </is>
      </c>
      <c r="B22" s="10" t="inlineStr">
        <is>
          <t>ADD
(평균 지연일)</t>
        </is>
      </c>
      <c r="C22" s="11">
        <f>IF(AND(ISNUMBER(C20),ISNUMBER(C21)),C20-C21,"")</f>
        <v/>
      </c>
      <c r="D22" s="11">
        <f>IF(AND(ISNUMBER(D20),ISNUMBER(D21)),D20-D21,"")</f>
        <v/>
      </c>
      <c r="F22" s="4" t="inlineStr">
        <is>
          <t>DSO − BPDSO</t>
        </is>
      </c>
    </row>
    <row r="23" ht="30" customHeight="1">
      <c r="A23" s="9" t="inlineStr">
        <is>
          <t>계산</t>
        </is>
      </c>
      <c r="B23" s="10" t="inlineStr">
        <is>
          <t>CEI
(회수효율지수)</t>
        </is>
      </c>
      <c r="C23" s="12">
        <f>IFERROR((C10+C7/C12-C8)/(C10+C7/C12-C9),"")</f>
        <v/>
      </c>
      <c r="D23" s="12">
        <f>IFERROR((D10+D7/D12-D8)/(D10+D7/D12-D9),"")</f>
        <v/>
      </c>
      <c r="F23" s="4" t="inlineStr">
        <is>
          <t>(기초 + 기간 신용매출 ÷ 개월 − 기말 총채권) ÷ (기초 + 기간 신용매출 ÷ 개월 − 기말 정상채권). 100%에 가까울수록 좋다</t>
        </is>
      </c>
    </row>
    <row r="24" ht="30" customHeight="1">
      <c r="A24" s="9" t="inlineStr">
        <is>
          <t>계산</t>
        </is>
      </c>
      <c r="B24" s="10" t="inlineStr">
        <is>
          <t>Over30_Share
(30일 초과 연체 비중)</t>
        </is>
      </c>
      <c r="C24" s="12">
        <f>IF(AND(ISNUMBER(C11),C8&gt;0),C11/C8,"")</f>
        <v/>
      </c>
      <c r="D24" s="12">
        <f>IF(AND(ISNUMBER(D11),D8&gt;0),D11/D8,"")</f>
        <v/>
      </c>
      <c r="F24" s="4" t="inlineStr">
        <is>
          <t>기말 30일 초과 연체 ÷ 기말 총채권</t>
        </is>
      </c>
    </row>
    <row r="25" ht="30" customHeight="1">
      <c r="A25" s="9" t="inlineStr">
        <is>
          <t>계산</t>
        </is>
      </c>
      <c r="B25" s="10" t="inlineStr">
        <is>
          <t>BadDebt_Rate
(대손율)</t>
        </is>
      </c>
      <c r="C25" s="13">
        <f>IF(AND(ISNUMBER(C13),C14&gt;0),C13/C14,"")</f>
        <v/>
      </c>
      <c r="D25" s="13">
        <f>IF(AND(ISNUMBER(D13),D14&gt;0),D13/D14,"")</f>
        <v/>
      </c>
      <c r="F25" s="4" t="inlineStr">
        <is>
          <t>연 대손상각액 ÷ 연 신용매출(사내 정의) → 20_ROI BadDebtRate_Now</t>
        </is>
      </c>
    </row>
    <row r="26" ht="30" customHeight="1">
      <c r="A26" s="9" t="inlineStr">
        <is>
          <t>계산</t>
        </is>
      </c>
      <c r="B26" s="10" t="inlineStr">
        <is>
          <t>DSO_Cut_Rate
(DSO 감소율)</t>
        </is>
      </c>
      <c r="C26" s="12">
        <f>IF(AND(ISNUMBER(C15),ISNUMBER(C16),C15&gt;0),(C15-C16)/C15,"")</f>
        <v/>
      </c>
      <c r="D26" s="12">
        <f>IF(AND(ISNUMBER(D15),ISNUMBER(D16),D15&gt;0),(D15-D16)/D15,"")</f>
        <v/>
      </c>
      <c r="F26" s="4" t="inlineStr">
        <is>
          <t>(기준선 DSO − 현재 DSO) ÷ 기준선 DSO — 42일 → 40일이면 약 4.8%</t>
        </is>
      </c>
    </row>
    <row r="27" ht="30" customHeight="1">
      <c r="A27" s="9" t="inlineStr">
        <is>
          <t>계산</t>
        </is>
      </c>
      <c r="B27" s="10" t="inlineStr">
        <is>
          <t>Unpaid_Rate
(미수금 발생률)</t>
        </is>
      </c>
      <c r="C27" s="12">
        <f>IF(AND(ISNUMBER(C18),C17&gt;0),C18/C17,"")</f>
        <v/>
      </c>
      <c r="D27" s="12">
        <f>IF(AND(ISNUMBER(D18),D17&gt;0),D18/D17,"")</f>
        <v/>
      </c>
      <c r="F27" s="4" t="inlineStr">
        <is>
          <t>기일 내 미회수 금액 ÷ 기간 중 만기 도래 금액(과정 정의) — 대손율(못 받는다고 확정한 금액)과 다르다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17" customWidth="1" min="3" max="3"/>
    <col width="17" customWidth="1" min="4" max="4"/>
    <col width="17" customWidth="1" min="5" max="5"/>
    <col width="9" customWidth="1" min="6" max="6"/>
    <col width="70" customWidth="1" min="7" max="7"/>
  </cols>
  <sheetData>
    <row r="1">
      <c r="A1" s="1" t="inlineStr">
        <is>
          <t>20_ROI — 팀 ROI 3안(보수 · 기준 · 낙관) · 03 Part2 §6.8 산식</t>
        </is>
      </c>
    </row>
    <row r="2">
      <c r="A2" s="2" t="inlineStr">
        <is>
          <t>노랑 = 입력(지금은 워크스루 [교육용 가정] 값 — 우리 값으로 바꾼다) · 회색 = 계산(고치지 않는다) · 파랑 = 출처가 있는 기준값</t>
        </is>
      </c>
    </row>
    <row r="3">
      <c r="A3" s="2" t="inlineStr">
        <is>
          <t>보수안부터 보여 준다(측정 가능한 시간 절감만) · 숫자마다 출처나 [교육용 가정]을 붙인다 · 무형 효과(사기 차단 · 면책 회피)는 숫자에 넣지 않는다</t>
        </is>
      </c>
    </row>
    <row r="5">
      <c r="A5" s="3" t="inlineStr">
        <is>
          <t>구분</t>
        </is>
      </c>
      <c r="B5" s="3" t="inlineStr">
        <is>
          <t>이름</t>
        </is>
      </c>
      <c r="C5" s="3" t="inlineStr">
        <is>
          <t>보수</t>
        </is>
      </c>
      <c r="D5" s="3" t="inlineStr">
        <is>
          <t>기준</t>
        </is>
      </c>
      <c r="E5" s="3" t="inlineStr">
        <is>
          <t>낙관</t>
        </is>
      </c>
      <c r="F5" s="3" t="inlineStr">
        <is>
          <t>단위</t>
        </is>
      </c>
      <c r="G5" s="3" t="inlineStr">
        <is>
          <t>설명 · 출처</t>
        </is>
      </c>
    </row>
    <row r="6" ht="30" customHeight="1">
      <c r="A6" s="5" t="inlineStr">
        <is>
          <t>입력</t>
        </is>
      </c>
      <c r="B6" s="4" t="inlineStr">
        <is>
          <t>CreditSales_Y
(연 신용(외상)매출)</t>
        </is>
      </c>
      <c r="C6" s="14" t="n">
        <v>36000000000</v>
      </c>
      <c r="D6" s="14" t="n">
        <v>36000000000</v>
      </c>
      <c r="E6" s="14" t="n">
        <v>36000000000</v>
      </c>
      <c r="F6" s="8" t="inlineStr">
        <is>
          <t>원</t>
        </is>
      </c>
      <c r="G6" s="4" t="inlineStr">
        <is>
          <t>한빛 매출 약 450억 × 수출 80%, 전액 외상 가정 [교육용 가정] — 현금매출은 넣지 않는다</t>
        </is>
      </c>
    </row>
    <row r="7" ht="30" customHeight="1">
      <c r="A7" s="5" t="inlineStr">
        <is>
          <t>입력</t>
        </is>
      </c>
      <c r="B7" s="4" t="inlineStr">
        <is>
          <t>FundingRate
(조달금리)</t>
        </is>
      </c>
      <c r="C7" s="15" t="n">
        <v>0.065</v>
      </c>
      <c r="D7" s="15" t="n">
        <v>0.065</v>
      </c>
      <c r="E7" s="15" t="n">
        <v>0.065</v>
      </c>
      <c r="F7" s="8" t="inlineStr">
        <is>
          <t>연</t>
        </is>
      </c>
      <c r="G7" s="4" t="inlineStr">
        <is>
          <t>하나 92일 환가료 6.533% · OA 매입 실효 6.59% 참고(4일차 01_Params)</t>
        </is>
      </c>
    </row>
    <row r="8" ht="30" customHeight="1">
      <c r="A8" s="5" t="inlineStr">
        <is>
          <t>입력</t>
        </is>
      </c>
      <c r="B8" s="4" t="inlineStr">
        <is>
          <t>WageHour
(시간당 인건비)</t>
        </is>
      </c>
      <c r="C8" s="14" t="n">
        <v>40000</v>
      </c>
      <c r="D8" s="14" t="n">
        <v>40000</v>
      </c>
      <c r="E8" s="14" t="n">
        <v>40000</v>
      </c>
      <c r="F8" s="8" t="inlineStr">
        <is>
          <t>원/시간</t>
        </is>
      </c>
      <c r="G8" s="4" t="inlineStr">
        <is>
          <t>[교육용 가정]</t>
        </is>
      </c>
    </row>
    <row r="9" ht="30" customHeight="1">
      <c r="A9" s="5" t="inlineStr">
        <is>
          <t>입력</t>
        </is>
      </c>
      <c r="B9" s="4" t="inlineStr">
        <is>
          <t>HoursSaved_M
(월 검토시간 절감)</t>
        </is>
      </c>
      <c r="C9" s="16" t="n">
        <v>20</v>
      </c>
      <c r="D9" s="16" t="n">
        <v>20</v>
      </c>
      <c r="E9" s="16" t="n">
        <v>20</v>
      </c>
      <c r="F9" s="8" t="inlineStr">
        <is>
          <t>시간/월</t>
        </is>
      </c>
      <c r="G9" s="4" t="inlineStr">
        <is>
          <t>1주 타임로그(50_TimeLog)로 기준선을 잰 뒤 바꾼다</t>
        </is>
      </c>
    </row>
    <row r="10" ht="30" customHeight="1">
      <c r="A10" s="5" t="inlineStr">
        <is>
          <t>입력</t>
        </is>
      </c>
      <c r="B10" s="4" t="inlineStr">
        <is>
          <t>Conf_Time
(시간 절감 신뢰도)</t>
        </is>
      </c>
      <c r="C10" s="17" t="n">
        <v>0.7</v>
      </c>
      <c r="D10" s="17" t="n">
        <v>0.7</v>
      </c>
      <c r="E10" s="17" t="n">
        <v>0.7</v>
      </c>
      <c r="F10" s="8" t="inlineStr">
        <is>
          <t>%</t>
        </is>
      </c>
      <c r="G10" s="4" t="inlineStr">
        <is>
          <t>효과 분리(Phillips) — AI 덕분이라고 확신하는 정도</t>
        </is>
      </c>
    </row>
    <row r="11" ht="30" customHeight="1">
      <c r="A11" s="5" t="inlineStr">
        <is>
          <t>입력</t>
        </is>
      </c>
      <c r="B11" s="4" t="inlineStr">
        <is>
          <t>DSO_Cut
(DSO 단축 일수)</t>
        </is>
      </c>
      <c r="C11" s="16" t="n">
        <v>0</v>
      </c>
      <c r="D11" s="16" t="n">
        <v>2</v>
      </c>
      <c r="E11" s="16" t="n">
        <v>5</v>
      </c>
      <c r="F11" s="8" t="inlineStr">
        <is>
          <t>일</t>
        </is>
      </c>
      <c r="G11" s="4" t="inlineStr">
        <is>
          <t>현재 DSO − 목표 DSO. 보수안은 0(측정 가능한 시간 절감만)</t>
        </is>
      </c>
    </row>
    <row r="12" ht="30" customHeight="1">
      <c r="A12" s="5" t="inlineStr">
        <is>
          <t>입력</t>
        </is>
      </c>
      <c r="B12" s="4" t="inlineStr">
        <is>
          <t>Conf_DSO
(DSO 효과 신뢰도)</t>
        </is>
      </c>
      <c r="C12" s="17" t="n">
        <v>0.5</v>
      </c>
      <c r="D12" s="17" t="n">
        <v>0.5</v>
      </c>
      <c r="E12" s="17" t="n">
        <v>0.5</v>
      </c>
      <c r="F12" s="8" t="inlineStr">
        <is>
          <t>%</t>
        </is>
      </c>
      <c r="G12" s="4" t="inlineStr">
        <is>
          <t>[교육용 가정]</t>
        </is>
      </c>
    </row>
    <row r="13" ht="30" customHeight="1">
      <c r="A13" s="5" t="inlineStr">
        <is>
          <t>입력</t>
        </is>
      </c>
      <c r="B13" s="4" t="inlineStr">
        <is>
          <t>BadDebtRate_Now
(현재 대손율)</t>
        </is>
      </c>
      <c r="C13" s="15" t="n">
        <v>0.0067</v>
      </c>
      <c r="D13" s="15" t="n">
        <v>0.0067</v>
      </c>
      <c r="E13" s="15" t="n">
        <v>0.0067</v>
      </c>
      <c r="F13" s="8" t="inlineStr">
        <is>
          <t>%</t>
        </is>
      </c>
      <c r="G13" s="4">
        <f> 연 대손상각액 ÷ 연 신용매출(10_KPI) · 참고 C27 중소 0.67%(G01)</f>
        <v/>
      </c>
    </row>
    <row r="14" ht="30" customHeight="1">
      <c r="A14" s="5" t="inlineStr">
        <is>
          <t>입력</t>
        </is>
      </c>
      <c r="B14" s="4" t="inlineStr">
        <is>
          <t>BadDebtRate_Target
(목표 대손율)</t>
        </is>
      </c>
      <c r="C14" s="15" t="n">
        <v>0.006</v>
      </c>
      <c r="D14" s="15" t="n">
        <v>0.006</v>
      </c>
      <c r="E14" s="15" t="n">
        <v>0.006</v>
      </c>
      <c r="F14" s="8" t="inlineStr">
        <is>
          <t>%</t>
        </is>
      </c>
      <c r="G14" s="4" t="inlineStr">
        <is>
          <t>[교육용 가정]</t>
        </is>
      </c>
    </row>
    <row r="15" ht="30" customHeight="1">
      <c r="A15" s="5" t="inlineStr">
        <is>
          <t>입력</t>
        </is>
      </c>
      <c r="B15" s="4" t="inlineStr">
        <is>
          <t>Conf_BD
(대손 효과 신뢰도)</t>
        </is>
      </c>
      <c r="C15" s="17" t="n">
        <v>0</v>
      </c>
      <c r="D15" s="17" t="n">
        <v>0</v>
      </c>
      <c r="E15" s="17" t="n">
        <v>0.3</v>
      </c>
      <c r="F15" s="8" t="inlineStr">
        <is>
          <t>%</t>
        </is>
      </c>
      <c r="G15" s="4" t="inlineStr">
        <is>
          <t>낙관안만 [교육용 가정]</t>
        </is>
      </c>
    </row>
    <row r="16" ht="30" customHeight="1">
      <c r="A16" s="5" t="inlineStr">
        <is>
          <t>입력</t>
        </is>
      </c>
      <c r="B16" s="4" t="inlineStr">
        <is>
          <t>ToolCost_Y
(연 도구비)</t>
        </is>
      </c>
      <c r="C16" s="14" t="n">
        <v>1400000</v>
      </c>
      <c r="D16" s="14" t="n">
        <v>1400000</v>
      </c>
      <c r="E16" s="14" t="n">
        <v>1400000</v>
      </c>
      <c r="F16" s="8" t="inlineStr">
        <is>
          <t>원/년</t>
        </is>
      </c>
      <c r="G16" s="4" t="inlineStr">
        <is>
          <t>30_ToolCost에서 고른 시나리오(워크스루 = S1 계획값)</t>
        </is>
      </c>
    </row>
    <row r="17" ht="30" customHeight="1">
      <c r="A17" s="5" t="inlineStr">
        <is>
          <t>입력</t>
        </is>
      </c>
      <c r="B17" s="4" t="inlineStr">
        <is>
          <t>APICost_Y
(연 API 비용)</t>
        </is>
      </c>
      <c r="C17" s="14" t="n">
        <v>0</v>
      </c>
      <c r="D17" s="14" t="n">
        <v>0</v>
      </c>
      <c r="E17" s="14" t="n">
        <v>0</v>
      </c>
      <c r="F17" s="8" t="inlineStr">
        <is>
          <t>원/년</t>
        </is>
      </c>
      <c r="G17" s="4" t="inlineStr">
        <is>
          <t>운영비 = 사용자 × 호출 × 일 × 단가(30_ToolCost 계산기)</t>
        </is>
      </c>
    </row>
    <row r="18" ht="30" customHeight="1">
      <c r="A18" s="5" t="inlineStr">
        <is>
          <t>입력</t>
        </is>
      </c>
      <c r="B18" s="4" t="inlineStr">
        <is>
          <t>OpsHours_M
(월 운영시간)</t>
        </is>
      </c>
      <c r="C18" s="16" t="n">
        <v>5</v>
      </c>
      <c r="D18" s="16" t="n">
        <v>5</v>
      </c>
      <c r="E18" s="16" t="n">
        <v>5</v>
      </c>
      <c r="F18" s="8" t="inlineStr">
        <is>
          <t>시간/월</t>
        </is>
      </c>
      <c r="G18" s="4" t="inlineStr">
        <is>
          <t>[교육용 가정]</t>
        </is>
      </c>
    </row>
    <row r="19" ht="30" customHeight="1">
      <c r="A19" s="5" t="inlineStr">
        <is>
          <t>입력</t>
        </is>
      </c>
      <c r="B19" s="4" t="inlineStr">
        <is>
          <t>BuildHours
(구축 내부시간)</t>
        </is>
      </c>
      <c r="C19" s="16" t="n">
        <v>80</v>
      </c>
      <c r="D19" s="16" t="n">
        <v>80</v>
      </c>
      <c r="E19" s="16" t="n">
        <v>80</v>
      </c>
      <c r="F19" s="8" t="inlineStr">
        <is>
          <t>시간</t>
        </is>
      </c>
      <c r="G19" s="4" t="inlineStr">
        <is>
          <t>[교육용 가정]</t>
        </is>
      </c>
    </row>
    <row r="20" ht="30" customHeight="1">
      <c r="A20" s="5" t="inlineStr">
        <is>
          <t>입력</t>
        </is>
      </c>
      <c r="B20" s="4" t="inlineStr">
        <is>
          <t>TrainingCost
(교육비)</t>
        </is>
      </c>
      <c r="C20" s="14" t="n">
        <v>0</v>
      </c>
      <c r="D20" s="14" t="n">
        <v>0</v>
      </c>
      <c r="E20" s="14" t="n">
        <v>0</v>
      </c>
      <c r="F20" s="8" t="inlineStr">
        <is>
          <t>원</t>
        </is>
      </c>
      <c r="G20" s="4" t="inlineStr">
        <is>
          <t>[교육용 가정]</t>
        </is>
      </c>
    </row>
    <row r="22">
      <c r="A22" s="18" t="inlineStr">
        <is>
          <t>계산</t>
        </is>
      </c>
    </row>
    <row r="23" ht="30" customHeight="1">
      <c r="A23" s="9" t="inlineStr">
        <is>
          <t>계산</t>
        </is>
      </c>
      <c r="B23" s="4" t="inlineStr">
        <is>
          <t>WC_Release
(운전자본 해제액)</t>
        </is>
      </c>
      <c r="C23" s="19">
        <f>C11*C6/365</f>
        <v/>
      </c>
      <c r="D23" s="19">
        <f>D11*D6/365</f>
        <v/>
      </c>
      <c r="E23" s="19">
        <f>E11*E6/365</f>
        <v/>
      </c>
      <c r="G23" s="4" t="inlineStr">
        <is>
          <t>DSO_Cut × CreditSales_Y ÷ 365 [R10 추정 산식]</t>
        </is>
      </c>
    </row>
    <row r="24" ht="30" customHeight="1">
      <c r="A24" s="9" t="inlineStr">
        <is>
          <t>계산</t>
        </is>
      </c>
      <c r="B24" s="4" t="inlineStr">
        <is>
          <t>Benefit_Fin
(금융비용 절감(보정))</t>
        </is>
      </c>
      <c r="C24" s="19">
        <f>C23*C7*C12</f>
        <v/>
      </c>
      <c r="D24" s="19">
        <f>D23*D7*D12</f>
        <v/>
      </c>
      <c r="E24" s="19">
        <f>E23*E7*E12</f>
        <v/>
      </c>
      <c r="G24" s="4" t="inlineStr">
        <is>
          <t>해제액 × 조달금리 × Conf_DSO</t>
        </is>
      </c>
    </row>
    <row r="25" ht="30" customHeight="1">
      <c r="A25" s="9" t="inlineStr">
        <is>
          <t>계산</t>
        </is>
      </c>
      <c r="B25" s="4" t="inlineStr">
        <is>
          <t>Benefit_BD
(대손 감소(보정))</t>
        </is>
      </c>
      <c r="C25" s="19">
        <f>MAX(0,C13-C14)*C6*C15</f>
        <v/>
      </c>
      <c r="D25" s="19">
        <f>MAX(0,D13-D14)*D6*D15</f>
        <v/>
      </c>
      <c r="E25" s="19">
        <f>MAX(0,E13-E14)*E6*E15</f>
        <v/>
      </c>
      <c r="G25" s="4" t="inlineStr">
        <is>
          <t>MAX(0, 대손율 − 목표) × CreditSales_Y × Conf_BD</t>
        </is>
      </c>
    </row>
    <row r="26" ht="30" customHeight="1">
      <c r="A26" s="9" t="inlineStr">
        <is>
          <t>계산</t>
        </is>
      </c>
      <c r="B26" s="4" t="inlineStr">
        <is>
          <t>Benefit_Time
(시간 절감(보정))</t>
        </is>
      </c>
      <c r="C26" s="19">
        <f>C9*C8*12*C10</f>
        <v/>
      </c>
      <c r="D26" s="19">
        <f>D9*D8*12*D10</f>
        <v/>
      </c>
      <c r="E26" s="19">
        <f>E9*E8*12*E10</f>
        <v/>
      </c>
      <c r="G26" s="4" t="inlineStr">
        <is>
          <t>HoursSaved_M × WageHour × 12 × Conf_Time</t>
        </is>
      </c>
    </row>
    <row r="27" ht="30" customHeight="1">
      <c r="A27" s="9" t="inlineStr">
        <is>
          <t>계산</t>
        </is>
      </c>
      <c r="B27" s="10" t="inlineStr">
        <is>
          <t>Benefit_Total
(총편익(보정))</t>
        </is>
      </c>
      <c r="C27" s="19">
        <f>C24+C25+C26</f>
        <v/>
      </c>
      <c r="D27" s="19">
        <f>D24+D25+D26</f>
        <v/>
      </c>
      <c r="E27" s="19">
        <f>E24+E25+E26</f>
        <v/>
      </c>
      <c r="G27" s="4" t="inlineStr">
        <is>
          <t>금융비용 절감 + 대손 감소 + 시간 절감</t>
        </is>
      </c>
    </row>
    <row r="28" ht="30" customHeight="1">
      <c r="A28" s="9" t="inlineStr">
        <is>
          <t>계산</t>
        </is>
      </c>
      <c r="B28" s="4" t="inlineStr">
        <is>
          <t>Invest_Init
(초기투자)</t>
        </is>
      </c>
      <c r="C28" s="19">
        <f>C19*C8+C20</f>
        <v/>
      </c>
      <c r="D28" s="19">
        <f>D19*D8+D20</f>
        <v/>
      </c>
      <c r="E28" s="19">
        <f>E19*E8+E20</f>
        <v/>
      </c>
      <c r="G28" s="4" t="inlineStr">
        <is>
          <t>BuildHours × WageHour + TrainingCost</t>
        </is>
      </c>
    </row>
    <row r="29" ht="30" customHeight="1">
      <c r="A29" s="9" t="inlineStr">
        <is>
          <t>계산</t>
        </is>
      </c>
      <c r="B29" s="4" t="inlineStr">
        <is>
          <t>Cost_Recurring
(연 반복비용)</t>
        </is>
      </c>
      <c r="C29" s="19">
        <f>C16+C17+C18*C8*12</f>
        <v/>
      </c>
      <c r="D29" s="19">
        <f>D16+D17+D18*D8*12</f>
        <v/>
      </c>
      <c r="E29" s="19">
        <f>E16+E17+E18*E8*12</f>
        <v/>
      </c>
      <c r="G29" s="4" t="inlineStr">
        <is>
          <t>ToolCost_Y + APICost_Y + OpsHours_M × WageHour × 12</t>
        </is>
      </c>
    </row>
    <row r="30" ht="30" customHeight="1">
      <c r="A30" s="9" t="inlineStr">
        <is>
          <t>계산</t>
        </is>
      </c>
      <c r="B30" s="10" t="inlineStr">
        <is>
          <t>Cost_Y1
(1년차 비용)</t>
        </is>
      </c>
      <c r="C30" s="19">
        <f>C28+C29</f>
        <v/>
      </c>
      <c r="D30" s="19">
        <f>D28+D29</f>
        <v/>
      </c>
      <c r="E30" s="19">
        <f>E28+E29</f>
        <v/>
      </c>
      <c r="G30" s="4" t="inlineStr">
        <is>
          <t>초기투자 + 연 반복비용</t>
        </is>
      </c>
    </row>
    <row r="32" ht="30" customHeight="1">
      <c r="A32" s="9" t="inlineStr">
        <is>
          <t>결과</t>
        </is>
      </c>
      <c r="B32" s="10" t="inlineStr">
        <is>
          <t>BCR
(편익비용비)</t>
        </is>
      </c>
      <c r="C32" s="20">
        <f>IF(C30&gt;0,C27/C30,"")</f>
        <v/>
      </c>
      <c r="D32" s="20">
        <f>IF(D30&gt;0,D27/D30,"")</f>
        <v/>
      </c>
      <c r="E32" s="20">
        <f>IF(E30&gt;0,E27/E30,"")</f>
        <v/>
      </c>
      <c r="G32" s="4" t="inlineStr">
        <is>
          <t>총편익 ÷ 1년차 비용 — 1을 넘어야 남는다</t>
        </is>
      </c>
    </row>
    <row r="33" ht="30" customHeight="1">
      <c r="A33" s="9" t="inlineStr">
        <is>
          <t>결과</t>
        </is>
      </c>
      <c r="B33" s="10" t="inlineStr">
        <is>
          <t>ROI
(투자수익률 %)</t>
        </is>
      </c>
      <c r="C33" s="12">
        <f>IF(C30&gt;0,(C27-C30)/C30,"")</f>
        <v/>
      </c>
      <c r="D33" s="12">
        <f>IF(D30&gt;0,(D27-D30)/D30,"")</f>
        <v/>
      </c>
      <c r="E33" s="12">
        <f>IF(E30&gt;0,(E27-E30)/E30,"")</f>
        <v/>
      </c>
      <c r="G33" s="4" t="inlineStr">
        <is>
          <t>(총편익 − 1년차 비용) ÷ 1년차 비용</t>
        </is>
      </c>
    </row>
    <row r="34" ht="30" customHeight="1">
      <c r="A34" s="9" t="inlineStr">
        <is>
          <t>결과</t>
        </is>
      </c>
      <c r="B34" s="10" t="inlineStr">
        <is>
          <t>Payback_M
(회수기간(개월))</t>
        </is>
      </c>
      <c r="C34" s="11">
        <f>IF(C27-C29&lt;=0,"회수 불가",C28/((C27-C29)/12))</f>
        <v/>
      </c>
      <c r="D34" s="11">
        <f>IF(D27-D29&lt;=0,"회수 불가",D28/((D27-D29)/12))</f>
        <v/>
      </c>
      <c r="E34" s="11">
        <f>IF(E27-E29&lt;=0,"회수 불가",E28/((E27-E29)/12))</f>
        <v/>
      </c>
      <c r="G34" s="4" t="inlineStr">
        <is>
          <t>초기투자 ÷ 월 순편익((총편익 − 연 반복비용) ÷ 12). 분모가 0 이하면 '회수 불가'</t>
        </is>
      </c>
    </row>
    <row r="36" ht="48" customHeight="1">
      <c r="A36" s="9" t="inlineStr">
        <is>
          <t>결과</t>
        </is>
      </c>
      <c r="B36" s="4" t="inlineStr">
        <is>
          <t>Median_vs
(재무 AI ROI 중앙값과 비교)</t>
        </is>
      </c>
      <c r="C36" s="21">
        <f>IF(ISNUMBER(C33),IF(C33&gt;=$C$37,"중앙값 이상 — 인과 근거(파일럿 전후 비교)를 붙인다","중앙값 이하"),"")</f>
        <v/>
      </c>
      <c r="D36" s="21">
        <f>IF(ISNUMBER(D33),IF(D33&gt;=$C$37,"중앙값 이상 — 인과 근거(파일럿 전후 비교)를 붙인다","중앙값 이하"),"")</f>
        <v/>
      </c>
      <c r="E36" s="21">
        <f>IF(ISNUMBER(E33),IF(E33&gt;=$C$37,"중앙값 이상 — 인과 근거(파일럿 전후 비교)를 붙인다","중앙값 이하"),"")</f>
        <v/>
      </c>
      <c r="G36" s="4" t="inlineStr">
        <is>
          <t>BCG 재무 AI ROI 중앙값 10%(목표 20%) [R04]</t>
        </is>
      </c>
    </row>
    <row r="37">
      <c r="A37" s="22" t="inlineStr">
        <is>
          <t>기준값</t>
        </is>
      </c>
      <c r="B37" s="4" t="inlineStr">
        <is>
          <t>BCG 재무 AI ROI 중앙값</t>
        </is>
      </c>
      <c r="C37" s="23" t="n">
        <v>0.1</v>
      </c>
      <c r="D37" s="23" t="n">
        <v>0.2</v>
      </c>
      <c r="G37" s="4" t="inlineStr">
        <is>
          <t>C = 중앙값 10% · D = 목표 20% — BCG(2025-06) [R04]. 기준안 ROI가 중앙값의 몇 배인지 한 줄로 비교한다</t>
        </is>
      </c>
    </row>
    <row r="39" ht="30" customHeight="1">
      <c r="A39" s="5" t="inlineStr">
        <is>
          <t>메모</t>
        </is>
      </c>
      <c r="B39" s="4" t="inlineStr">
        <is>
          <t>무형 효과(숫자에 넣지 않음)</t>
        </is>
      </c>
      <c r="C39" s="24" t="inlineStr"/>
      <c r="D39" s="25" t="n"/>
      <c r="E39" s="25" t="n"/>
      <c r="F39" s="25" t="n"/>
      <c r="G39" s="26" t="n"/>
    </row>
    <row r="41" ht="45" customHeight="1">
      <c r="A41" s="5" t="inlineStr">
        <is>
          <t>선택</t>
        </is>
      </c>
      <c r="B41" s="4" t="inlineStr">
        <is>
          <t>연속수출 면책 방지 기대효과</t>
        </is>
      </c>
      <c r="C41" s="24" t="inlineStr">
        <is>
          <t>연 발생확률 × 평균 면책액 — 총편익에 넣으려면 근거(사례 · 확률)를 함께 적는다. K-SURE 공식 사례: U$1,000천 수출 중 U$650천 미회수, U$350천 면책 [R01]</t>
        </is>
      </c>
      <c r="D41" s="25" t="n"/>
      <c r="E41" s="25" t="n"/>
      <c r="F41" s="25" t="n"/>
      <c r="G41" s="26" t="n"/>
    </row>
  </sheetData>
  <mergeCells count="2">
    <mergeCell ref="C39:G39"/>
    <mergeCell ref="C41:G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17" customWidth="1" min="3" max="3"/>
    <col width="17" customWidth="1" min="4" max="4"/>
    <col width="17" customWidth="1" min="5" max="5"/>
    <col width="9" customWidth="1" min="6" max="6"/>
    <col width="70" customWidth="1" min="7" max="7"/>
  </cols>
  <sheetData>
    <row r="1">
      <c r="A1" s="1" t="inlineStr">
        <is>
          <t>21_Walkthrough — ROI 워크스루(고정) · 03 Part2 §6.8 산식</t>
        </is>
      </c>
    </row>
    <row r="2">
      <c r="A2" s="2" t="inlineStr">
        <is>
          <t>고정 사본 — 03 Part2 §6.8 · 슬라이드와 같은 워크스루. 고치지 않는다(비교 기준 · 그림 IMG:d6-#20-a가 이 시트를 읽는다)</t>
        </is>
      </c>
    </row>
    <row r="3">
      <c r="A3" s="2" t="inlineStr">
        <is>
          <t>입력 전부 [교육용 가정]: 연 신용매출 360억 · 조달금리 6.5% · 인건비 4만 원/시간 · 1년차 비용 700만 원</t>
        </is>
      </c>
    </row>
    <row r="5">
      <c r="A5" s="3" t="inlineStr">
        <is>
          <t>구분</t>
        </is>
      </c>
      <c r="B5" s="3" t="inlineStr">
        <is>
          <t>이름</t>
        </is>
      </c>
      <c r="C5" s="3" t="inlineStr">
        <is>
          <t>보수</t>
        </is>
      </c>
      <c r="D5" s="3" t="inlineStr">
        <is>
          <t>기준</t>
        </is>
      </c>
      <c r="E5" s="3" t="inlineStr">
        <is>
          <t>낙관</t>
        </is>
      </c>
      <c r="F5" s="3" t="inlineStr">
        <is>
          <t>단위</t>
        </is>
      </c>
      <c r="G5" s="3" t="inlineStr">
        <is>
          <t>설명 · 출처</t>
        </is>
      </c>
    </row>
    <row r="6" ht="30" customHeight="1">
      <c r="A6" s="9" t="inlineStr">
        <is>
          <t>입력</t>
        </is>
      </c>
      <c r="B6" s="4" t="inlineStr">
        <is>
          <t>CreditSales_Y
(연 신용(외상)매출)</t>
        </is>
      </c>
      <c r="C6" s="19" t="n">
        <v>36000000000</v>
      </c>
      <c r="D6" s="19" t="n">
        <v>36000000000</v>
      </c>
      <c r="E6" s="19" t="n">
        <v>36000000000</v>
      </c>
      <c r="F6" s="8" t="inlineStr">
        <is>
          <t>원</t>
        </is>
      </c>
      <c r="G6" s="4" t="inlineStr">
        <is>
          <t>한빛 매출 약 450억 × 수출 80%, 전액 외상 가정 [교육용 가정] — 현금매출은 넣지 않는다</t>
        </is>
      </c>
    </row>
    <row r="7" ht="30" customHeight="1">
      <c r="A7" s="9" t="inlineStr">
        <is>
          <t>입력</t>
        </is>
      </c>
      <c r="B7" s="4" t="inlineStr">
        <is>
          <t>FundingRate
(조달금리)</t>
        </is>
      </c>
      <c r="C7" s="27" t="n">
        <v>0.065</v>
      </c>
      <c r="D7" s="27" t="n">
        <v>0.065</v>
      </c>
      <c r="E7" s="27" t="n">
        <v>0.065</v>
      </c>
      <c r="F7" s="8" t="inlineStr">
        <is>
          <t>연</t>
        </is>
      </c>
      <c r="G7" s="4" t="inlineStr">
        <is>
          <t>하나 92일 환가료 6.533% · OA 매입 실효 6.59% 참고(4일차 01_Params)</t>
        </is>
      </c>
    </row>
    <row r="8" ht="30" customHeight="1">
      <c r="A8" s="9" t="inlineStr">
        <is>
          <t>입력</t>
        </is>
      </c>
      <c r="B8" s="4" t="inlineStr">
        <is>
          <t>WageHour
(시간당 인건비)</t>
        </is>
      </c>
      <c r="C8" s="19" t="n">
        <v>40000</v>
      </c>
      <c r="D8" s="19" t="n">
        <v>40000</v>
      </c>
      <c r="E8" s="19" t="n">
        <v>40000</v>
      </c>
      <c r="F8" s="8" t="inlineStr">
        <is>
          <t>원/시간</t>
        </is>
      </c>
      <c r="G8" s="4" t="inlineStr">
        <is>
          <t>[교육용 가정]</t>
        </is>
      </c>
    </row>
    <row r="9" ht="30" customHeight="1">
      <c r="A9" s="9" t="inlineStr">
        <is>
          <t>입력</t>
        </is>
      </c>
      <c r="B9" s="4" t="inlineStr">
        <is>
          <t>HoursSaved_M
(월 검토시간 절감)</t>
        </is>
      </c>
      <c r="C9" s="28" t="n">
        <v>20</v>
      </c>
      <c r="D9" s="28" t="n">
        <v>20</v>
      </c>
      <c r="E9" s="28" t="n">
        <v>20</v>
      </c>
      <c r="F9" s="8" t="inlineStr">
        <is>
          <t>시간/월</t>
        </is>
      </c>
      <c r="G9" s="4" t="inlineStr">
        <is>
          <t>1주 타임로그(50_TimeLog)로 기준선을 잰 뒤 바꾼다</t>
        </is>
      </c>
    </row>
    <row r="10" ht="30" customHeight="1">
      <c r="A10" s="9" t="inlineStr">
        <is>
          <t>입력</t>
        </is>
      </c>
      <c r="B10" s="4" t="inlineStr">
        <is>
          <t>Conf_Time
(시간 절감 신뢰도)</t>
        </is>
      </c>
      <c r="C10" s="29" t="n">
        <v>0.7</v>
      </c>
      <c r="D10" s="29" t="n">
        <v>0.7</v>
      </c>
      <c r="E10" s="29" t="n">
        <v>0.7</v>
      </c>
      <c r="F10" s="8" t="inlineStr">
        <is>
          <t>%</t>
        </is>
      </c>
      <c r="G10" s="4" t="inlineStr">
        <is>
          <t>효과 분리(Phillips) — AI 덕분이라고 확신하는 정도</t>
        </is>
      </c>
    </row>
    <row r="11" ht="30" customHeight="1">
      <c r="A11" s="9" t="inlineStr">
        <is>
          <t>입력</t>
        </is>
      </c>
      <c r="B11" s="4" t="inlineStr">
        <is>
          <t>DSO_Cut
(DSO 단축 일수)</t>
        </is>
      </c>
      <c r="C11" s="28" t="n">
        <v>0</v>
      </c>
      <c r="D11" s="28" t="n">
        <v>2</v>
      </c>
      <c r="E11" s="28" t="n">
        <v>5</v>
      </c>
      <c r="F11" s="8" t="inlineStr">
        <is>
          <t>일</t>
        </is>
      </c>
      <c r="G11" s="4" t="inlineStr">
        <is>
          <t>현재 DSO − 목표 DSO. 보수안은 0(측정 가능한 시간 절감만)</t>
        </is>
      </c>
    </row>
    <row r="12" ht="30" customHeight="1">
      <c r="A12" s="9" t="inlineStr">
        <is>
          <t>입력</t>
        </is>
      </c>
      <c r="B12" s="4" t="inlineStr">
        <is>
          <t>Conf_DSO
(DSO 효과 신뢰도)</t>
        </is>
      </c>
      <c r="C12" s="29" t="n">
        <v>0.5</v>
      </c>
      <c r="D12" s="29" t="n">
        <v>0.5</v>
      </c>
      <c r="E12" s="29" t="n">
        <v>0.5</v>
      </c>
      <c r="F12" s="8" t="inlineStr">
        <is>
          <t>%</t>
        </is>
      </c>
      <c r="G12" s="4" t="inlineStr">
        <is>
          <t>[교육용 가정]</t>
        </is>
      </c>
    </row>
    <row r="13" ht="30" customHeight="1">
      <c r="A13" s="9" t="inlineStr">
        <is>
          <t>입력</t>
        </is>
      </c>
      <c r="B13" s="4" t="inlineStr">
        <is>
          <t>BadDebtRate_Now
(현재 대손율)</t>
        </is>
      </c>
      <c r="C13" s="27" t="n">
        <v>0.0067</v>
      </c>
      <c r="D13" s="27" t="n">
        <v>0.0067</v>
      </c>
      <c r="E13" s="27" t="n">
        <v>0.0067</v>
      </c>
      <c r="F13" s="8" t="inlineStr">
        <is>
          <t>%</t>
        </is>
      </c>
      <c r="G13" s="4">
        <f> 연 대손상각액 ÷ 연 신용매출(10_KPI) · 참고 C27 중소 0.67%(G01)</f>
        <v/>
      </c>
    </row>
    <row r="14" ht="30" customHeight="1">
      <c r="A14" s="9" t="inlineStr">
        <is>
          <t>입력</t>
        </is>
      </c>
      <c r="B14" s="4" t="inlineStr">
        <is>
          <t>BadDebtRate_Target
(목표 대손율)</t>
        </is>
      </c>
      <c r="C14" s="27" t="n">
        <v>0.006</v>
      </c>
      <c r="D14" s="27" t="n">
        <v>0.006</v>
      </c>
      <c r="E14" s="27" t="n">
        <v>0.006</v>
      </c>
      <c r="F14" s="8" t="inlineStr">
        <is>
          <t>%</t>
        </is>
      </c>
      <c r="G14" s="4" t="inlineStr">
        <is>
          <t>[교육용 가정]</t>
        </is>
      </c>
    </row>
    <row r="15" ht="30" customHeight="1">
      <c r="A15" s="9" t="inlineStr">
        <is>
          <t>입력</t>
        </is>
      </c>
      <c r="B15" s="4" t="inlineStr">
        <is>
          <t>Conf_BD
(대손 효과 신뢰도)</t>
        </is>
      </c>
      <c r="C15" s="29" t="n">
        <v>0</v>
      </c>
      <c r="D15" s="29" t="n">
        <v>0</v>
      </c>
      <c r="E15" s="29" t="n">
        <v>0.3</v>
      </c>
      <c r="F15" s="8" t="inlineStr">
        <is>
          <t>%</t>
        </is>
      </c>
      <c r="G15" s="4" t="inlineStr">
        <is>
          <t>낙관안만 [교육용 가정]</t>
        </is>
      </c>
    </row>
    <row r="16" ht="30" customHeight="1">
      <c r="A16" s="9" t="inlineStr">
        <is>
          <t>입력</t>
        </is>
      </c>
      <c r="B16" s="4" t="inlineStr">
        <is>
          <t>ToolCost_Y
(연 도구비)</t>
        </is>
      </c>
      <c r="C16" s="19" t="n">
        <v>1400000</v>
      </c>
      <c r="D16" s="19" t="n">
        <v>1400000</v>
      </c>
      <c r="E16" s="19" t="n">
        <v>1400000</v>
      </c>
      <c r="F16" s="8" t="inlineStr">
        <is>
          <t>원/년</t>
        </is>
      </c>
      <c r="G16" s="4" t="inlineStr">
        <is>
          <t>30_ToolCost에서 고른 시나리오(워크스루 = S1 계획값)</t>
        </is>
      </c>
    </row>
    <row r="17" ht="30" customHeight="1">
      <c r="A17" s="9" t="inlineStr">
        <is>
          <t>입력</t>
        </is>
      </c>
      <c r="B17" s="4" t="inlineStr">
        <is>
          <t>APICost_Y
(연 API 비용)</t>
        </is>
      </c>
      <c r="C17" s="19" t="n">
        <v>0</v>
      </c>
      <c r="D17" s="19" t="n">
        <v>0</v>
      </c>
      <c r="E17" s="19" t="n">
        <v>0</v>
      </c>
      <c r="F17" s="8" t="inlineStr">
        <is>
          <t>원/년</t>
        </is>
      </c>
      <c r="G17" s="4" t="inlineStr">
        <is>
          <t>운영비 = 사용자 × 호출 × 일 × 단가(30_ToolCost 계산기)</t>
        </is>
      </c>
    </row>
    <row r="18" ht="30" customHeight="1">
      <c r="A18" s="9" t="inlineStr">
        <is>
          <t>입력</t>
        </is>
      </c>
      <c r="B18" s="4" t="inlineStr">
        <is>
          <t>OpsHours_M
(월 운영시간)</t>
        </is>
      </c>
      <c r="C18" s="28" t="n">
        <v>5</v>
      </c>
      <c r="D18" s="28" t="n">
        <v>5</v>
      </c>
      <c r="E18" s="28" t="n">
        <v>5</v>
      </c>
      <c r="F18" s="8" t="inlineStr">
        <is>
          <t>시간/월</t>
        </is>
      </c>
      <c r="G18" s="4" t="inlineStr">
        <is>
          <t>[교육용 가정]</t>
        </is>
      </c>
    </row>
    <row r="19" ht="30" customHeight="1">
      <c r="A19" s="9" t="inlineStr">
        <is>
          <t>입력</t>
        </is>
      </c>
      <c r="B19" s="4" t="inlineStr">
        <is>
          <t>BuildHours
(구축 내부시간)</t>
        </is>
      </c>
      <c r="C19" s="28" t="n">
        <v>80</v>
      </c>
      <c r="D19" s="28" t="n">
        <v>80</v>
      </c>
      <c r="E19" s="28" t="n">
        <v>80</v>
      </c>
      <c r="F19" s="8" t="inlineStr">
        <is>
          <t>시간</t>
        </is>
      </c>
      <c r="G19" s="4" t="inlineStr">
        <is>
          <t>[교육용 가정]</t>
        </is>
      </c>
    </row>
    <row r="20" ht="30" customHeight="1">
      <c r="A20" s="9" t="inlineStr">
        <is>
          <t>입력</t>
        </is>
      </c>
      <c r="B20" s="4" t="inlineStr">
        <is>
          <t>TrainingCost
(교육비)</t>
        </is>
      </c>
      <c r="C20" s="19" t="n">
        <v>0</v>
      </c>
      <c r="D20" s="19" t="n">
        <v>0</v>
      </c>
      <c r="E20" s="19" t="n">
        <v>0</v>
      </c>
      <c r="F20" s="8" t="inlineStr">
        <is>
          <t>원</t>
        </is>
      </c>
      <c r="G20" s="4" t="inlineStr">
        <is>
          <t>[교육용 가정]</t>
        </is>
      </c>
    </row>
    <row r="22">
      <c r="A22" s="18" t="inlineStr">
        <is>
          <t>계산</t>
        </is>
      </c>
    </row>
    <row r="23" ht="30" customHeight="1">
      <c r="A23" s="9" t="inlineStr">
        <is>
          <t>계산</t>
        </is>
      </c>
      <c r="B23" s="4" t="inlineStr">
        <is>
          <t>WC_Release
(운전자본 해제액)</t>
        </is>
      </c>
      <c r="C23" s="19">
        <f>C11*C6/365</f>
        <v/>
      </c>
      <c r="D23" s="19">
        <f>D11*D6/365</f>
        <v/>
      </c>
      <c r="E23" s="19">
        <f>E11*E6/365</f>
        <v/>
      </c>
      <c r="G23" s="4" t="inlineStr">
        <is>
          <t>DSO_Cut × CreditSales_Y ÷ 365 [R10 추정 산식]</t>
        </is>
      </c>
    </row>
    <row r="24" ht="30" customHeight="1">
      <c r="A24" s="9" t="inlineStr">
        <is>
          <t>계산</t>
        </is>
      </c>
      <c r="B24" s="4" t="inlineStr">
        <is>
          <t>Benefit_Fin
(금융비용 절감(보정))</t>
        </is>
      </c>
      <c r="C24" s="19">
        <f>C23*C7*C12</f>
        <v/>
      </c>
      <c r="D24" s="19">
        <f>D23*D7*D12</f>
        <v/>
      </c>
      <c r="E24" s="19">
        <f>E23*E7*E12</f>
        <v/>
      </c>
      <c r="G24" s="4" t="inlineStr">
        <is>
          <t>해제액 × 조달금리 × Conf_DSO</t>
        </is>
      </c>
    </row>
    <row r="25" ht="30" customHeight="1">
      <c r="A25" s="9" t="inlineStr">
        <is>
          <t>계산</t>
        </is>
      </c>
      <c r="B25" s="4" t="inlineStr">
        <is>
          <t>Benefit_BD
(대손 감소(보정))</t>
        </is>
      </c>
      <c r="C25" s="19">
        <f>MAX(0,C13-C14)*C6*C15</f>
        <v/>
      </c>
      <c r="D25" s="19">
        <f>MAX(0,D13-D14)*D6*D15</f>
        <v/>
      </c>
      <c r="E25" s="19">
        <f>MAX(0,E13-E14)*E6*E15</f>
        <v/>
      </c>
      <c r="G25" s="4" t="inlineStr">
        <is>
          <t>MAX(0, 대손율 − 목표) × CreditSales_Y × Conf_BD</t>
        </is>
      </c>
    </row>
    <row r="26" ht="30" customHeight="1">
      <c r="A26" s="9" t="inlineStr">
        <is>
          <t>계산</t>
        </is>
      </c>
      <c r="B26" s="4" t="inlineStr">
        <is>
          <t>Benefit_Time
(시간 절감(보정))</t>
        </is>
      </c>
      <c r="C26" s="19">
        <f>C9*C8*12*C10</f>
        <v/>
      </c>
      <c r="D26" s="19">
        <f>D9*D8*12*D10</f>
        <v/>
      </c>
      <c r="E26" s="19">
        <f>E9*E8*12*E10</f>
        <v/>
      </c>
      <c r="G26" s="4" t="inlineStr">
        <is>
          <t>HoursSaved_M × WageHour × 12 × Conf_Time</t>
        </is>
      </c>
    </row>
    <row r="27" ht="30" customHeight="1">
      <c r="A27" s="9" t="inlineStr">
        <is>
          <t>계산</t>
        </is>
      </c>
      <c r="B27" s="10" t="inlineStr">
        <is>
          <t>Benefit_Total
(총편익(보정))</t>
        </is>
      </c>
      <c r="C27" s="19">
        <f>C24+C25+C26</f>
        <v/>
      </c>
      <c r="D27" s="19">
        <f>D24+D25+D26</f>
        <v/>
      </c>
      <c r="E27" s="19">
        <f>E24+E25+E26</f>
        <v/>
      </c>
      <c r="G27" s="4" t="inlineStr">
        <is>
          <t>금융비용 절감 + 대손 감소 + 시간 절감</t>
        </is>
      </c>
    </row>
    <row r="28" ht="30" customHeight="1">
      <c r="A28" s="9" t="inlineStr">
        <is>
          <t>계산</t>
        </is>
      </c>
      <c r="B28" s="4" t="inlineStr">
        <is>
          <t>Invest_Init
(초기투자)</t>
        </is>
      </c>
      <c r="C28" s="19">
        <f>C19*C8+C20</f>
        <v/>
      </c>
      <c r="D28" s="19">
        <f>D19*D8+D20</f>
        <v/>
      </c>
      <c r="E28" s="19">
        <f>E19*E8+E20</f>
        <v/>
      </c>
      <c r="G28" s="4" t="inlineStr">
        <is>
          <t>BuildHours × WageHour + TrainingCost</t>
        </is>
      </c>
    </row>
    <row r="29" ht="30" customHeight="1">
      <c r="A29" s="9" t="inlineStr">
        <is>
          <t>계산</t>
        </is>
      </c>
      <c r="B29" s="4" t="inlineStr">
        <is>
          <t>Cost_Recurring
(연 반복비용)</t>
        </is>
      </c>
      <c r="C29" s="19">
        <f>C16+C17+C18*C8*12</f>
        <v/>
      </c>
      <c r="D29" s="19">
        <f>D16+D17+D18*D8*12</f>
        <v/>
      </c>
      <c r="E29" s="19">
        <f>E16+E17+E18*E8*12</f>
        <v/>
      </c>
      <c r="G29" s="4" t="inlineStr">
        <is>
          <t>ToolCost_Y + APICost_Y + OpsHours_M × WageHour × 12</t>
        </is>
      </c>
    </row>
    <row r="30" ht="30" customHeight="1">
      <c r="A30" s="9" t="inlineStr">
        <is>
          <t>계산</t>
        </is>
      </c>
      <c r="B30" s="10" t="inlineStr">
        <is>
          <t>Cost_Y1
(1년차 비용)</t>
        </is>
      </c>
      <c r="C30" s="19">
        <f>C28+C29</f>
        <v/>
      </c>
      <c r="D30" s="19">
        <f>D28+D29</f>
        <v/>
      </c>
      <c r="E30" s="19">
        <f>E28+E29</f>
        <v/>
      </c>
      <c r="G30" s="4" t="inlineStr">
        <is>
          <t>초기투자 + 연 반복비용</t>
        </is>
      </c>
    </row>
    <row r="32" ht="30" customHeight="1">
      <c r="A32" s="9" t="inlineStr">
        <is>
          <t>결과</t>
        </is>
      </c>
      <c r="B32" s="10" t="inlineStr">
        <is>
          <t>BCR
(편익비용비)</t>
        </is>
      </c>
      <c r="C32" s="20">
        <f>IF(C30&gt;0,C27/C30,"")</f>
        <v/>
      </c>
      <c r="D32" s="20">
        <f>IF(D30&gt;0,D27/D30,"")</f>
        <v/>
      </c>
      <c r="E32" s="20">
        <f>IF(E30&gt;0,E27/E30,"")</f>
        <v/>
      </c>
      <c r="G32" s="4" t="inlineStr">
        <is>
          <t>총편익 ÷ 1년차 비용 — 1을 넘어야 남는다</t>
        </is>
      </c>
    </row>
    <row r="33" ht="30" customHeight="1">
      <c r="A33" s="9" t="inlineStr">
        <is>
          <t>결과</t>
        </is>
      </c>
      <c r="B33" s="10" t="inlineStr">
        <is>
          <t>ROI
(투자수익률 %)</t>
        </is>
      </c>
      <c r="C33" s="12">
        <f>IF(C30&gt;0,(C27-C30)/C30,"")</f>
        <v/>
      </c>
      <c r="D33" s="12">
        <f>IF(D30&gt;0,(D27-D30)/D30,"")</f>
        <v/>
      </c>
      <c r="E33" s="12">
        <f>IF(E30&gt;0,(E27-E30)/E30,"")</f>
        <v/>
      </c>
      <c r="G33" s="4" t="inlineStr">
        <is>
          <t>(총편익 − 1년차 비용) ÷ 1년차 비용</t>
        </is>
      </c>
    </row>
    <row r="34" ht="30" customHeight="1">
      <c r="A34" s="9" t="inlineStr">
        <is>
          <t>결과</t>
        </is>
      </c>
      <c r="B34" s="10" t="inlineStr">
        <is>
          <t>Payback_M
(회수기간(개월))</t>
        </is>
      </c>
      <c r="C34" s="11">
        <f>IF(C27-C29&lt;=0,"회수 불가",C28/((C27-C29)/12))</f>
        <v/>
      </c>
      <c r="D34" s="11">
        <f>IF(D27-D29&lt;=0,"회수 불가",D28/((D27-D29)/12))</f>
        <v/>
      </c>
      <c r="E34" s="11">
        <f>IF(E27-E29&lt;=0,"회수 불가",E28/((E27-E29)/12))</f>
        <v/>
      </c>
      <c r="G34" s="4" t="inlineStr">
        <is>
          <t>초기투자 ÷ 월 순편익((총편익 − 연 반복비용) ÷ 12). 분모가 0 이하면 '회수 불가'</t>
        </is>
      </c>
    </row>
    <row r="36" ht="48" customHeight="1">
      <c r="A36" s="9" t="inlineStr">
        <is>
          <t>결과</t>
        </is>
      </c>
      <c r="B36" s="4" t="inlineStr">
        <is>
          <t>Median_vs
(재무 AI ROI 중앙값과 비교)</t>
        </is>
      </c>
      <c r="C36" s="21">
        <f>IF(ISNUMBER(C33),IF(C33&gt;=$C$37,"중앙값 이상 — 인과 근거(파일럿 전후 비교)를 붙인다","중앙값 이하"),"")</f>
        <v/>
      </c>
      <c r="D36" s="21">
        <f>IF(ISNUMBER(D33),IF(D33&gt;=$C$37,"중앙값 이상 — 인과 근거(파일럿 전후 비교)를 붙인다","중앙값 이하"),"")</f>
        <v/>
      </c>
      <c r="E36" s="21">
        <f>IF(ISNUMBER(E33),IF(E33&gt;=$C$37,"중앙값 이상 — 인과 근거(파일럿 전후 비교)를 붙인다","중앙값 이하"),"")</f>
        <v/>
      </c>
      <c r="G36" s="4" t="inlineStr">
        <is>
          <t>BCG 재무 AI ROI 중앙값 10%(목표 20%) [R04]</t>
        </is>
      </c>
    </row>
    <row r="37">
      <c r="A37" s="22" t="inlineStr">
        <is>
          <t>기준값</t>
        </is>
      </c>
      <c r="B37" s="4" t="inlineStr">
        <is>
          <t>BCG 재무 AI ROI 중앙값</t>
        </is>
      </c>
      <c r="C37" s="23" t="n">
        <v>0.1</v>
      </c>
      <c r="D37" s="23" t="n">
        <v>0.2</v>
      </c>
      <c r="G37" s="4" t="inlineStr">
        <is>
          <t>C = 중앙값 10% · D = 목표 20% — BCG(2025-06) [R04]. 기준안 ROI가 중앙값의 몇 배인지 한 줄로 비교한다</t>
        </is>
      </c>
    </row>
    <row r="39" ht="30" customHeight="1">
      <c r="A39" s="9" t="inlineStr">
        <is>
          <t>메모</t>
        </is>
      </c>
      <c r="B39" s="4" t="inlineStr">
        <is>
          <t>무형 효과(숫자에 넣지 않음)</t>
        </is>
      </c>
      <c r="C39" s="21" t="inlineStr">
        <is>
          <t>예: 사기 차단 · 보험 면책 회피 · 통지 기한 누락 0건 — 따로 적는다</t>
        </is>
      </c>
      <c r="D39" s="25" t="n"/>
      <c r="E39" s="25" t="n"/>
      <c r="F39" s="25" t="n"/>
      <c r="G39" s="26" t="n"/>
    </row>
    <row r="41" ht="45" customHeight="1">
      <c r="A41" s="9" t="inlineStr">
        <is>
          <t>선택</t>
        </is>
      </c>
      <c r="B41" s="4" t="inlineStr">
        <is>
          <t>연속수출 면책 방지 기대효과</t>
        </is>
      </c>
      <c r="C41" s="21" t="inlineStr">
        <is>
          <t>연 발생확률 × 평균 면책액 — 총편익에 넣으려면 근거(사례 · 확률)를 함께 적는다. K-SURE 공식 사례: U$1,000천 수출 중 U$650천 미회수, U$350천 면책 [R01]</t>
        </is>
      </c>
      <c r="D41" s="25" t="n"/>
      <c r="E41" s="25" t="n"/>
      <c r="F41" s="25" t="n"/>
      <c r="G41" s="26" t="n"/>
    </row>
  </sheetData>
  <mergeCells count="2">
    <mergeCell ref="C39:G39"/>
    <mergeCell ref="C41:G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zoomScale="10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34" customWidth="1" min="3" max="3"/>
    <col width="14" customWidth="1" min="4" max="4"/>
    <col width="14" customWidth="1" min="5" max="5"/>
    <col width="14" customWidth="1" min="6" max="6"/>
    <col width="30" customWidth="1" min="7" max="7"/>
  </cols>
  <sheetData>
    <row r="1">
      <c r="A1" s="1" t="inlineStr">
        <is>
          <t>30_ToolCost — 도구비 시나리오 S0–S3(바이어 30곳 = 국내 10 + 해외 20) · 운영비 계산기</t>
        </is>
      </c>
    </row>
    <row r="2">
      <c r="A2" s="2" t="inlineStr">
        <is>
          <t>research G04 §2.5(교수자 산정, 2026-09-26 확인 — 벤더 공개값, 성과 보장 아님) · VAT 기준이 행마다 다르다</t>
        </is>
      </c>
    </row>
    <row r="3">
      <c r="A3" s="2" t="inlineStr">
        <is>
          <t>고른 시나리오의 '계획값'을 20_ROI ToolCost_Y에 옮긴다</t>
        </is>
      </c>
    </row>
    <row r="5">
      <c r="A5" s="3" t="inlineStr">
        <is>
          <t>시나리오</t>
        </is>
      </c>
      <c r="B5" s="3" t="inlineStr">
        <is>
          <t>구성</t>
        </is>
      </c>
      <c r="C5" s="3" t="inlineStr">
        <is>
          <t>연간 비용 계산</t>
        </is>
      </c>
      <c r="D5" s="3" t="inlineStr">
        <is>
          <t>하한(원)</t>
        </is>
      </c>
      <c r="E5" s="3" t="inlineStr">
        <is>
          <t>상한(원)</t>
        </is>
      </c>
      <c r="F5" s="3" t="inlineStr">
        <is>
          <t>계획값(원)</t>
        </is>
      </c>
      <c r="G5" s="3" t="inlineStr">
        <is>
          <t>비고</t>
        </is>
      </c>
    </row>
    <row r="6" ht="32" customHeight="1">
      <c r="A6" s="8" t="inlineStr">
        <is>
          <t>S0 무료+</t>
        </is>
      </c>
      <c r="B6" s="4" t="inlineStr">
        <is>
          <t>K-Sight · BASA 진단 · 국세청 API(무료) + ChatGPT Go 또는 Plus + Streamlit CC(무료)</t>
        </is>
      </c>
      <c r="C6" s="4" t="inlineStr">
        <is>
          <t>13,000원 × 12 = 156,000원 / 29,000원 × 12 = 348,000원</t>
        </is>
      </c>
      <c r="D6" s="30" t="n">
        <v>156000</v>
      </c>
      <c r="E6" s="30" t="n">
        <v>348000</v>
      </c>
      <c r="F6" s="14" t="n"/>
      <c r="G6" s="4" t="inlineStr">
        <is>
          <t>1년차 PoC 최소안</t>
        </is>
      </c>
    </row>
    <row r="7" ht="32" customHeight="1">
      <c r="A7" s="8" t="inlineStr">
        <is>
          <t>S1 저가 모니터링</t>
        </is>
      </c>
      <c r="B7" s="4" t="inlineStr">
        <is>
          <t>S0(Plus) + 이크레더블 국내 10곳 + K-SURE 해외 신용조사 20건(VAT 포함)</t>
        </is>
      </c>
      <c r="C7" s="4" t="inlineStr">
        <is>
          <t>348,000 + 19,800 × 10 + 33,000~49,500 × 20</t>
        </is>
      </c>
      <c r="D7" s="30" t="n">
        <v>1206000</v>
      </c>
      <c r="E7" s="30" t="n">
        <v>1536000</v>
      </c>
      <c r="F7" s="14" t="n">
        <v>1400000</v>
      </c>
      <c r="G7" s="4" t="inlineStr">
        <is>
          <t>워크스루 계획값 140만 원(범위 중간쯤)</t>
        </is>
      </c>
    </row>
    <row r="8" ht="32" customHeight="1">
      <c r="A8" s="8" t="inlineStr">
        <is>
          <t>S2a ERP 연동</t>
        </is>
      </c>
      <c r="B8" s="4" t="inlineStr">
        <is>
          <t>NICE 연동(K-System 보유사) + K-SURE 20건</t>
        </is>
      </c>
      <c r="C8" s="4" t="inlineStr">
        <is>
          <t>100,000 × 12 + 660,000~990,000</t>
        </is>
      </c>
      <c r="D8" s="30" t="n">
        <v>1860000</v>
      </c>
      <c r="E8" s="30" t="n">
        <v>2190000</v>
      </c>
      <c r="F8" s="14" t="n"/>
      <c r="G8" s="4" t="inlineStr">
        <is>
          <t>ERP 라이선스 별도</t>
        </is>
      </c>
    </row>
    <row r="9" ht="32" customHeight="1">
      <c r="A9" s="8" t="inlineStr">
        <is>
          <t>S2b 경리 SaaS + 조기경보</t>
        </is>
      </c>
      <c r="B9" s="4" t="inlineStr">
        <is>
          <t>경리나라 표준형 + CRETOP-EW 혜택가 + K-SURE 20건</t>
        </is>
      </c>
      <c r="C9" s="4" t="inlineStr">
        <is>
          <t>828,000 + 2,520,000 + 660,000~990,000</t>
        </is>
      </c>
      <c r="D9" s="30" t="n">
        <v>4008000</v>
      </c>
      <c r="E9" s="30" t="n">
        <v>4338000</v>
      </c>
      <c r="F9" s="14" t="n"/>
      <c r="G9" s="4" t="inlineStr">
        <is>
          <t>기간 · VAT 일부 [미확인]</t>
        </is>
      </c>
    </row>
    <row r="10" ht="32" customHeight="1">
      <c r="A10" s="8" t="inlineStr">
        <is>
          <t>S3 해외 AR SaaS</t>
        </is>
      </c>
      <c r="B10" s="4" t="inlineStr">
        <is>
          <t>Chaser Compact</t>
        </is>
      </c>
      <c r="C10" s="4" t="inlineStr">
        <is>
          <t>£199 × 12 = £2,388/년부터</t>
        </is>
      </c>
      <c r="D10" s="30" t="n"/>
      <c r="E10" s="30" t="n"/>
      <c r="F10" s="14" t="n"/>
      <c r="G10" s="4" t="inlineStr">
        <is>
          <t>원화는 당일 환율로 환산</t>
        </is>
      </c>
    </row>
    <row r="11" ht="32" customHeight="1">
      <c r="A11" s="8" t="inlineStr">
        <is>
          <t>(옵션) 상위 바이어 정밀조사</t>
        </is>
      </c>
      <c r="B11" s="4" t="inlineStr">
        <is>
          <t>NICE D&amp;B BIR</t>
        </is>
      </c>
      <c r="C11" s="4" t="inlineStr">
        <is>
          <t>33만~44만 원/건 × 상위 N곳(N = 5)</t>
        </is>
      </c>
      <c r="D11" s="30" t="n">
        <v>1650000</v>
      </c>
      <c r="E11" s="30" t="n">
        <v>2200000</v>
      </c>
      <c r="F11" s="14" t="n"/>
      <c r="G11" s="4" t="inlineStr">
        <is>
          <t>별도</t>
        </is>
      </c>
    </row>
    <row r="14">
      <c r="A14" s="18" t="inlineStr">
        <is>
          <t>운영비(TCO) 계산기 — 운영비 = 사용자 × 호출 × 일 × 단가</t>
        </is>
      </c>
    </row>
    <row r="15">
      <c r="A15" s="5" t="inlineStr">
        <is>
          <t>입력</t>
        </is>
      </c>
      <c r="B15" s="8" t="inlineStr">
        <is>
          <t>사용자 수</t>
        </is>
      </c>
      <c r="C15" s="16" t="n">
        <v>3</v>
      </c>
      <c r="D15" s="4" t="inlineStr">
        <is>
          <t>계산기 값은 예시 [교육용 가정] — 과정의 LiteLLM 키는 10/22 만료라 자사 도입 때는 자사 계약 단가로 다시 잰다</t>
        </is>
      </c>
    </row>
    <row r="16">
      <c r="A16" s="5" t="inlineStr">
        <is>
          <t>입력</t>
        </is>
      </c>
      <c r="B16" s="8" t="inlineStr">
        <is>
          <t>1인 하루 호출 수</t>
        </is>
      </c>
      <c r="C16" s="16" t="n">
        <v>20</v>
      </c>
    </row>
    <row r="17">
      <c r="A17" s="5" t="inlineStr">
        <is>
          <t>입력</t>
        </is>
      </c>
      <c r="B17" s="8" t="inlineStr">
        <is>
          <t>연 사용일</t>
        </is>
      </c>
      <c r="C17" s="16" t="n">
        <v>240</v>
      </c>
    </row>
    <row r="18">
      <c r="A18" s="5" t="inlineStr">
        <is>
          <t>입력</t>
        </is>
      </c>
      <c r="B18" s="8" t="inlineStr">
        <is>
          <t>호출당 단가(원)</t>
        </is>
      </c>
      <c r="C18" s="14" t="n">
        <v>5</v>
      </c>
    </row>
    <row r="19">
      <c r="A19" s="9" t="inlineStr">
        <is>
          <t>계산</t>
        </is>
      </c>
      <c r="B19" s="18" t="inlineStr">
        <is>
          <t>연 API 비용(원) → 20_ROI APICost_Y</t>
        </is>
      </c>
      <c r="C19" s="31">
        <f>C15*C16*C17*C18</f>
        <v/>
      </c>
    </row>
  </sheetData>
  <mergeCells count="1">
    <mergeCell ref="D15:G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0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30" customWidth="1" min="4" max="4"/>
    <col width="24" customWidth="1" min="5" max="5"/>
    <col width="10" customWidth="1" min="6" max="6"/>
    <col width="32" customWidth="1" min="7" max="7"/>
    <col width="18" customWidth="1" min="8" max="8"/>
  </cols>
  <sheetData>
    <row r="1">
      <c r="A1" s="1" t="inlineStr">
        <is>
          <t>40_MyKPI — 나만의 KPI 3개(제안-KPI = P6-6 · 기획서 3장)</t>
        </is>
      </c>
    </row>
    <row r="2">
      <c r="A2" s="2" t="inlineStr">
        <is>
          <t>KPI마다 기준선 · 목표 · 측정 방법 · 주기를 함께 적는다. 기준선이 없으면 '다음 주 1주 타임로그로 측정'</t>
        </is>
      </c>
    </row>
    <row r="3">
      <c r="A3" s="2" t="inlineStr">
        <is>
          <t>'90% 단축' 같은 목표는 예시일 뿐 — 목표 칸에 근거를 함께 적는다</t>
        </is>
      </c>
    </row>
    <row r="5">
      <c r="A5" s="3" t="inlineStr">
        <is>
          <t>#</t>
        </is>
      </c>
      <c r="B5" s="3" t="inlineStr">
        <is>
          <t>KPI</t>
        </is>
      </c>
      <c r="C5" s="3" t="inlineStr">
        <is>
          <t>정의 · 산식</t>
        </is>
      </c>
      <c r="D5" s="3" t="inlineStr">
        <is>
          <t>기준선(측정 방법 · 기간)</t>
        </is>
      </c>
      <c r="E5" s="3" t="inlineStr">
        <is>
          <t>목표(근거)</t>
        </is>
      </c>
      <c r="F5" s="3" t="inlineStr">
        <is>
          <t>측정 주기</t>
        </is>
      </c>
      <c r="G5" s="3" t="inlineStr">
        <is>
          <t>효과를 AI와 분리하는 방법</t>
        </is>
      </c>
      <c r="H5" s="3" t="inlineStr">
        <is>
          <t>데이터 출처</t>
        </is>
      </c>
    </row>
    <row r="6" ht="48" customHeight="1">
      <c r="A6" s="21" t="inlineStr">
        <is>
          <t>예</t>
        </is>
      </c>
      <c r="B6" s="21" t="inlineStr">
        <is>
          <t>월 미수금 전수조사 시간</t>
        </is>
      </c>
      <c r="C6" s="21" t="inlineStr">
        <is>
          <t>한 달 동안 미결 채권을 전부 확인하는 데 쓴 시간(시간/월)</t>
        </is>
      </c>
      <c r="D6" s="21" t="inlineStr">
        <is>
          <t>다음 주 5일 동안 15분 단위로 기록(50_TimeLog) → × 52 ÷ 12</t>
        </is>
      </c>
      <c r="E6" s="21" t="inlineStr">
        <is>
          <t>□시간 → □시간(파일럿 4주 측정값 근거)</t>
        </is>
      </c>
      <c r="F6" s="21" t="inlineStr">
        <is>
          <t>월 1회</t>
        </is>
      </c>
      <c r="G6" s="21" t="inlineStr">
        <is>
          <t>도입 전 4주 vs 도입 후 4주, 같은 사람 · 같은 정의(대조: 도구를 안 쓴 담당자)</t>
        </is>
      </c>
      <c r="H6" s="21" t="inlineStr">
        <is>
          <t>타임로그 · 업무 일지</t>
        </is>
      </c>
    </row>
    <row r="7" ht="48" customHeight="1">
      <c r="A7" s="8" t="n">
        <v>1</v>
      </c>
      <c r="B7" s="24" t="n"/>
      <c r="C7" s="24" t="n"/>
      <c r="D7" s="24" t="n"/>
      <c r="E7" s="24" t="n"/>
      <c r="F7" s="24" t="n"/>
      <c r="G7" s="24" t="n"/>
      <c r="H7" s="24" t="n"/>
    </row>
    <row r="8" ht="48" customHeight="1">
      <c r="A8" s="8" t="n">
        <v>2</v>
      </c>
      <c r="B8" s="24" t="n"/>
      <c r="C8" s="24" t="n"/>
      <c r="D8" s="24" t="n"/>
      <c r="E8" s="24" t="n"/>
      <c r="F8" s="24" t="n"/>
      <c r="G8" s="24" t="n"/>
      <c r="H8" s="24" t="n"/>
    </row>
    <row r="9" ht="48" customHeight="1">
      <c r="A9" s="8" t="n">
        <v>3</v>
      </c>
      <c r="B9" s="24" t="n"/>
      <c r="C9" s="24" t="n"/>
      <c r="D9" s="24" t="n"/>
      <c r="E9" s="24" t="n"/>
      <c r="F9" s="24" t="n"/>
      <c r="G9" s="24" t="n"/>
      <c r="H9" s="2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5"/>
  <sheetViews>
    <sheetView zoomScale="10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8" customWidth="1" min="4" max="4"/>
    <col width="7" customWidth="1" min="5" max="5"/>
    <col width="16" customWidth="1" min="6" max="6"/>
    <col width="24" customWidth="1" min="7" max="7"/>
    <col width="2" customWidth="1" min="8" max="8"/>
    <col width="30" customWidth="1" min="9" max="9"/>
    <col width="12" customWidth="1" min="10" max="10"/>
  </cols>
  <sheetData>
    <row r="1">
      <c r="A1" s="1" t="inlineStr">
        <is>
          <t>50_TimeLog — 1주 타임로그(기준선 측정 양식)</t>
        </is>
      </c>
    </row>
    <row r="2">
      <c r="A2" s="2" t="inlineStr">
        <is>
          <t>다음 주 5일 동안 해당 업무를 할 때마다 한 줄. 시작 · 끝은 hh:mm(예 09:15). 실명 · 바이어 실명은 적지 않는다</t>
        </is>
      </c>
    </row>
    <row r="5">
      <c r="A5" s="3" t="inlineStr">
        <is>
          <t>날짜</t>
        </is>
      </c>
      <c r="B5" s="3" t="inlineStr">
        <is>
          <t>업무(예: 미수금 전수조사)</t>
        </is>
      </c>
      <c r="C5" s="3" t="inlineStr">
        <is>
          <t>시작</t>
        </is>
      </c>
      <c r="D5" s="3" t="inlineStr">
        <is>
          <t>끝</t>
        </is>
      </c>
      <c r="E5" s="3" t="inlineStr">
        <is>
          <t>분</t>
        </is>
      </c>
      <c r="F5" s="3" t="inlineStr">
        <is>
          <t>쓴 도구</t>
        </is>
      </c>
      <c r="G5" s="3" t="inlineStr">
        <is>
          <t>메모</t>
        </is>
      </c>
      <c r="I5" s="3" t="inlineStr">
        <is>
          <t>합계</t>
        </is>
      </c>
    </row>
    <row r="6">
      <c r="A6" s="5" t="n"/>
      <c r="B6" s="5" t="n"/>
      <c r="C6" s="32" t="n"/>
      <c r="D6" s="32" t="n"/>
      <c r="E6" s="33">
        <f>IF(AND(ISNUMBER(C6),ISNUMBER(D6)),ROUND((D6-C6)*1440,0),"")</f>
        <v/>
      </c>
      <c r="F6" s="5" t="n"/>
      <c r="G6" s="5" t="n"/>
      <c r="I6" s="8" t="inlineStr">
        <is>
          <t>주간 합계(시간)</t>
        </is>
      </c>
      <c r="J6" s="28">
        <f>SUM(E6:E35)/60</f>
        <v/>
      </c>
    </row>
    <row r="7">
      <c r="A7" s="5" t="n"/>
      <c r="B7" s="5" t="n"/>
      <c r="C7" s="32" t="n"/>
      <c r="D7" s="32" t="n"/>
      <c r="E7" s="33">
        <f>IF(AND(ISNUMBER(C7),ISNUMBER(D7)),ROUND((D7-C7)*1440,0),"")</f>
        <v/>
      </c>
      <c r="F7" s="5" t="n"/>
      <c r="G7" s="5" t="n"/>
      <c r="I7" s="8" t="inlineStr">
        <is>
          <t>월 환산(시간) = 주간 × 52 ÷ 12</t>
        </is>
      </c>
      <c r="J7" s="28">
        <f>J6*52/12</f>
        <v/>
      </c>
    </row>
    <row r="8">
      <c r="A8" s="5" t="n"/>
      <c r="B8" s="5" t="n"/>
      <c r="C8" s="32" t="n"/>
      <c r="D8" s="32" t="n"/>
      <c r="E8" s="33">
        <f>IF(AND(ISNUMBER(C8),ISNUMBER(D8)),ROUND((D8-C8)*1440,0),"")</f>
        <v/>
      </c>
      <c r="F8" s="5" t="n"/>
      <c r="G8" s="5" t="n"/>
      <c r="I8" s="4" t="inlineStr">
        <is>
          <t>→ 이 값이 기준선. 도입 후 같은 방식으로 다시 재서 차이를 20_ROI HoursSaved_M에</t>
        </is>
      </c>
    </row>
    <row r="9">
      <c r="A9" s="5" t="n"/>
      <c r="B9" s="5" t="n"/>
      <c r="C9" s="32" t="n"/>
      <c r="D9" s="32" t="n"/>
      <c r="E9" s="33">
        <f>IF(AND(ISNUMBER(C9),ISNUMBER(D9)),ROUND((D9-C9)*1440,0),"")</f>
        <v/>
      </c>
      <c r="F9" s="5" t="n"/>
      <c r="G9" s="5" t="n"/>
    </row>
    <row r="10">
      <c r="A10" s="5" t="n"/>
      <c r="B10" s="5" t="n"/>
      <c r="C10" s="32" t="n"/>
      <c r="D10" s="32" t="n"/>
      <c r="E10" s="33">
        <f>IF(AND(ISNUMBER(C10),ISNUMBER(D10)),ROUND((D10-C10)*1440,0),"")</f>
        <v/>
      </c>
      <c r="F10" s="5" t="n"/>
      <c r="G10" s="5" t="n"/>
    </row>
    <row r="11">
      <c r="A11" s="5" t="n"/>
      <c r="B11" s="5" t="n"/>
      <c r="C11" s="32" t="n"/>
      <c r="D11" s="32" t="n"/>
      <c r="E11" s="33">
        <f>IF(AND(ISNUMBER(C11),ISNUMBER(D11)),ROUND((D11-C11)*1440,0),"")</f>
        <v/>
      </c>
      <c r="F11" s="5" t="n"/>
      <c r="G11" s="5" t="n"/>
    </row>
    <row r="12">
      <c r="A12" s="5" t="n"/>
      <c r="B12" s="5" t="n"/>
      <c r="C12" s="32" t="n"/>
      <c r="D12" s="32" t="n"/>
      <c r="E12" s="33">
        <f>IF(AND(ISNUMBER(C12),ISNUMBER(D12)),ROUND((D12-C12)*1440,0),"")</f>
        <v/>
      </c>
      <c r="F12" s="5" t="n"/>
      <c r="G12" s="5" t="n"/>
    </row>
    <row r="13">
      <c r="A13" s="5" t="n"/>
      <c r="B13" s="5" t="n"/>
      <c r="C13" s="32" t="n"/>
      <c r="D13" s="32" t="n"/>
      <c r="E13" s="33">
        <f>IF(AND(ISNUMBER(C13),ISNUMBER(D13)),ROUND((D13-C13)*1440,0),"")</f>
        <v/>
      </c>
      <c r="F13" s="5" t="n"/>
      <c r="G13" s="5" t="n"/>
    </row>
    <row r="14">
      <c r="A14" s="5" t="n"/>
      <c r="B14" s="5" t="n"/>
      <c r="C14" s="32" t="n"/>
      <c r="D14" s="32" t="n"/>
      <c r="E14" s="33">
        <f>IF(AND(ISNUMBER(C14),ISNUMBER(D14)),ROUND((D14-C14)*1440,0),"")</f>
        <v/>
      </c>
      <c r="F14" s="5" t="n"/>
      <c r="G14" s="5" t="n"/>
    </row>
    <row r="15">
      <c r="A15" s="5" t="n"/>
      <c r="B15" s="5" t="n"/>
      <c r="C15" s="32" t="n"/>
      <c r="D15" s="32" t="n"/>
      <c r="E15" s="33">
        <f>IF(AND(ISNUMBER(C15),ISNUMBER(D15)),ROUND((D15-C15)*1440,0),"")</f>
        <v/>
      </c>
      <c r="F15" s="5" t="n"/>
      <c r="G15" s="5" t="n"/>
    </row>
    <row r="16">
      <c r="A16" s="5" t="n"/>
      <c r="B16" s="5" t="n"/>
      <c r="C16" s="32" t="n"/>
      <c r="D16" s="32" t="n"/>
      <c r="E16" s="33">
        <f>IF(AND(ISNUMBER(C16),ISNUMBER(D16)),ROUND((D16-C16)*1440,0),"")</f>
        <v/>
      </c>
      <c r="F16" s="5" t="n"/>
      <c r="G16" s="5" t="n"/>
    </row>
    <row r="17">
      <c r="A17" s="5" t="n"/>
      <c r="B17" s="5" t="n"/>
      <c r="C17" s="32" t="n"/>
      <c r="D17" s="32" t="n"/>
      <c r="E17" s="33">
        <f>IF(AND(ISNUMBER(C17),ISNUMBER(D17)),ROUND((D17-C17)*1440,0),"")</f>
        <v/>
      </c>
      <c r="F17" s="5" t="n"/>
      <c r="G17" s="5" t="n"/>
    </row>
    <row r="18">
      <c r="A18" s="5" t="n"/>
      <c r="B18" s="5" t="n"/>
      <c r="C18" s="32" t="n"/>
      <c r="D18" s="32" t="n"/>
      <c r="E18" s="33">
        <f>IF(AND(ISNUMBER(C18),ISNUMBER(D18)),ROUND((D18-C18)*1440,0),"")</f>
        <v/>
      </c>
      <c r="F18" s="5" t="n"/>
      <c r="G18" s="5" t="n"/>
    </row>
    <row r="19">
      <c r="A19" s="5" t="n"/>
      <c r="B19" s="5" t="n"/>
      <c r="C19" s="32" t="n"/>
      <c r="D19" s="32" t="n"/>
      <c r="E19" s="33">
        <f>IF(AND(ISNUMBER(C19),ISNUMBER(D19)),ROUND((D19-C19)*1440,0),"")</f>
        <v/>
      </c>
      <c r="F19" s="5" t="n"/>
      <c r="G19" s="5" t="n"/>
    </row>
    <row r="20">
      <c r="A20" s="5" t="n"/>
      <c r="B20" s="5" t="n"/>
      <c r="C20" s="32" t="n"/>
      <c r="D20" s="32" t="n"/>
      <c r="E20" s="33">
        <f>IF(AND(ISNUMBER(C20),ISNUMBER(D20)),ROUND((D20-C20)*1440,0),"")</f>
        <v/>
      </c>
      <c r="F20" s="5" t="n"/>
      <c r="G20" s="5" t="n"/>
    </row>
    <row r="21">
      <c r="A21" s="5" t="n"/>
      <c r="B21" s="5" t="n"/>
      <c r="C21" s="32" t="n"/>
      <c r="D21" s="32" t="n"/>
      <c r="E21" s="33">
        <f>IF(AND(ISNUMBER(C21),ISNUMBER(D21)),ROUND((D21-C21)*1440,0),"")</f>
        <v/>
      </c>
      <c r="F21" s="5" t="n"/>
      <c r="G21" s="5" t="n"/>
    </row>
    <row r="22">
      <c r="A22" s="5" t="n"/>
      <c r="B22" s="5" t="n"/>
      <c r="C22" s="32" t="n"/>
      <c r="D22" s="32" t="n"/>
      <c r="E22" s="33">
        <f>IF(AND(ISNUMBER(C22),ISNUMBER(D22)),ROUND((D22-C22)*1440,0),"")</f>
        <v/>
      </c>
      <c r="F22" s="5" t="n"/>
      <c r="G22" s="5" t="n"/>
    </row>
    <row r="23">
      <c r="A23" s="5" t="n"/>
      <c r="B23" s="5" t="n"/>
      <c r="C23" s="32" t="n"/>
      <c r="D23" s="32" t="n"/>
      <c r="E23" s="33">
        <f>IF(AND(ISNUMBER(C23),ISNUMBER(D23)),ROUND((D23-C23)*1440,0),"")</f>
        <v/>
      </c>
      <c r="F23" s="5" t="n"/>
      <c r="G23" s="5" t="n"/>
    </row>
    <row r="24">
      <c r="A24" s="5" t="n"/>
      <c r="B24" s="5" t="n"/>
      <c r="C24" s="32" t="n"/>
      <c r="D24" s="32" t="n"/>
      <c r="E24" s="33">
        <f>IF(AND(ISNUMBER(C24),ISNUMBER(D24)),ROUND((D24-C24)*1440,0),"")</f>
        <v/>
      </c>
      <c r="F24" s="5" t="n"/>
      <c r="G24" s="5" t="n"/>
    </row>
    <row r="25">
      <c r="A25" s="5" t="n"/>
      <c r="B25" s="5" t="n"/>
      <c r="C25" s="32" t="n"/>
      <c r="D25" s="32" t="n"/>
      <c r="E25" s="33">
        <f>IF(AND(ISNUMBER(C25),ISNUMBER(D25)),ROUND((D25-C25)*1440,0),"")</f>
        <v/>
      </c>
      <c r="F25" s="5" t="n"/>
      <c r="G25" s="5" t="n"/>
    </row>
    <row r="26">
      <c r="A26" s="5" t="n"/>
      <c r="B26" s="5" t="n"/>
      <c r="C26" s="32" t="n"/>
      <c r="D26" s="32" t="n"/>
      <c r="E26" s="33">
        <f>IF(AND(ISNUMBER(C26),ISNUMBER(D26)),ROUND((D26-C26)*1440,0),"")</f>
        <v/>
      </c>
      <c r="F26" s="5" t="n"/>
      <c r="G26" s="5" t="n"/>
    </row>
    <row r="27">
      <c r="A27" s="5" t="n"/>
      <c r="B27" s="5" t="n"/>
      <c r="C27" s="32" t="n"/>
      <c r="D27" s="32" t="n"/>
      <c r="E27" s="33">
        <f>IF(AND(ISNUMBER(C27),ISNUMBER(D27)),ROUND((D27-C27)*1440,0),"")</f>
        <v/>
      </c>
      <c r="F27" s="5" t="n"/>
      <c r="G27" s="5" t="n"/>
    </row>
    <row r="28">
      <c r="A28" s="5" t="n"/>
      <c r="B28" s="5" t="n"/>
      <c r="C28" s="32" t="n"/>
      <c r="D28" s="32" t="n"/>
      <c r="E28" s="33">
        <f>IF(AND(ISNUMBER(C28),ISNUMBER(D28)),ROUND((D28-C28)*1440,0),"")</f>
        <v/>
      </c>
      <c r="F28" s="5" t="n"/>
      <c r="G28" s="5" t="n"/>
    </row>
    <row r="29">
      <c r="A29" s="5" t="n"/>
      <c r="B29" s="5" t="n"/>
      <c r="C29" s="32" t="n"/>
      <c r="D29" s="32" t="n"/>
      <c r="E29" s="33">
        <f>IF(AND(ISNUMBER(C29),ISNUMBER(D29)),ROUND((D29-C29)*1440,0),"")</f>
        <v/>
      </c>
      <c r="F29" s="5" t="n"/>
      <c r="G29" s="5" t="n"/>
    </row>
    <row r="30">
      <c r="A30" s="5" t="n"/>
      <c r="B30" s="5" t="n"/>
      <c r="C30" s="32" t="n"/>
      <c r="D30" s="32" t="n"/>
      <c r="E30" s="33">
        <f>IF(AND(ISNUMBER(C30),ISNUMBER(D30)),ROUND((D30-C30)*1440,0),"")</f>
        <v/>
      </c>
      <c r="F30" s="5" t="n"/>
      <c r="G30" s="5" t="n"/>
    </row>
    <row r="31">
      <c r="A31" s="5" t="n"/>
      <c r="B31" s="5" t="n"/>
      <c r="C31" s="32" t="n"/>
      <c r="D31" s="32" t="n"/>
      <c r="E31" s="33">
        <f>IF(AND(ISNUMBER(C31),ISNUMBER(D31)),ROUND((D31-C31)*1440,0),"")</f>
        <v/>
      </c>
      <c r="F31" s="5" t="n"/>
      <c r="G31" s="5" t="n"/>
    </row>
    <row r="32">
      <c r="A32" s="5" t="n"/>
      <c r="B32" s="5" t="n"/>
      <c r="C32" s="32" t="n"/>
      <c r="D32" s="32" t="n"/>
      <c r="E32" s="33">
        <f>IF(AND(ISNUMBER(C32),ISNUMBER(D32)),ROUND((D32-C32)*1440,0),"")</f>
        <v/>
      </c>
      <c r="F32" s="5" t="n"/>
      <c r="G32" s="5" t="n"/>
    </row>
    <row r="33">
      <c r="A33" s="5" t="n"/>
      <c r="B33" s="5" t="n"/>
      <c r="C33" s="32" t="n"/>
      <c r="D33" s="32" t="n"/>
      <c r="E33" s="33">
        <f>IF(AND(ISNUMBER(C33),ISNUMBER(D33)),ROUND((D33-C33)*1440,0),"")</f>
        <v/>
      </c>
      <c r="F33" s="5" t="n"/>
      <c r="G33" s="5" t="n"/>
    </row>
    <row r="34">
      <c r="A34" s="5" t="n"/>
      <c r="B34" s="5" t="n"/>
      <c r="C34" s="32" t="n"/>
      <c r="D34" s="32" t="n"/>
      <c r="E34" s="33">
        <f>IF(AND(ISNUMBER(C34),ISNUMBER(D34)),ROUND((D34-C34)*1440,0),"")</f>
        <v/>
      </c>
      <c r="F34" s="5" t="n"/>
      <c r="G34" s="5" t="n"/>
    </row>
    <row r="35">
      <c r="A35" s="5" t="n"/>
      <c r="B35" s="5" t="n"/>
      <c r="C35" s="32" t="n"/>
      <c r="D35" s="32" t="n"/>
      <c r="E35" s="33">
        <f>IF(AND(ISNUMBER(C35),ISNUMBER(D35)),ROUND((D35-C35)*1440,0),"")</f>
        <v/>
      </c>
      <c r="F35" s="5" t="n"/>
      <c r="G35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zoomScale="10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60_Sensitivity — 기준안 ROI의 민감도: DSO 단축 일수 × DSO 효과 신뢰도(C 트랙)</t>
        </is>
      </c>
    </row>
    <row r="2">
      <c r="A2" s="2" t="inlineStr">
        <is>
          <t>20_ROI 기준(D열)의 나머지 입력을 그대로 쓰고 두 값만 바꾼다. 칸 = ROI(%)</t>
        </is>
      </c>
    </row>
    <row r="3">
      <c r="A3" s="2" t="inlineStr">
        <is>
          <t>숫자가 크게 흔들리면 그 가정의 근거(파일럿 측정)를 먼저 확보한다</t>
        </is>
      </c>
    </row>
    <row r="5">
      <c r="A5" s="3" t="inlineStr">
        <is>
          <t>DSO_Cut(일) ↓ · Conf_DSO →</t>
        </is>
      </c>
      <c r="B5" s="34" t="n">
        <v>0.3</v>
      </c>
      <c r="C5" s="34" t="n">
        <v>0.4</v>
      </c>
      <c r="D5" s="34" t="n">
        <v>0.5</v>
      </c>
      <c r="E5" s="34" t="n">
        <v>0.6</v>
      </c>
      <c r="F5" s="34" t="n">
        <v>0.7</v>
      </c>
    </row>
    <row r="6">
      <c r="A6" s="35" t="n">
        <v>0</v>
      </c>
      <c r="B6" s="29">
        <f>IFERROR((('20_ROI'!$D$26+'20_ROI'!$D$25+$A6*'20_ROI'!$D$6/365*'20_ROI'!$D$7*B$5)-'20_ROI'!$D$30)/'20_ROI'!$D$30,"")</f>
        <v/>
      </c>
      <c r="C6" s="29">
        <f>IFERROR((('20_ROI'!$D$26+'20_ROI'!$D$25+$A6*'20_ROI'!$D$6/365*'20_ROI'!$D$7*C$5)-'20_ROI'!$D$30)/'20_ROI'!$D$30,"")</f>
        <v/>
      </c>
      <c r="D6" s="29">
        <f>IFERROR((('20_ROI'!$D$26+'20_ROI'!$D$25+$A6*'20_ROI'!$D$6/365*'20_ROI'!$D$7*D$5)-'20_ROI'!$D$30)/'20_ROI'!$D$30,"")</f>
        <v/>
      </c>
      <c r="E6" s="29">
        <f>IFERROR((('20_ROI'!$D$26+'20_ROI'!$D$25+$A6*'20_ROI'!$D$6/365*'20_ROI'!$D$7*E$5)-'20_ROI'!$D$30)/'20_ROI'!$D$30,"")</f>
        <v/>
      </c>
      <c r="F6" s="29">
        <f>IFERROR((('20_ROI'!$D$26+'20_ROI'!$D$25+$A6*'20_ROI'!$D$6/365*'20_ROI'!$D$7*F$5)-'20_ROI'!$D$30)/'20_ROI'!$D$30,"")</f>
        <v/>
      </c>
    </row>
    <row r="7">
      <c r="A7" s="35" t="n">
        <v>1</v>
      </c>
      <c r="B7" s="29">
        <f>IFERROR((('20_ROI'!$D$26+'20_ROI'!$D$25+$A7*'20_ROI'!$D$6/365*'20_ROI'!$D$7*B$5)-'20_ROI'!$D$30)/'20_ROI'!$D$30,"")</f>
        <v/>
      </c>
      <c r="C7" s="29">
        <f>IFERROR((('20_ROI'!$D$26+'20_ROI'!$D$25+$A7*'20_ROI'!$D$6/365*'20_ROI'!$D$7*C$5)-'20_ROI'!$D$30)/'20_ROI'!$D$30,"")</f>
        <v/>
      </c>
      <c r="D7" s="29">
        <f>IFERROR((('20_ROI'!$D$26+'20_ROI'!$D$25+$A7*'20_ROI'!$D$6/365*'20_ROI'!$D$7*D$5)-'20_ROI'!$D$30)/'20_ROI'!$D$30,"")</f>
        <v/>
      </c>
      <c r="E7" s="29">
        <f>IFERROR((('20_ROI'!$D$26+'20_ROI'!$D$25+$A7*'20_ROI'!$D$6/365*'20_ROI'!$D$7*E$5)-'20_ROI'!$D$30)/'20_ROI'!$D$30,"")</f>
        <v/>
      </c>
      <c r="F7" s="29">
        <f>IFERROR((('20_ROI'!$D$26+'20_ROI'!$D$25+$A7*'20_ROI'!$D$6/365*'20_ROI'!$D$7*F$5)-'20_ROI'!$D$30)/'20_ROI'!$D$30,"")</f>
        <v/>
      </c>
    </row>
    <row r="8">
      <c r="A8" s="35" t="n">
        <v>2</v>
      </c>
      <c r="B8" s="29">
        <f>IFERROR((('20_ROI'!$D$26+'20_ROI'!$D$25+$A8*'20_ROI'!$D$6/365*'20_ROI'!$D$7*B$5)-'20_ROI'!$D$30)/'20_ROI'!$D$30,"")</f>
        <v/>
      </c>
      <c r="C8" s="29">
        <f>IFERROR((('20_ROI'!$D$26+'20_ROI'!$D$25+$A8*'20_ROI'!$D$6/365*'20_ROI'!$D$7*C$5)-'20_ROI'!$D$30)/'20_ROI'!$D$30,"")</f>
        <v/>
      </c>
      <c r="D8" s="29">
        <f>IFERROR((('20_ROI'!$D$26+'20_ROI'!$D$25+$A8*'20_ROI'!$D$6/365*'20_ROI'!$D$7*D$5)-'20_ROI'!$D$30)/'20_ROI'!$D$30,"")</f>
        <v/>
      </c>
      <c r="E8" s="29">
        <f>IFERROR((('20_ROI'!$D$26+'20_ROI'!$D$25+$A8*'20_ROI'!$D$6/365*'20_ROI'!$D$7*E$5)-'20_ROI'!$D$30)/'20_ROI'!$D$30,"")</f>
        <v/>
      </c>
      <c r="F8" s="29">
        <f>IFERROR((('20_ROI'!$D$26+'20_ROI'!$D$25+$A8*'20_ROI'!$D$6/365*'20_ROI'!$D$7*F$5)-'20_ROI'!$D$30)/'20_ROI'!$D$30,"")</f>
        <v/>
      </c>
    </row>
    <row r="9">
      <c r="A9" s="35" t="n">
        <v>3</v>
      </c>
      <c r="B9" s="29">
        <f>IFERROR((('20_ROI'!$D$26+'20_ROI'!$D$25+$A9*'20_ROI'!$D$6/365*'20_ROI'!$D$7*B$5)-'20_ROI'!$D$30)/'20_ROI'!$D$30,"")</f>
        <v/>
      </c>
      <c r="C9" s="29">
        <f>IFERROR((('20_ROI'!$D$26+'20_ROI'!$D$25+$A9*'20_ROI'!$D$6/365*'20_ROI'!$D$7*C$5)-'20_ROI'!$D$30)/'20_ROI'!$D$30,"")</f>
        <v/>
      </c>
      <c r="D9" s="29">
        <f>IFERROR((('20_ROI'!$D$26+'20_ROI'!$D$25+$A9*'20_ROI'!$D$6/365*'20_ROI'!$D$7*D$5)-'20_ROI'!$D$30)/'20_ROI'!$D$30,"")</f>
        <v/>
      </c>
      <c r="E9" s="29">
        <f>IFERROR((('20_ROI'!$D$26+'20_ROI'!$D$25+$A9*'20_ROI'!$D$6/365*'20_ROI'!$D$7*E$5)-'20_ROI'!$D$30)/'20_ROI'!$D$30,"")</f>
        <v/>
      </c>
      <c r="F9" s="29">
        <f>IFERROR((('20_ROI'!$D$26+'20_ROI'!$D$25+$A9*'20_ROI'!$D$6/365*'20_ROI'!$D$7*F$5)-'20_ROI'!$D$30)/'20_ROI'!$D$30,"")</f>
        <v/>
      </c>
    </row>
    <row r="10">
      <c r="A10" s="35" t="n">
        <v>4</v>
      </c>
      <c r="B10" s="29">
        <f>IFERROR((('20_ROI'!$D$26+'20_ROI'!$D$25+$A10*'20_ROI'!$D$6/365*'20_ROI'!$D$7*B$5)-'20_ROI'!$D$30)/'20_ROI'!$D$30,"")</f>
        <v/>
      </c>
      <c r="C10" s="29">
        <f>IFERROR((('20_ROI'!$D$26+'20_ROI'!$D$25+$A10*'20_ROI'!$D$6/365*'20_ROI'!$D$7*C$5)-'20_ROI'!$D$30)/'20_ROI'!$D$30,"")</f>
        <v/>
      </c>
      <c r="D10" s="29">
        <f>IFERROR((('20_ROI'!$D$26+'20_ROI'!$D$25+$A10*'20_ROI'!$D$6/365*'20_ROI'!$D$7*D$5)-'20_ROI'!$D$30)/'20_ROI'!$D$30,"")</f>
        <v/>
      </c>
      <c r="E10" s="29">
        <f>IFERROR((('20_ROI'!$D$26+'20_ROI'!$D$25+$A10*'20_ROI'!$D$6/365*'20_ROI'!$D$7*E$5)-'20_ROI'!$D$30)/'20_ROI'!$D$30,"")</f>
        <v/>
      </c>
      <c r="F10" s="29">
        <f>IFERROR((('20_ROI'!$D$26+'20_ROI'!$D$25+$A10*'20_ROI'!$D$6/365*'20_ROI'!$D$7*F$5)-'20_ROI'!$D$30)/'20_ROI'!$D$30,"")</f>
        <v/>
      </c>
    </row>
    <row r="11">
      <c r="A11" s="35" t="n">
        <v>5</v>
      </c>
      <c r="B11" s="29">
        <f>IFERROR((('20_ROI'!$D$26+'20_ROI'!$D$25+$A11*'20_ROI'!$D$6/365*'20_ROI'!$D$7*B$5)-'20_ROI'!$D$30)/'20_ROI'!$D$30,"")</f>
        <v/>
      </c>
      <c r="C11" s="29">
        <f>IFERROR((('20_ROI'!$D$26+'20_ROI'!$D$25+$A11*'20_ROI'!$D$6/365*'20_ROI'!$D$7*C$5)-'20_ROI'!$D$30)/'20_ROI'!$D$30,"")</f>
        <v/>
      </c>
      <c r="D11" s="29">
        <f>IFERROR((('20_ROI'!$D$26+'20_ROI'!$D$25+$A11*'20_ROI'!$D$6/365*'20_ROI'!$D$7*D$5)-'20_ROI'!$D$30)/'20_ROI'!$D$30,"")</f>
        <v/>
      </c>
      <c r="E11" s="29">
        <f>IFERROR((('20_ROI'!$D$26+'20_ROI'!$D$25+$A11*'20_ROI'!$D$6/365*'20_ROI'!$D$7*E$5)-'20_ROI'!$D$30)/'20_ROI'!$D$30,"")</f>
        <v/>
      </c>
      <c r="F11" s="29">
        <f>IFERROR((('20_ROI'!$D$26+'20_ROI'!$D$25+$A11*'20_ROI'!$D$6/365*'20_ROI'!$D$7*F$5)-'20_ROI'!$D$30)/'20_ROI'!$D$30,"")</f>
        <v/>
      </c>
    </row>
    <row r="12">
      <c r="A12" s="35" t="n">
        <v>6</v>
      </c>
      <c r="B12" s="29">
        <f>IFERROR((('20_ROI'!$D$26+'20_ROI'!$D$25+$A12*'20_ROI'!$D$6/365*'20_ROI'!$D$7*B$5)-'20_ROI'!$D$30)/'20_ROI'!$D$30,"")</f>
        <v/>
      </c>
      <c r="C12" s="29">
        <f>IFERROR((('20_ROI'!$D$26+'20_ROI'!$D$25+$A12*'20_ROI'!$D$6/365*'20_ROI'!$D$7*C$5)-'20_ROI'!$D$30)/'20_ROI'!$D$30,"")</f>
        <v/>
      </c>
      <c r="D12" s="29">
        <f>IFERROR((('20_ROI'!$D$26+'20_ROI'!$D$25+$A12*'20_ROI'!$D$6/365*'20_ROI'!$D$7*D$5)-'20_ROI'!$D$30)/'20_ROI'!$D$30,"")</f>
        <v/>
      </c>
      <c r="E12" s="29">
        <f>IFERROR((('20_ROI'!$D$26+'20_ROI'!$D$25+$A12*'20_ROI'!$D$6/365*'20_ROI'!$D$7*E$5)-'20_ROI'!$D$30)/'20_ROI'!$D$30,"")</f>
        <v/>
      </c>
      <c r="F12" s="29">
        <f>IFERROR((('20_ROI'!$D$26+'20_ROI'!$D$25+$A12*'20_ROI'!$D$6/365*'20_ROI'!$D$7*F$5)-'20_ROI'!$D$30)/'20_ROI'!$D$30,"")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zoomScale="100" workbookViewId="0">
      <selection activeCell="A1" sqref="A1"/>
    </sheetView>
  </sheetViews>
  <sheetFormatPr baseColWidth="8" defaultRowHeight="15"/>
  <cols>
    <col width="36" customWidth="1" min="1" max="1"/>
    <col width="70" customWidth="1" min="2" max="2"/>
    <col width="24" customWidth="1" min="3" max="3"/>
  </cols>
  <sheetData>
    <row r="1">
      <c r="A1" s="1" t="inlineStr">
        <is>
          <t>70_Benchmark — 목표 설정 기준(03 Part2 §6.8)</t>
        </is>
      </c>
    </row>
    <row r="2">
      <c r="A2" s="2" t="inlineStr">
        <is>
          <t>해외 · 대기업 수치는 규모가 다르다 — 우리 목표는 기준선과 파일럿 측정에서 시작한다</t>
        </is>
      </c>
    </row>
    <row r="5">
      <c r="A5" s="3" t="inlineStr">
        <is>
          <t>기준</t>
        </is>
      </c>
      <c r="B5" s="3" t="inlineStr">
        <is>
          <t>값</t>
        </is>
      </c>
      <c r="C5" s="3" t="inlineStr">
        <is>
          <t>근거</t>
        </is>
      </c>
    </row>
    <row r="6" ht="36" customHeight="1">
      <c r="A6" s="4" t="inlineStr">
        <is>
          <t>한국 제조업 중소 DSO(2024)</t>
        </is>
      </c>
      <c r="B6" s="36" t="inlineStr">
        <is>
          <t>약 58일 · 의료·정밀·광학(C27) 73일 · 기타기계(C29) 70일</t>
        </is>
      </c>
      <c r="C6" s="4" t="inlineStr">
        <is>
          <t>한국은행 기업경영분석 [G01]</t>
        </is>
      </c>
    </row>
    <row r="7" ht="36" customHeight="1">
      <c r="A7" s="4" t="inlineStr">
        <is>
          <t>한국 대손상각비/매출(2024, 판관비 기준 계산값)</t>
        </is>
      </c>
      <c r="B7" s="36" t="inlineStr">
        <is>
          <t>제조업 중소 0.31% · C27 중소 0.67%</t>
        </is>
      </c>
      <c r="C7" s="4" t="inlineStr">
        <is>
          <t>[G01]</t>
        </is>
      </c>
    </row>
    <row r="8" ht="36" customHeight="1">
      <c r="A8" s="4" t="inlineStr">
        <is>
          <t>해외 DSO</t>
        </is>
      </c>
      <c r="B8" s="36" t="inlineStr">
        <is>
          <t>Hackett 중앙값 46일 · 상위 28일 · Billtrust 고객 39일(해외 대기업 중심)</t>
        </is>
      </c>
      <c r="C8" s="4" t="inlineStr">
        <is>
          <t>[R04]</t>
        </is>
      </c>
    </row>
    <row r="9" ht="36" customHeight="1">
      <c r="A9" s="4" t="inlineStr">
        <is>
          <t>AI 도입 성과</t>
        </is>
      </c>
      <c r="B9" s="36" t="inlineStr">
        <is>
          <t>Yaskawa America DSO −5.5일 · CEI 약 90%(매출 36억 달러 대기업 · 벤더 사례) · BCG 재무 AI 중앙값 ROI 10%(목표 20%)</t>
        </is>
      </c>
      <c r="C9" s="4" t="inlineStr">
        <is>
          <t>[R04][G04]</t>
        </is>
      </c>
    </row>
    <row r="10" ht="36" customHeight="1">
      <c r="A10" s="4" t="inlineStr">
        <is>
          <t>계획서 예시</t>
        </is>
      </c>
      <c r="B10" s="36" t="inlineStr">
        <is>
          <t>'미수금 전수조사 시간 90% 단축' — 목표 예시일 뿐 근거 아님. 1주 타임로그로 기준선부터 잰다</t>
        </is>
      </c>
      <c r="C10" s="4" t="inlineStr">
        <is>
          <t>교수계획서</t>
        </is>
      </c>
    </row>
    <row r="11" ht="36" customHeight="1">
      <c r="A11" s="4" t="inlineStr">
        <is>
          <t>(조달) 보증 KPI</t>
        </is>
      </c>
      <c r="B11" s="36" t="inlineStr">
        <is>
          <t>보증 한도 소진율 · 보증 만기 관리 누락 0건</t>
        </is>
      </c>
      <c r="C11" s="4" t="inlineStr">
        <is>
          <t>[G02]</t>
        </is>
      </c>
    </row>
    <row r="12" ht="36" customHeight="1">
      <c r="A12" s="4" t="inlineStr">
        <is>
          <t>국내 공개 사례</t>
        </is>
      </c>
      <c r="B12" s="36" t="inlineStr">
        <is>
          <t>AI 채권관리 정량 성공사례는 공개된 것을 찾지 못했다 → '우리 회사가 첫 사례'</t>
        </is>
      </c>
      <c r="C12" s="4" t="inlineStr">
        <is>
          <t>[G04]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tradefin-ai-2026 tools</dc:creator>
  <dc:title xmlns:dc="http://purl.org/dc/elements/1.1/">roi_kpi_template</dc:title>
  <dc:description xmlns:dc="http://purl.org/dc/elements/1.1/">(가상) 한빛정밀(주) 교육용 — 실존 기업과 무관</dc:description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</cp:coreProperties>
</file>