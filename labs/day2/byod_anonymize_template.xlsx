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사용법" sheetId="1" state="visible" r:id="rId1"/>
    <sheet xmlns:r="http://schemas.openxmlformats.org/officeDocument/2006/relationships" name="01_규칙표" sheetId="2" state="visible" r:id="rId2"/>
    <sheet xmlns:r="http://schemas.openxmlformats.org/officeDocument/2006/relationships" name="02_변환예시" sheetId="3" state="visible" r:id="rId3"/>
    <sheet xmlns:r="http://schemas.openxmlformats.org/officeDocument/2006/relationships" name="03_대응표_priv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1"/>
    </font>
    <font>
      <name val="맑은 고딕"/>
      <b val="1"/>
      <sz val="13"/>
    </font>
    <font>
      <name val="맑은 고딕"/>
      <b val="1"/>
      <sz val="10"/>
    </font>
    <font>
      <name val="맑은 고딕"/>
      <b val="1"/>
    </font>
    <font>
      <name val="맑은 고딕"/>
      <b val="1"/>
      <color rgb="00C00000"/>
    </font>
    <font>
      <name val="맑은 고딕"/>
      <b val="1"/>
      <color rgb="00C00000"/>
      <sz val="12"/>
    </font>
    <font>
      <name val="맑은 고딕"/>
      <color theme="1"/>
      <sz val="11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4" fillId="4" borderId="1" applyAlignment="1" pivotButton="0" quotePrefix="0" xfId="0">
      <alignment vertical="center" wrapText="1"/>
    </xf>
    <xf numFmtId="164" fontId="8" fillId="0" borderId="0" pivotButton="0" quotePrefix="0" xfId="0"/>
    <xf numFmtId="3" fontId="8" fillId="0" borderId="0" pivotButton="0" quotePrefix="0" xfId="0"/>
    <xf numFmtId="0" fontId="8" fillId="0" borderId="0" applyAlignment="1" pivotButton="0" quotePrefix="0" xfId="0">
      <alignment/>
    </xf>
    <xf numFmtId="0" fontId="7" fillId="0" borderId="0" pivotButton="0" quotePrefix="0" xfId="0"/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자사 엑셀 익명화(BYOD) 점검표 — 2일차 Standard · 6일차 기획서</t>
        </is>
      </c>
    </row>
    <row r="2"/>
    <row r="3">
      <c r="A3" s="2" t="inlineStr">
        <is>
          <t>■ 원칙 — 구조만 내 것, 값은 비식별</t>
        </is>
      </c>
    </row>
    <row r="4">
      <c r="A4" s="3" t="inlineStr">
        <is>
          <t>원본은 내 PC의 엑셀 · Orange에서만 연다. 익명화본도 GitHub(개인 저장소 · fork)에는 올리지 않는다. AI에는 익명화본만, 학습 설정을 끈 뒤에 넣는다.</t>
        </is>
      </c>
    </row>
    <row r="5">
      <c r="A5" s="2" t="inlineStr">
        <is>
          <t>■ 순서</t>
        </is>
      </c>
    </row>
    <row r="6">
      <c r="A6" s="3" t="inlineStr">
        <is>
          <t>① 01_규칙표의 7행마다 '내 파일의 열 이름'을 적고, 처리했으면 '처리함'을 예로 바꾼다(해당 열이 없으면 '해당 없음').</t>
        </is>
      </c>
    </row>
    <row r="7">
      <c r="A7" s="3" t="inlineStr">
        <is>
          <t>② 03_대응표_private 시트처럼 코드 · 날짜 이동 · 권역 · 비밀 계수 k를 만든다 → 이 시트는 별도 파일(예: byod_key_private.xlsx)로 옮겨 내 PC에만 둔다.</t>
        </is>
      </c>
    </row>
    <row r="8">
      <c r="A8" s="3" t="inlineStr">
        <is>
          <t>③ 02_변환예시의 수식처럼 내 파일에 변환 열을 만든다(원본 열은 고치지 않는다).</t>
        </is>
      </c>
    </row>
    <row r="9">
      <c r="A9" s="3" t="inlineStr">
        <is>
          <t>④ 변환 열만 '값 붙여넣기'로 새 통합 문서에 옮겨 저장한다(예: 내파일_anon.xlsx) — 원본 열 · 대응표 · k가 남지 않게.</t>
        </is>
      </c>
    </row>
    <row r="10">
      <c r="A10" s="3" t="inlineStr">
        <is>
          <t>⑤ 01_규칙표 아래 '마지막 확인 4가지'가 모두 예이고, 판정 칸이 '통과'일 때만 실습에 쓴다.</t>
        </is>
      </c>
    </row>
    <row r="11">
      <c r="A11" s="2" t="inlineStr">
        <is>
          <t>■ 파일 이름</t>
        </is>
      </c>
    </row>
    <row r="12">
      <c r="A12" s="3" t="inlineStr">
        <is>
          <t>대응표 · 비밀 계수 파일 이름에는 _private를 넣는다(예: byod_key_private.xlsx) — 과정 저장소의 .gitignore가 git 커밋을 막는다. GitHub 웹의 'Upload files'는 .gitignore와 관계없이 올라가므로 올리기 전에 파일을 직접 확인한다.</t>
        </is>
      </c>
    </row>
    <row r="13">
      <c r="A13" s="2" t="inlineStr">
        <is>
          <t>■ 근거와 한계</t>
        </is>
      </c>
    </row>
    <row r="14">
      <c r="A14" s="3" t="inlineStr">
        <is>
          <t>규칙은 과정 자료(데이터 조사 R08 §2.11)와 과정 사이트 '사전 준비 → 익명화 체크리스트'와 같다. 법률 자문이 아니다 — 회사 보안 규정 · NDA가 먼저다.</t>
        </is>
      </c>
    </row>
    <row r="15">
      <c r="A15" s="3" t="inlineStr">
        <is>
          <t>실수로 실데이터를 올렸다면: 그 대화를 바로 삭제 → 강사 · 도우미에게 알림(비난하지 않고 기록만) → 가상 데이터로 계속.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52" customWidth="1" min="3" max="3"/>
    <col width="36" customWidth="1" min="4" max="4"/>
    <col width="20" customWidth="1" min="5" max="5"/>
    <col width="11" customWidth="1" min="6" max="6"/>
    <col width="24" customWidth="1" min="7" max="7"/>
  </cols>
  <sheetData>
    <row r="1">
      <c r="A1" s="4" t="inlineStr">
        <is>
          <t>익명화 규칙 7가지 + 마지막 확인 4가지</t>
        </is>
      </c>
    </row>
    <row r="2">
      <c r="A2" s="5" t="inlineStr">
        <is>
          <t>#</t>
        </is>
      </c>
      <c r="B2" s="5" t="inlineStr">
        <is>
          <t>원본 칸</t>
        </is>
      </c>
      <c r="C2" s="5" t="inlineStr">
        <is>
          <t>이렇게 바꾼다</t>
        </is>
      </c>
      <c r="D2" s="5" t="inlineStr">
        <is>
          <t>예(가상)</t>
        </is>
      </c>
      <c r="E2" s="5" t="inlineStr">
        <is>
          <t>내 파일의 열 이름</t>
        </is>
      </c>
      <c r="F2" s="5" t="inlineStr">
        <is>
          <t>처리함</t>
        </is>
      </c>
      <c r="G2" s="5" t="inlineStr">
        <is>
          <t>메모</t>
        </is>
      </c>
    </row>
    <row r="3">
      <c r="A3" s="3" t="n">
        <v>1</v>
      </c>
      <c r="B3" s="3" t="inlineStr">
        <is>
          <t>바이어명 · 담당자명 · 이메일 · 전화</t>
        </is>
      </c>
      <c r="C3" s="3" t="inlineStr">
        <is>
          <t>지우고 BUYER_### 코드로 바꾼다. 코드 ↔ 실제 이름 대응표는 내 PC의 별도 파일(…_private.xlsx)에만 둔다</t>
        </is>
      </c>
      <c r="D3" s="3" t="inlineStr">
        <is>
          <t>(가상) Alpha Trading GmbH → BUYER_001</t>
        </is>
      </c>
      <c r="E3" s="6" t="n"/>
      <c r="F3" s="6" t="n"/>
      <c r="G3" s="7" t="n"/>
    </row>
    <row r="4">
      <c r="A4" s="3" t="n">
        <v>2</v>
      </c>
      <c r="B4" s="3" t="inlineStr">
        <is>
          <t>국가</t>
        </is>
      </c>
      <c r="C4" s="3" t="inlineStr">
        <is>
          <t>그 나라 바이어가 3곳 미만이면 권역으로 올린다</t>
        </is>
      </c>
      <c r="D4" s="3" t="inlineStr">
        <is>
          <t>KEN(1곳) → 사하라 이남 아프리카</t>
        </is>
      </c>
      <c r="E4" s="6" t="n"/>
      <c r="F4" s="6" t="n"/>
      <c r="G4" s="7" t="n"/>
    </row>
    <row r="5">
      <c r="A5" s="3" t="n">
        <v>3</v>
      </c>
      <c r="B5" s="3" t="inlineStr">
        <is>
          <t>금액</t>
        </is>
      </c>
      <c r="C5" s="3" t="inlineStr">
        <is>
          <t>파일마다 비밀 계수 k(0.5~2.0 사이 아무 수)를 곱하거나 구간으로 바꾼다</t>
        </is>
      </c>
      <c r="D5" s="3" t="inlineStr">
        <is>
          <t>123,400 × k(1.37) → 169,100 · 또는 '5만~20만'</t>
        </is>
      </c>
      <c r="E5" s="6" t="n"/>
      <c r="F5" s="6" t="n"/>
      <c r="G5" s="7" t="n"/>
    </row>
    <row r="6">
      <c r="A6" s="3" t="n">
        <v>4</v>
      </c>
      <c r="B6" s="3" t="inlineStr">
        <is>
          <t>날짜</t>
        </is>
      </c>
      <c r="C6" s="3" t="inlineStr">
        <is>
          <t>바이어별로 같은 날수(0~90일)만큼 옮긴다 — 연체일 · 결제기간 같은 '간격'은 그대로</t>
        </is>
      </c>
      <c r="D6" s="3" t="inlineStr">
        <is>
          <t>2025-03-02 → 2025-04-11(+40일)</t>
        </is>
      </c>
      <c r="E6" s="6" t="n"/>
      <c r="F6" s="6" t="n"/>
      <c r="G6" s="7" t="n"/>
    </row>
    <row r="7">
      <c r="A7" s="3" t="n">
        <v>5</v>
      </c>
      <c r="B7" s="3" t="inlineStr">
        <is>
          <t>인보이스 · L/C · B/L 번호</t>
        </is>
      </c>
      <c r="C7" s="3" t="inlineStr">
        <is>
          <t>1, 2, 3 … 순번으로 새로 매긴다</t>
        </is>
      </c>
      <c r="D7" s="3" t="inlineStr">
        <is>
          <t>INV-2025-0383 → INV-0001</t>
        </is>
      </c>
      <c r="E7" s="6" t="n"/>
      <c r="F7" s="6" t="n"/>
      <c r="G7" s="7" t="n"/>
    </row>
    <row r="8">
      <c r="A8" s="3" t="n">
        <v>6</v>
      </c>
      <c r="B8" s="3" t="inlineStr">
        <is>
          <t>메모 · 메일 본문 같은 자유 서술</t>
        </is>
      </c>
      <c r="C8" s="3" t="inlineStr">
        <is>
          <t>지우거나 분류 코드로 바꾼다(분쟁 사유 = 품질 / 수량 / 서류 / 가격)</t>
        </is>
      </c>
      <c r="D8" s="3" t="inlineStr">
        <is>
          <t>"customer claims damaged goods" → DISPUTE_QUALITY</t>
        </is>
      </c>
      <c r="E8" s="6" t="n"/>
      <c r="F8" s="6" t="n"/>
      <c r="G8" s="7" t="n"/>
    </row>
    <row r="9">
      <c r="A9" s="3" t="n">
        <v>7</v>
      </c>
      <c r="B9" s="3" t="inlineStr">
        <is>
          <t>은행 · 계좌 정보</t>
        </is>
      </c>
      <c r="C9" s="3" t="inlineStr">
        <is>
          <t>완전히 지운다(코드로도 남기지 않는다)</t>
        </is>
      </c>
      <c r="D9" s="3" t="inlineStr">
        <is>
          <t>— (열 삭제)</t>
        </is>
      </c>
      <c r="E9" s="6" t="n"/>
      <c r="F9" s="6" t="n"/>
      <c r="G9" s="7" t="n"/>
    </row>
    <row r="10"/>
    <row r="11">
      <c r="A11" s="5" t="inlineStr">
        <is>
          <t>#</t>
        </is>
      </c>
      <c r="B11" s="5" t="inlineStr">
        <is>
          <t>마지막 확인</t>
        </is>
      </c>
      <c r="C11" s="5" t="inlineStr"/>
      <c r="D11" s="5" t="inlineStr"/>
      <c r="E11" s="5" t="inlineStr"/>
      <c r="F11" s="5" t="inlineStr">
        <is>
          <t>예/아니오</t>
        </is>
      </c>
      <c r="G11" s="5" t="inlineStr">
        <is>
          <t>메모</t>
        </is>
      </c>
    </row>
    <row r="12">
      <c r="A12" s="8" t="inlineStr">
        <is>
          <t>확인 1</t>
        </is>
      </c>
      <c r="B12" s="3" t="inlineStr">
        <is>
          <t>파일 안에서 회사 이름 · 이메일 도메인을 검색(Ctrl+F)해 0건이다</t>
        </is>
      </c>
      <c r="F12" s="9" t="n"/>
    </row>
    <row r="13">
      <c r="A13" s="8" t="inlineStr">
        <is>
          <t>확인 2</t>
        </is>
      </c>
      <c r="B13" s="3" t="inlineStr">
        <is>
          <t>한 행만 보고 어느 회사인지 알 수 없다(국가 + 업종 + 금액 조합으로도)</t>
        </is>
      </c>
      <c r="F13" s="9" t="n"/>
    </row>
    <row r="14">
      <c r="A14" s="8" t="inlineStr">
        <is>
          <t>확인 3</t>
        </is>
      </c>
      <c r="B14" s="3" t="inlineStr">
        <is>
          <t>회사 보안 규정 · NDA(비밀유지계약)에 어긋나지 않는다</t>
        </is>
      </c>
      <c r="F14" s="9" t="n"/>
    </row>
    <row r="15">
      <c r="A15" s="8" t="inlineStr">
        <is>
          <t>확인 4</t>
        </is>
      </c>
      <c r="B15" s="3" t="inlineStr">
        <is>
          <t>쓰려는 AI 서비스의 학습 설정을 껐다(무료 소비자 AI · Colab AI에는 원본을 넣지 않는다)</t>
        </is>
      </c>
      <c r="F15" s="9" t="n"/>
    </row>
    <row r="16"/>
    <row r="17">
      <c r="B17" s="10" t="inlineStr">
        <is>
          <t>판정</t>
        </is>
      </c>
      <c r="C17" s="11">
        <f>IF(AND(COUNTIF(F3:F9,"예")+COUNTIF(F3:F9,"해당 없음")=7,COUNTIF(F12:F15,"예")=4),"통과 — 실습에 써도 된다","미통과 — 아직 쓰지 않는다")</f>
        <v/>
      </c>
    </row>
  </sheetData>
  <mergeCells count="4">
    <mergeCell ref="B15:E15"/>
    <mergeCell ref="B12:E12"/>
    <mergeCell ref="B13:E13"/>
    <mergeCell ref="B14:E14"/>
  </mergeCells>
  <dataValidations count="2">
    <dataValidation sqref="F3:F9" showDropDown="0" showInputMessage="0" showErrorMessage="0" allowBlank="1" type="list">
      <formula1>"예,아니오,해당 없음"</formula1>
    </dataValidation>
    <dataValidation sqref="F12:F15" showDropDown="0" showInputMessage="0" showErrorMessage="0" allowBlank="1" type="list">
      <formula1>"예,아니오"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15" customWidth="1" min="4" max="4"/>
    <col width="12" customWidth="1" min="5" max="5"/>
    <col width="11" customWidth="1" min="6" max="6"/>
    <col width="30" customWidth="1" min="7" max="7"/>
    <col width="20" customWidth="1" min="8" max="8"/>
    <col width="3" customWidth="1" min="9" max="9"/>
    <col width="13" customWidth="1" min="10" max="10"/>
    <col width="22" customWidth="1" min="11" max="11"/>
    <col width="11" customWidth="1" min="12" max="12"/>
    <col width="15" customWidth="1" min="13" max="13"/>
    <col width="11" customWidth="1" min="14" max="14"/>
    <col width="13" customWidth="1" min="15" max="15"/>
    <col width="18" customWidth="1" min="16" max="16"/>
  </cols>
  <sheetData>
    <row r="1">
      <c r="A1" s="12" t="inlineStr">
        <is>
          <t>가상 예시 8행 — 왼쪽 원본(회색), 오른쪽 변환(파랑). 내 파일에서는 같은 수식을 내 열 이름 · 행 범위에 맞춰 쓴다</t>
        </is>
      </c>
    </row>
    <row r="2">
      <c r="A2" s="13" t="inlineStr">
        <is>
          <t>buyer_name</t>
        </is>
      </c>
      <c r="B2" s="13" t="inlineStr">
        <is>
          <t>contact_email</t>
        </is>
      </c>
      <c r="C2" s="13" t="inlineStr">
        <is>
          <t>country</t>
        </is>
      </c>
      <c r="D2" s="13" t="inlineStr">
        <is>
          <t>invoice_no</t>
        </is>
      </c>
      <c r="E2" s="13" t="inlineStr">
        <is>
          <t>invoice_date</t>
        </is>
      </c>
      <c r="F2" s="13" t="inlineStr">
        <is>
          <t>amount_usd</t>
        </is>
      </c>
      <c r="G2" s="13" t="inlineStr">
        <is>
          <t>memo</t>
        </is>
      </c>
      <c r="H2" s="13" t="inlineStr">
        <is>
          <t>bank_account</t>
        </is>
      </c>
      <c r="J2" s="5" t="inlineStr">
        <is>
          <t>buyer_code</t>
        </is>
      </c>
      <c r="K2" s="5" t="inlineStr">
        <is>
          <t>country_out</t>
        </is>
      </c>
      <c r="L2" s="5" t="inlineStr">
        <is>
          <t>invoice_seq</t>
        </is>
      </c>
      <c r="M2" s="5" t="inlineStr">
        <is>
          <t>invoice_date_out</t>
        </is>
      </c>
      <c r="N2" s="5" t="inlineStr">
        <is>
          <t>amount_out</t>
        </is>
      </c>
      <c r="O2" s="5" t="inlineStr">
        <is>
          <t>amount_band</t>
        </is>
      </c>
      <c r="P2" s="5" t="inlineStr">
        <is>
          <t>memo_code</t>
        </is>
      </c>
    </row>
    <row r="3">
      <c r="A3" s="8" t="inlineStr">
        <is>
          <t>(가상) Alpha Trading GmbH</t>
        </is>
      </c>
      <c r="B3" s="8" t="inlineStr">
        <is>
          <t>kim@alpha.example</t>
        </is>
      </c>
      <c r="C3" s="8" t="inlineStr">
        <is>
          <t>DEU</t>
        </is>
      </c>
      <c r="D3" s="8" t="inlineStr">
        <is>
          <t>INV-2025-0383</t>
        </is>
      </c>
      <c r="E3" s="14" t="n">
        <v>45718</v>
      </c>
      <c r="F3" s="15" t="n">
        <v>123400</v>
      </c>
      <c r="G3" s="8" t="inlineStr">
        <is>
          <t>partial payment, rest next month</t>
        </is>
      </c>
      <c r="H3" s="8" t="inlineStr">
        <is>
          <t>XX00 0000 0000 0001</t>
        </is>
      </c>
      <c r="J3" s="8">
        <f>IFERROR(VLOOKUP(A3,'03_대응표_private'!$A$4:$C$20,2,FALSE),"대응표에 없음")</f>
        <v/>
      </c>
      <c r="K3" s="8">
        <f>IF(COUNTIF($C$3:$C$10,C3)&lt;3,IFERROR(VLOOKUP(C3,'03_대응표_private'!$E$4:$F$40,2,FALSE),"기타 권역"),C3)</f>
        <v/>
      </c>
      <c r="L3" s="8">
        <f>"INV-"&amp;TEXT(ROW()-2,"0000")</f>
        <v/>
      </c>
      <c r="M3" s="14">
        <f>E3+VLOOKUP(A3,'03_대응표_private'!$A$4:$C$20,3,FALSE)</f>
        <v/>
      </c>
      <c r="N3" s="15">
        <f>ROUND(F3*'03_대응표_private'!$B$23,-2)</f>
        <v/>
      </c>
      <c r="O3" s="8">
        <f>IF(F3&lt;10000,"1만 달러 미만",IF(F3&lt;50000,"1만~5만",IF(F3&lt;200000,"5만~20만","20만 이상")))</f>
        <v/>
      </c>
      <c r="P3" s="8" t="inlineStr">
        <is>
          <t>PAYMENT_PARTIAL</t>
        </is>
      </c>
    </row>
    <row r="4">
      <c r="A4" s="8" t="inlineStr">
        <is>
          <t>(가상) Alpha Trading GmbH</t>
        </is>
      </c>
      <c r="B4" s="8" t="inlineStr">
        <is>
          <t>kim@alpha.example</t>
        </is>
      </c>
      <c r="C4" s="8" t="inlineStr">
        <is>
          <t>DEU</t>
        </is>
      </c>
      <c r="D4" s="8" t="inlineStr">
        <is>
          <t>INV-2025-0391</t>
        </is>
      </c>
      <c r="E4" s="14" t="n">
        <v>45734</v>
      </c>
      <c r="F4" s="15" t="n">
        <v>45800</v>
      </c>
      <c r="G4" s="8" t="inlineStr"/>
      <c r="H4" s="8" t="inlineStr">
        <is>
          <t>XX00 0000 0000 0001</t>
        </is>
      </c>
      <c r="J4" s="8">
        <f>IFERROR(VLOOKUP(A4,'03_대응표_private'!$A$4:$C$20,2,FALSE),"대응표에 없음")</f>
        <v/>
      </c>
      <c r="K4" s="8">
        <f>IF(COUNTIF($C$3:$C$10,C4)&lt;3,IFERROR(VLOOKUP(C4,'03_대응표_private'!$E$4:$F$40,2,FALSE),"기타 권역"),C4)</f>
        <v/>
      </c>
      <c r="L4" s="8">
        <f>"INV-"&amp;TEXT(ROW()-2,"0000")</f>
        <v/>
      </c>
      <c r="M4" s="14">
        <f>E4+VLOOKUP(A4,'03_대응표_private'!$A$4:$C$20,3,FALSE)</f>
        <v/>
      </c>
      <c r="N4" s="15">
        <f>ROUND(F4*'03_대응표_private'!$B$23,-2)</f>
        <v/>
      </c>
      <c r="O4" s="8">
        <f>IF(F4&lt;10000,"1만 달러 미만",IF(F4&lt;50000,"1만~5만",IF(F4&lt;200000,"5만~20만","20만 이상")))</f>
        <v/>
      </c>
      <c r="P4" s="8" t="inlineStr"/>
    </row>
    <row r="5">
      <c r="A5" s="8" t="inlineStr">
        <is>
          <t>(가상) Beta Instruments Ltd</t>
        </is>
      </c>
      <c r="B5" s="8" t="inlineStr">
        <is>
          <t>ops@beta.example</t>
        </is>
      </c>
      <c r="C5" s="8" t="inlineStr">
        <is>
          <t>KEN</t>
        </is>
      </c>
      <c r="D5" s="8" t="inlineStr">
        <is>
          <t>INV-2025-0402</t>
        </is>
      </c>
      <c r="E5" s="14" t="n">
        <v>45748</v>
      </c>
      <c r="F5" s="15" t="n">
        <v>18900</v>
      </c>
      <c r="G5" s="8" t="inlineStr">
        <is>
          <t>customer claims damaged goods</t>
        </is>
      </c>
      <c r="H5" s="8" t="inlineStr">
        <is>
          <t>XX00 0000 0000 0002</t>
        </is>
      </c>
      <c r="J5" s="8">
        <f>IFERROR(VLOOKUP(A5,'03_대응표_private'!$A$4:$C$20,2,FALSE),"대응표에 없음")</f>
        <v/>
      </c>
      <c r="K5" s="8">
        <f>IF(COUNTIF($C$3:$C$10,C5)&lt;3,IFERROR(VLOOKUP(C5,'03_대응표_private'!$E$4:$F$40,2,FALSE),"기타 권역"),C5)</f>
        <v/>
      </c>
      <c r="L5" s="8">
        <f>"INV-"&amp;TEXT(ROW()-2,"0000")</f>
        <v/>
      </c>
      <c r="M5" s="14">
        <f>E5+VLOOKUP(A5,'03_대응표_private'!$A$4:$C$20,3,FALSE)</f>
        <v/>
      </c>
      <c r="N5" s="15">
        <f>ROUND(F5*'03_대응표_private'!$B$23,-2)</f>
        <v/>
      </c>
      <c r="O5" s="8">
        <f>IF(F5&lt;10000,"1만 달러 미만",IF(F5&lt;50000,"1만~5만",IF(F5&lt;200000,"5만~20만","20만 이상")))</f>
        <v/>
      </c>
      <c r="P5" s="8" t="inlineStr">
        <is>
          <t>DISPUTE_QUALITY</t>
        </is>
      </c>
    </row>
    <row r="6">
      <c r="A6" s="8" t="inlineStr">
        <is>
          <t>(가상) Gamma Industrial Co.</t>
        </is>
      </c>
      <c r="B6" s="8" t="inlineStr">
        <is>
          <t>buy@gamma.example</t>
        </is>
      </c>
      <c r="C6" s="8" t="inlineStr">
        <is>
          <t>VNM</t>
        </is>
      </c>
      <c r="D6" s="8" t="inlineStr">
        <is>
          <t>INV-2025-0410</t>
        </is>
      </c>
      <c r="E6" s="14" t="n">
        <v>45756</v>
      </c>
      <c r="F6" s="15" t="n">
        <v>76250</v>
      </c>
      <c r="G6" s="8" t="inlineStr">
        <is>
          <t>short shipment 2 boxes</t>
        </is>
      </c>
      <c r="H6" s="8" t="inlineStr">
        <is>
          <t>XX00 0000 0000 0003</t>
        </is>
      </c>
      <c r="J6" s="8">
        <f>IFERROR(VLOOKUP(A6,'03_대응표_private'!$A$4:$C$20,2,FALSE),"대응표에 없음")</f>
        <v/>
      </c>
      <c r="K6" s="8">
        <f>IF(COUNTIF($C$3:$C$10,C6)&lt;3,IFERROR(VLOOKUP(C6,'03_대응표_private'!$E$4:$F$40,2,FALSE),"기타 권역"),C6)</f>
        <v/>
      </c>
      <c r="L6" s="8">
        <f>"INV-"&amp;TEXT(ROW()-2,"0000")</f>
        <v/>
      </c>
      <c r="M6" s="14">
        <f>E6+VLOOKUP(A6,'03_대응표_private'!$A$4:$C$20,3,FALSE)</f>
        <v/>
      </c>
      <c r="N6" s="15">
        <f>ROUND(F6*'03_대응표_private'!$B$23,-2)</f>
        <v/>
      </c>
      <c r="O6" s="8">
        <f>IF(F6&lt;10000,"1만 달러 미만",IF(F6&lt;50000,"1만~5만",IF(F6&lt;200000,"5만~20만","20만 이상")))</f>
        <v/>
      </c>
      <c r="P6" s="8" t="inlineStr">
        <is>
          <t>DISPUTE_QUANTITY</t>
        </is>
      </c>
    </row>
    <row r="7">
      <c r="A7" s="8" t="inlineStr">
        <is>
          <t>(가상) Gamma Industrial Co.</t>
        </is>
      </c>
      <c r="B7" s="8" t="inlineStr">
        <is>
          <t>buy@gamma.example</t>
        </is>
      </c>
      <c r="C7" s="8" t="inlineStr">
        <is>
          <t>VNM</t>
        </is>
      </c>
      <c r="D7" s="8" t="inlineStr">
        <is>
          <t>INV-2025-0433</t>
        </is>
      </c>
      <c r="E7" s="14" t="n">
        <v>45783</v>
      </c>
      <c r="F7" s="15" t="n">
        <v>9800</v>
      </c>
      <c r="G7" s="8" t="inlineStr"/>
      <c r="H7" s="8" t="inlineStr">
        <is>
          <t>XX00 0000 0000 0003</t>
        </is>
      </c>
      <c r="J7" s="8">
        <f>IFERROR(VLOOKUP(A7,'03_대응표_private'!$A$4:$C$20,2,FALSE),"대응표에 없음")</f>
        <v/>
      </c>
      <c r="K7" s="8">
        <f>IF(COUNTIF($C$3:$C$10,C7)&lt;3,IFERROR(VLOOKUP(C7,'03_대응표_private'!$E$4:$F$40,2,FALSE),"기타 권역"),C7)</f>
        <v/>
      </c>
      <c r="L7" s="8">
        <f>"INV-"&amp;TEXT(ROW()-2,"0000")</f>
        <v/>
      </c>
      <c r="M7" s="14">
        <f>E7+VLOOKUP(A7,'03_대응표_private'!$A$4:$C$20,3,FALSE)</f>
        <v/>
      </c>
      <c r="N7" s="15">
        <f>ROUND(F7*'03_대응표_private'!$B$23,-2)</f>
        <v/>
      </c>
      <c r="O7" s="8">
        <f>IF(F7&lt;10000,"1만 달러 미만",IF(F7&lt;50000,"1만~5만",IF(F7&lt;200000,"5만~20만","20만 이상")))</f>
        <v/>
      </c>
      <c r="P7" s="8" t="inlineStr"/>
    </row>
    <row r="8">
      <c r="A8" s="8" t="inlineStr">
        <is>
          <t>(가상) Delta Supplies S.A.</t>
        </is>
      </c>
      <c r="B8" s="8" t="inlineStr">
        <is>
          <t>pay@delta.example</t>
        </is>
      </c>
      <c r="C8" s="8" t="inlineStr">
        <is>
          <t>MEX</t>
        </is>
      </c>
      <c r="D8" s="8" t="inlineStr">
        <is>
          <t>INV-2025-0440</t>
        </is>
      </c>
      <c r="E8" s="14" t="n">
        <v>45791</v>
      </c>
      <c r="F8" s="15" t="n">
        <v>212000</v>
      </c>
      <c r="G8" s="8" t="inlineStr">
        <is>
          <t>invoice price disputed</t>
        </is>
      </c>
      <c r="H8" s="8" t="inlineStr">
        <is>
          <t>XX00 0000 0000 0004</t>
        </is>
      </c>
      <c r="J8" s="8">
        <f>IFERROR(VLOOKUP(A8,'03_대응표_private'!$A$4:$C$20,2,FALSE),"대응표에 없음")</f>
        <v/>
      </c>
      <c r="K8" s="8">
        <f>IF(COUNTIF($C$3:$C$10,C8)&lt;3,IFERROR(VLOOKUP(C8,'03_대응표_private'!$E$4:$F$40,2,FALSE),"기타 권역"),C8)</f>
        <v/>
      </c>
      <c r="L8" s="8">
        <f>"INV-"&amp;TEXT(ROW()-2,"0000")</f>
        <v/>
      </c>
      <c r="M8" s="14">
        <f>E8+VLOOKUP(A8,'03_대응표_private'!$A$4:$C$20,3,FALSE)</f>
        <v/>
      </c>
      <c r="N8" s="15">
        <f>ROUND(F8*'03_대응표_private'!$B$23,-2)</f>
        <v/>
      </c>
      <c r="O8" s="8">
        <f>IF(F8&lt;10000,"1만 달러 미만",IF(F8&lt;50000,"1만~5만",IF(F8&lt;200000,"5만~20만","20만 이상")))</f>
        <v/>
      </c>
      <c r="P8" s="8" t="inlineStr">
        <is>
          <t>DISPUTE_PRICE</t>
        </is>
      </c>
    </row>
    <row r="9">
      <c r="A9" s="8" t="inlineStr">
        <is>
          <t>(가상) Epsilon Tech Kft.</t>
        </is>
      </c>
      <c r="B9" s="8" t="inlineStr">
        <is>
          <t>hu@eps.example</t>
        </is>
      </c>
      <c r="C9" s="8" t="inlineStr">
        <is>
          <t>DEU</t>
        </is>
      </c>
      <c r="D9" s="8" t="inlineStr">
        <is>
          <t>INV-2025-0452</t>
        </is>
      </c>
      <c r="E9" s="14" t="n">
        <v>45811</v>
      </c>
      <c r="F9" s="15" t="n">
        <v>33300</v>
      </c>
      <c r="G9" s="8" t="inlineStr">
        <is>
          <t>B/L copy missing</t>
        </is>
      </c>
      <c r="H9" s="8" t="inlineStr">
        <is>
          <t>XX00 0000 0000 0005</t>
        </is>
      </c>
      <c r="J9" s="8">
        <f>IFERROR(VLOOKUP(A9,'03_대응표_private'!$A$4:$C$20,2,FALSE),"대응표에 없음")</f>
        <v/>
      </c>
      <c r="K9" s="8">
        <f>IF(COUNTIF($C$3:$C$10,C9)&lt;3,IFERROR(VLOOKUP(C9,'03_대응표_private'!$E$4:$F$40,2,FALSE),"기타 권역"),C9)</f>
        <v/>
      </c>
      <c r="L9" s="8">
        <f>"INV-"&amp;TEXT(ROW()-2,"0000")</f>
        <v/>
      </c>
      <c r="M9" s="14">
        <f>E9+VLOOKUP(A9,'03_대응표_private'!$A$4:$C$20,3,FALSE)</f>
        <v/>
      </c>
      <c r="N9" s="15">
        <f>ROUND(F9*'03_대응표_private'!$B$23,-2)</f>
        <v/>
      </c>
      <c r="O9" s="8">
        <f>IF(F9&lt;10000,"1만 달러 미만",IF(F9&lt;50000,"1만~5만",IF(F9&lt;200000,"5만~20만","20만 이상")))</f>
        <v/>
      </c>
      <c r="P9" s="8" t="inlineStr">
        <is>
          <t>DISPUTE_DOCS</t>
        </is>
      </c>
    </row>
    <row r="10">
      <c r="A10" s="8" t="inlineStr">
        <is>
          <t>(가상) Delta Supplies S.A.</t>
        </is>
      </c>
      <c r="B10" s="8" t="inlineStr">
        <is>
          <t>pay@delta.example</t>
        </is>
      </c>
      <c r="C10" s="8" t="inlineStr">
        <is>
          <t>MEX</t>
        </is>
      </c>
      <c r="D10" s="8" t="inlineStr">
        <is>
          <t>INV-2025-0460</t>
        </is>
      </c>
      <c r="E10" s="14" t="n">
        <v>45828</v>
      </c>
      <c r="F10" s="15" t="n">
        <v>58100</v>
      </c>
      <c r="G10" s="8" t="inlineStr"/>
      <c r="H10" s="8" t="inlineStr">
        <is>
          <t>XX00 0000 0000 0004</t>
        </is>
      </c>
      <c r="J10" s="8">
        <f>IFERROR(VLOOKUP(A10,'03_대응표_private'!$A$4:$C$20,2,FALSE),"대응표에 없음")</f>
        <v/>
      </c>
      <c r="K10" s="8">
        <f>IF(COUNTIF($C$3:$C$10,C10)&lt;3,IFERROR(VLOOKUP(C10,'03_대응표_private'!$E$4:$F$40,2,FALSE),"기타 권역"),C10)</f>
        <v/>
      </c>
      <c r="L10" s="8">
        <f>"INV-"&amp;TEXT(ROW()-2,"0000")</f>
        <v/>
      </c>
      <c r="M10" s="14">
        <f>E10+VLOOKUP(A10,'03_대응표_private'!$A$4:$C$20,3,FALSE)</f>
        <v/>
      </c>
      <c r="N10" s="15">
        <f>ROUND(F10*'03_대응표_private'!$B$23,-2)</f>
        <v/>
      </c>
      <c r="O10" s="8">
        <f>IF(F10&lt;10000,"1만 달러 미만",IF(F10&lt;50000,"1만~5만",IF(F10&lt;200000,"5만~20만","20만 이상")))</f>
        <v/>
      </c>
      <c r="P10" s="8" t="inlineStr"/>
    </row>
    <row r="11"/>
    <row r="12">
      <c r="A12" s="16" t="inlineStr">
        <is>
          <t>buyer_code: 대응표에서 코드를 찾는다(VLOOKUP). 이메일 · 담당자 열은 변환하지 않고 지운다.</t>
        </is>
      </c>
    </row>
    <row r="13">
      <c r="A13" s="16" t="inlineStr">
        <is>
          <t>country_out: 같은 나라가 3곳(행) 미만이면 권역으로 올린다 — 실제 파일에서는 '바이어 수'로 센다.</t>
        </is>
      </c>
    </row>
    <row r="14">
      <c r="A14" s="16" t="inlineStr">
        <is>
          <t>invoice_seq: 행 순서대로 새 번호. 원래 번호는 남기지 않는다.</t>
        </is>
      </c>
    </row>
    <row r="15">
      <c r="A15" s="16" t="inlineStr">
        <is>
          <t>invoice_date_out: 바이어별 같은 날수를 더한다 → 연체일 · 결제기간 같은 간격은 그대로다.</t>
        </is>
      </c>
    </row>
    <row r="16">
      <c r="A16" s="16" t="inlineStr">
        <is>
          <t>amount_out / amount_band: 비밀 계수 k를 곱해 100단위로 반올림하거나, 구간으로 바꾼다(둘 중 하나만 공유).</t>
        </is>
      </c>
    </row>
    <row r="17">
      <c r="A17" s="16" t="inlineStr">
        <is>
          <t>memo_code: 사람이 읽고 분류한다(품질 · 수량 · 서류 · 가격 · 지급). 자유 서술은 남기지 않는다. bank_account: 지운다.</t>
        </is>
      </c>
    </row>
    <row r="18">
      <c r="A18" s="16" t="inlineStr">
        <is>
          <t>공유할 때는 파랑 열만 '값 붙여넣기'로 새 파일에 옮긴다.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3" customWidth="1" min="4" max="4"/>
    <col width="12" customWidth="1" min="5" max="5"/>
    <col width="22" customWidth="1" min="6" max="6"/>
  </cols>
  <sheetData>
    <row r="1">
      <c r="A1" s="17" t="inlineStr">
        <is>
          <t>이 시트는 공유 파일에 넣지 않는다 — 별도 파일(…_private.xlsx)로 옮겨 내 PC에만 둔다</t>
        </is>
      </c>
    </row>
    <row r="2"/>
    <row r="3">
      <c r="A3" s="5" t="inlineStr">
        <is>
          <t>원본 바이어명</t>
        </is>
      </c>
      <c r="B3" s="5" t="inlineStr">
        <is>
          <t>코드</t>
        </is>
      </c>
      <c r="C3" s="5" t="inlineStr">
        <is>
          <t>날짜 이동(일)</t>
        </is>
      </c>
      <c r="E3" s="5" t="inlineStr">
        <is>
          <t>국가 코드</t>
        </is>
      </c>
      <c r="F3" s="5" t="inlineStr">
        <is>
          <t>권역</t>
        </is>
      </c>
    </row>
    <row r="4">
      <c r="A4" s="8" t="inlineStr">
        <is>
          <t>(가상) Alpha Trading GmbH</t>
        </is>
      </c>
      <c r="B4" s="8" t="inlineStr">
        <is>
          <t>BUYER_001</t>
        </is>
      </c>
      <c r="C4" s="8" t="n">
        <v>40</v>
      </c>
      <c r="E4" s="8" t="inlineStr">
        <is>
          <t>KEN</t>
        </is>
      </c>
      <c r="F4" s="8" t="inlineStr">
        <is>
          <t>사하라 이남 아프리카</t>
        </is>
      </c>
    </row>
    <row r="5">
      <c r="A5" s="8" t="inlineStr">
        <is>
          <t>(가상) Beta Instruments Ltd</t>
        </is>
      </c>
      <c r="B5" s="8" t="inlineStr">
        <is>
          <t>BUYER_002</t>
        </is>
      </c>
      <c r="C5" s="8" t="n">
        <v>12</v>
      </c>
      <c r="E5" s="8" t="inlineStr">
        <is>
          <t>NGA</t>
        </is>
      </c>
      <c r="F5" s="8" t="inlineStr">
        <is>
          <t>사하라 이남 아프리카</t>
        </is>
      </c>
    </row>
    <row r="6">
      <c r="A6" s="8" t="inlineStr">
        <is>
          <t>(가상) Gamma Industrial Co.</t>
        </is>
      </c>
      <c r="B6" s="8" t="inlineStr">
        <is>
          <t>BUYER_003</t>
        </is>
      </c>
      <c r="C6" s="8" t="n">
        <v>73</v>
      </c>
      <c r="E6" s="8" t="inlineStr">
        <is>
          <t>VNM</t>
        </is>
      </c>
      <c r="F6" s="8" t="inlineStr">
        <is>
          <t>동남아</t>
        </is>
      </c>
    </row>
    <row r="7">
      <c r="A7" s="8" t="inlineStr">
        <is>
          <t>(가상) Delta Supplies S.A.</t>
        </is>
      </c>
      <c r="B7" s="8" t="inlineStr">
        <is>
          <t>BUYER_004</t>
        </is>
      </c>
      <c r="C7" s="8" t="n">
        <v>5</v>
      </c>
      <c r="E7" s="8" t="inlineStr">
        <is>
          <t>IDN</t>
        </is>
      </c>
      <c r="F7" s="8" t="inlineStr">
        <is>
          <t>동남아</t>
        </is>
      </c>
    </row>
    <row r="8">
      <c r="A8" s="8" t="inlineStr">
        <is>
          <t>(가상) Epsilon Tech Kft.</t>
        </is>
      </c>
      <c r="B8" s="8" t="inlineStr">
        <is>
          <t>BUYER_005</t>
        </is>
      </c>
      <c r="C8" s="8" t="n">
        <v>61</v>
      </c>
      <c r="E8" s="8" t="inlineStr">
        <is>
          <t>THA</t>
        </is>
      </c>
      <c r="F8" s="8" t="inlineStr">
        <is>
          <t>동남아</t>
        </is>
      </c>
    </row>
    <row r="9">
      <c r="E9" s="8" t="inlineStr">
        <is>
          <t>MEX</t>
        </is>
      </c>
      <c r="F9" s="8" t="inlineStr">
        <is>
          <t>중남미</t>
        </is>
      </c>
    </row>
    <row r="10">
      <c r="E10" s="8" t="inlineStr">
        <is>
          <t>BRA</t>
        </is>
      </c>
      <c r="F10" s="8" t="inlineStr">
        <is>
          <t>중남미</t>
        </is>
      </c>
    </row>
    <row r="11">
      <c r="E11" s="8" t="inlineStr">
        <is>
          <t>DEU</t>
        </is>
      </c>
      <c r="F11" s="8" t="inlineStr">
        <is>
          <t>서유럽</t>
        </is>
      </c>
    </row>
    <row r="12">
      <c r="E12" s="8" t="inlineStr">
        <is>
          <t>NLD</t>
        </is>
      </c>
      <c r="F12" s="8" t="inlineStr">
        <is>
          <t>서유럽</t>
        </is>
      </c>
    </row>
    <row r="13">
      <c r="E13" s="8" t="inlineStr">
        <is>
          <t>POL</t>
        </is>
      </c>
      <c r="F13" s="8" t="inlineStr">
        <is>
          <t>중동부 유럽</t>
        </is>
      </c>
    </row>
    <row r="14">
      <c r="E14" s="8" t="inlineStr">
        <is>
          <t>TUR</t>
        </is>
      </c>
      <c r="F14" s="8" t="inlineStr">
        <is>
          <t>중동</t>
        </is>
      </c>
    </row>
    <row r="15">
      <c r="E15" s="8" t="inlineStr">
        <is>
          <t>SAU</t>
        </is>
      </c>
      <c r="F15" s="8" t="inlineStr">
        <is>
          <t>중동</t>
        </is>
      </c>
    </row>
    <row r="16">
      <c r="E16" s="8" t="inlineStr">
        <is>
          <t>ARE</t>
        </is>
      </c>
      <c r="F16" s="8" t="inlineStr">
        <is>
          <t>중동</t>
        </is>
      </c>
    </row>
    <row r="17">
      <c r="E17" s="8" t="inlineStr">
        <is>
          <t>EGY</t>
        </is>
      </c>
      <c r="F17" s="8" t="inlineStr">
        <is>
          <t>중동·북아프리카</t>
        </is>
      </c>
    </row>
    <row r="18"/>
    <row r="19"/>
    <row r="20"/>
    <row r="21"/>
    <row r="22">
      <c r="A22" s="10" t="inlineStr">
        <is>
          <t>금액 비밀 계수 k(0.5~2.0) — 내 값으로 바꾸고 아무에게도 알리지 않는다</t>
        </is>
      </c>
    </row>
    <row r="23">
      <c r="A23" s="8" t="inlineStr">
        <is>
          <t>k =</t>
        </is>
      </c>
      <c r="B23" s="18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2026-10-07T00:27:03Z</dcterms:created>
  <dcterms:modified xmlns:dcterms="http://purl.org/dc/terms/" xmlns:xsi="http://www.w3.org/2001/XMLSchema-instance" xsi:type="dcterms:W3CDTF">2026-10-07T00:27:03Z</dcterms:modified>
</cp:coreProperties>
</file>