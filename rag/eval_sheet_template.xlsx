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goldset" sheetId="2" r:id="rId2"/>
    <sheet name="eval" sheetId="3" r:id="rId3"/>
    <sheet name="experiments" sheetId="4" r:id="rId4"/>
    <sheet name="run_app" sheetId="5" r:id="rId5"/>
    <sheet name="summary" sheetId="6" r:id="rId6"/>
  </sheets>
  <calcPr calcId="124519" fullCalcOnLoad="1"/>
</workbook>
</file>

<file path=xl/sharedStrings.xml><?xml version="1.0" encoding="utf-8"?>
<sst xmlns="http://schemas.openxmlformats.org/spreadsheetml/2006/main" count="567" uniqueCount="258">
  <si>
    <t>Day5 RAG 평가 시트 — 골든셋 20문항(rag/goldset_20.csv)으로 검색 품질(P@K·R@K·F1@K, 보조 Hit@3·MRR)과 답 품질(정답·인용·기권)을 잰다.</t>
  </si>
  <si>
    <t>1) Google Drive에 올려 'Google Sheets로 열기'. 노란 칸만 입력하고 회색 칸(수식)은 고치지 않는다.</t>
  </si>
  <si>
    <t>2) 🟢 eval 탭 F열 first_hit_rank: Dify 'Retrieval Testing'에서 정답 조항(C·D열)이 처음 나온 순위(1~5, 없으면 0).</t>
  </si>
  <si>
    <t>3) 🔵 eval 탭 I~M열 r1~r5: 상위 5개 조각 머리의 조항 ID(예: HB-27, KS-7)를 순서대로 — 조 단위로 적는다. V~AD열에 P@K·R@K·F1@K(K = 1·3·5)가 계산된다.</t>
  </si>
  <si>
    <t>4) P~U열: 사람 채점 0/1 — answer_ok(goldset 탭 expected_answer·grading_rubric 기준), cite_ok(인용 조항이 정답과 일치), abstain_ok(함정 문항에서 '제공 문서에서 확인되지 않습니다' = 1).</t>
  </si>
  <si>
    <t>5) run_app 탭: 앱 ⑥ RAG 페이지 '골든셋 일괄 실행'의 CSV(q_id·r1~r5·abstained·top_score·answer_text)를 A1에 그대로 붙여 넣는다.</t>
  </si>
  <si>
    <t>6) experiments 탭(🔵): 청킹·검색 설정 E1~E4를 각 5문항으로 비교한다.</t>
  </si>
  <si>
    <t>7) summary 탭: 'Top-K 요약' 표(K = 1·3·5의 P·R·F1)와 막대 그래프 — F1@K가 가장 높은 K = Top-K(같으면 작은 K). 고른 K와 그 이유 한 줄을 제출물에 쓴다.</t>
  </si>
  <si>
    <t>정의: P@K = 맞힌 조항 수 ÷ K · R@K = 맞힌 조항 수 ÷ 정답 조항 수 · F1@K = 2PR ÷ (P + R) → F1이 가장 높은 K가 Top-K. 보조: Hit@3(상위 3개 안에 정답) · MRR(첫 정답 순위의 역수 평균). 함정(기권) 문항은 검색 지표에서 뺀다.</t>
  </si>
  <si>
    <t>조 단위 ID: KS-(K-SURE 약관) · HB-(가상 규정) · LAW-CIT-(법인세법 시행령). 예: KS-21② → KS-21.</t>
  </si>
  <si>
    <t>q_id</t>
  </si>
  <si>
    <t>question</t>
  </si>
  <si>
    <t>type</t>
  </si>
  <si>
    <t>eval_type</t>
  </si>
  <si>
    <t>gold_ids</t>
  </si>
  <si>
    <t>gold_articles</t>
  </si>
  <si>
    <t>source_doc</t>
  </si>
  <si>
    <t>source_clause</t>
  </si>
  <si>
    <t>expected_answer</t>
  </si>
  <si>
    <t>grading_rubric</t>
  </si>
  <si>
    <t>Q01</t>
  </si>
  <si>
    <t>중소기업이 단기수출보험(선적후)에 가입하면 부보율은?</t>
  </si>
  <si>
    <t>수치</t>
  </si>
  <si>
    <t>정상</t>
  </si>
  <si>
    <t>KS-6</t>
  </si>
  <si>
    <t>K-SURE 단기수출보험(선적후) 약관</t>
  </si>
  <si>
    <t>약관 제6조</t>
  </si>
  <si>
    <t>중소기업 100%(중견기업 97.5%, 대기업 95%). 국별인수방침상 부보율이 더 낮으면 낮은 쪽을 적용한다.</t>
  </si>
  <si>
    <t>100% · 중견 97.5% · 대기업 95%</t>
  </si>
  <si>
    <t>Q02</t>
  </si>
  <si>
    <t>보험금 청구 후 언제까지 지급되나?</t>
  </si>
  <si>
    <t>사실</t>
  </si>
  <si>
    <t>KS-24①</t>
  </si>
  <si>
    <t>KS-24</t>
  </si>
  <si>
    <t>약관 제24조 제1항</t>
  </si>
  <si>
    <t>청구일부터 2개월 이내에 지급한다. 공사가 추가 서류를 요구하면 그 기간만큼 늘어난다.</t>
  </si>
  <si>
    <t>2개월 · 추가 서류 기간 연장</t>
  </si>
  <si>
    <t>Q03</t>
  </si>
  <si>
    <t>결제기일이 2026-09-15인 O/A 건이 미결제다. 사고발생통지 기한은?</t>
  </si>
  <si>
    <t>조건</t>
  </si>
  <si>
    <t>KS-21②;HB-20③</t>
  </si>
  <si>
    <t>KS-21;HB-20</t>
  </si>
  <si>
    <t>K-SURE 단기수출보험(선적후) 약관 + (가상) 한빛정밀 여신관리규정</t>
  </si>
  <si>
    <t>약관 제21조 제1·2항, 규정 제20조 제3항</t>
  </si>
  <si>
    <t>결제기일부터 1개월 이내에 서면으로 통지한다(결제기일 전에 사고 사유를 알았다면 안 날부터 1개월). 달력상 2026-10-15 무렵이며 최종 날짜는 담당자가 확인한다. 통지 여부는 사람이 결정한다.</t>
  </si>
  <si>
    <t>결제기일 + 1개월 · 서면 · 2026-10-15 무렵 · 사람 결정</t>
  </si>
  <si>
    <t>Q04</t>
  </si>
  <si>
    <t>사고통지를 늦게 하면 무조건 15/1000 위약금을 내나?</t>
  </si>
  <si>
    <t>KS-21③;KS-7②2</t>
  </si>
  <si>
    <t>KS-21;KS-7</t>
  </si>
  <si>
    <t>약관 제21조 제3항, 제7조 제2항 제2호</t>
  </si>
  <si>
    <t>아니다. 15/1000은 통지가 늦어져 다른 수출자와 같은 수입자 사이의 추가 수출이 보험관계로 성립한 경우에 한정된다(제21조③). 일반적으로는 통지 의무를 게을리해 생긴 손실을 보상받지 못하는 면책이 핵심 위험이다(제7조②2).</t>
  </si>
  <si>
    <t>'아니다' · 다른 수출자 한정 · 핵심은 면책</t>
  </si>
  <si>
    <t>Q05</t>
  </si>
  <si>
    <t>이전 대금이 결제기일 후 35일째 미결제인 O/A 바이어에게 추가 선적하면?</t>
  </si>
  <si>
    <t>KS-7①2</t>
  </si>
  <si>
    <t>KS-7</t>
  </si>
  <si>
    <t>약관 제7조 제1항 제2호</t>
  </si>
  <si>
    <t>추가 선적분은 원칙적으로 면책(연속수출)이다. 사고 건 선적일부터 1년 소급 기간에 만기가 온 이전 대금이 결제기일부터 30일을 넘겨 미결제면 해당하고, 보험에 들지 않은 이전 거래도 포함한다. 예외는 신용장(L/C) 거래와 공사가 결제관행을 인정한 거래다.</t>
  </si>
  <si>
    <t>면책 · 30일 · 1년 소급 · 미부보 포함 · L/C 예외</t>
  </si>
  <si>
    <t>Q06</t>
  </si>
  <si>
    <t>Q05와 같은 상황인데 신용장(L/C) 거래라면?</t>
  </si>
  <si>
    <t>약관 제7조 제1항 제2호 단서</t>
  </si>
  <si>
    <t>연속수출 면책의 예외다. 다만 L/C 서류 하자·개설은행 위험은 별도로 관리해야 한다.</t>
  </si>
  <si>
    <t>예외 · 서류 하자·개설은행 위험 별도</t>
  </si>
  <si>
    <t>Q07</t>
  </si>
  <si>
    <t>사내 규정상 연체 40일 바이어에게 영업본부장 승인으로 선적해도 되나?</t>
  </si>
  <si>
    <t>충돌</t>
  </si>
  <si>
    <t>HB-27②;KS-7①2</t>
  </si>
  <si>
    <t>HB-27;KS-7</t>
  </si>
  <si>
    <t>(가상) 한빛정밀 여신관리규정 + K-SURE 단기수출보험(선적후) 약관</t>
  </si>
  <si>
    <t>규정 제27조 제2항 ↔ 약관 제7조 제1항 제2호</t>
  </si>
  <si>
    <t>[규정 충돌] 사내 규정 제27조②는 45일까지 영업본부장 승인으로 선적을 허용하지만, 무신용장 거래는 결제기일 후 30일이 지난 미결 채권이 있는 상태의 추가 선적분이 면책된다(약관 제7조①2). 선적을 보류하는 것이 맞고 규정 개정이 필요하다 — 담당자 확인.</t>
  </si>
  <si>
    <t>두 조항 모두 인용 · 충돌 표시 · 30일 vs 45일</t>
  </si>
  <si>
    <t>Q08</t>
  </si>
  <si>
    <t>바이어가 최근 인보이스부터 입금 처리해 달라고 한다. 사내 규정상 가능한가?</t>
  </si>
  <si>
    <t>HB-21②;KS-31</t>
  </si>
  <si>
    <t>HB-21;KS-31</t>
  </si>
  <si>
    <t>규정 제21조 제2항 ↔ 약관 제31조</t>
  </si>
  <si>
    <t>[규정 충돌] 사내 규정 제21조②는 영업본부장이 인정하면 지정 충당을 허용하지만, K-SURE는 당사자 합의와 관계없이 최초 결제기일 순으로 충당된 것으로 본다(L/C 제외). 원장은 결제기일 순(FIFO)으로 관리해야 연속수출·통지 기한 판단이 어긋나지 않는다 — 담당자 확인.</t>
  </si>
  <si>
    <t>두 조항 모두 인용 · 충돌 표시 · 결제기일 순 간주</t>
  </si>
  <si>
    <t>Q09</t>
  </si>
  <si>
    <t>바이어의 Chapter 11 신청 뉴스를 본 뒤 선적한 건도 보상되나?</t>
  </si>
  <si>
    <t>KS-7①6;HB-20④</t>
  </si>
  <si>
    <t>KS-7;HB-20</t>
  </si>
  <si>
    <t>약관 제7조 제1항 제6호, 규정 제20조 제4항</t>
  </si>
  <si>
    <t>보상되지 않는다(면책). 파산신청 등 신용상태가 크게 나빠진 사실을 안 뒤의 수출은 보상하지 않으므로 즉시 선적을 중단한다.</t>
  </si>
  <si>
    <t>면책 · 인지 후 수출 · 즉시 선적 중단</t>
  </si>
  <si>
    <t>Q10</t>
  </si>
  <si>
    <t>중소기업이 지급지체 사고로 보험금을 청구할 수 있는 시점은?</t>
  </si>
  <si>
    <t>KS-22</t>
  </si>
  <si>
    <t>약관 제22조</t>
  </si>
  <si>
    <t>결제기일부터 1개월이 지난 뒤(중소기업이 아니면 2개월).</t>
  </si>
  <si>
    <t>1개월(일반 2개월)</t>
  </si>
  <si>
    <t>Q11</t>
  </si>
  <si>
    <t>분쟁 등으로 보험금 지급이 늦어질 때 가지급 한도는?</t>
  </si>
  <si>
    <t>KS-25①</t>
  </si>
  <si>
    <t>KS-25</t>
  </si>
  <si>
    <t>약관 제25조 제1항</t>
  </si>
  <si>
    <t>지급 예상액의 60/100 범위(중견기업 70/100, 중소기업 80/100).</t>
  </si>
  <si>
    <t>60/100 · 중견 70 · 중소 80</t>
  </si>
  <si>
    <t>Q12</t>
  </si>
  <si>
    <t>보험금청구권의 소멸시효는?</t>
  </si>
  <si>
    <t>KS-22의2</t>
  </si>
  <si>
    <t>약관 제22조의2</t>
  </si>
  <si>
    <t>3년.</t>
  </si>
  <si>
    <t>3년</t>
  </si>
  <si>
    <t>Q13</t>
  </si>
  <si>
    <t>보험금을 받기 전에 일부 회수하면 언제까지 알려야 하나?</t>
  </si>
  <si>
    <t>KS-23①;HB-20⑤</t>
  </si>
  <si>
    <t>KS-23;HB-20</t>
  </si>
  <si>
    <t>약관 제23조 제1항, 규정 제20조 제5항</t>
  </si>
  <si>
    <t>입금일부터 15영업일 이내에 공사에 알린다.</t>
  </si>
  <si>
    <t>15영업일</t>
  </si>
  <si>
    <t>Q14</t>
  </si>
  <si>
    <t>바이어와 결제기일을 60일에서 90일로 연장하기로 했다. K-SURE에 무엇을 해야 하나?</t>
  </si>
  <si>
    <t>KS-18;HB-20②</t>
  </si>
  <si>
    <t>KS-18;HB-20</t>
  </si>
  <si>
    <t>약관 제18조, 규정 제20조 제2항</t>
  </si>
  <si>
    <t>변경 사실을 10영업일 이내에 서면으로 통지한다(계약변경 통지).</t>
  </si>
  <si>
    <t>10영업일 · 서면 · 계약변경 통지</t>
  </si>
  <si>
    <t>Q15</t>
  </si>
  <si>
    <t>사내 규정상 C등급 바이어에게 허용되는 결제조건은?</t>
  </si>
  <si>
    <t>HB-10①</t>
  </si>
  <si>
    <t>HB-10</t>
  </si>
  <si>
    <t>(가상) 한빛정밀 여신관리규정</t>
  </si>
  <si>
    <t>규정 제10조 제1항</t>
  </si>
  <si>
    <t>선수금 또는 신용장(L/C)만 허용된다(제한고객도 같다).</t>
  </si>
  <si>
    <t>선수금 · L/C만</t>
  </si>
  <si>
    <t>Q16</t>
  </si>
  <si>
    <t>사내 규정상 바이어 한도 US$150,000 신규 설정의 전결권자는?</t>
  </si>
  <si>
    <t>HB-6①</t>
  </si>
  <si>
    <t>HB-6</t>
  </si>
  <si>
    <t>규정 제6조 제1항</t>
  </si>
  <si>
    <t>영업본부장(US$50,000 초과 US$200,000 이하).</t>
  </si>
  <si>
    <t>영업본부장</t>
  </si>
  <si>
    <t>Q17</t>
  </si>
  <si>
    <t>수출채권 대손을 세무상 인정받을 수 있는 K-SURE 관련 사유는?</t>
  </si>
  <si>
    <t>LAW-CIT-19의2①7;HB-34①</t>
  </si>
  <si>
    <t>LAW-CIT-19의2;HB-34</t>
  </si>
  <si>
    <t>법인세법 시행령 + (가상) 한빛정밀 여신관리규정</t>
  </si>
  <si>
    <t>법인세법 시행령 제19조의2 제1항 제7호, 규정 제34조 제1항</t>
  </si>
  <si>
    <t>한국무역보험공사로부터 회수불능으로 확인된 수출채권(법인세법 시행령 제19조의2 제1항 제7호).</t>
  </si>
  <si>
    <t>회수불능 확인 · 제7호</t>
  </si>
  <si>
    <t>Q18</t>
  </si>
  <si>
    <t>중소기업 외상매출금은 회수기일이 얼마나 지나야 대손 사유가 되나?</t>
  </si>
  <si>
    <t>LAW-CIT-19의2①9의2;HB-34①</t>
  </si>
  <si>
    <t>법인세법 시행령 제19조의2 제1항 제9호의2, 규정 제34조 제1항</t>
  </si>
  <si>
    <t>회수기일이 2년 이상 지난 경우(특수관계인 채권은 제외).</t>
  </si>
  <si>
    <t>2년 · 특수관계인 제외</t>
  </si>
  <si>
    <t>Q19</t>
  </si>
  <si>
    <t>UCP 600 제14조의 서류심사 기간은?</t>
  </si>
  <si>
    <t>기권</t>
  </si>
  <si>
    <t>함정</t>
  </si>
  <si>
    <t/>
  </si>
  <si>
    <t>없음(코퍼스 밖)</t>
  </si>
  <si>
    <t>—</t>
  </si>
  <si>
    <t>제공 문서에서 확인되지 않습니다. (ICC 문서는 AI 이용 금지로 코퍼스에서 뺐다)</t>
  </si>
  <si>
    <t>기권 문구 그대로 · 추측 금지</t>
  </si>
  <si>
    <t>Q20</t>
  </si>
  <si>
    <t>K-SURE 개별보험에서 B등급 수입자·90일 조건의 보험요율은?</t>
  </si>
  <si>
    <t>제공 문서에서 확인되지 않습니다. (요율표는 공개되지 않는다)</t>
  </si>
  <si>
    <t>gold_id1</t>
  </si>
  <si>
    <t>gold_id2</t>
  </si>
  <si>
    <t>first_hit_rank</t>
  </si>
  <si>
    <t>hit_at_3</t>
  </si>
  <si>
    <t>rr</t>
  </si>
  <si>
    <t>r1</t>
  </si>
  <si>
    <t>r2</t>
  </si>
  <si>
    <t>r3</t>
  </si>
  <si>
    <t>r4</t>
  </si>
  <si>
    <t>r5</t>
  </si>
  <si>
    <t>hit_at_3_r</t>
  </si>
  <si>
    <t>rr_r</t>
  </si>
  <si>
    <t>dify_answer_ok</t>
  </si>
  <si>
    <t>dify_cite_ok</t>
  </si>
  <si>
    <t>dify_abstain_ok</t>
  </si>
  <si>
    <t>gemini_answer_ok</t>
  </si>
  <si>
    <t>gemini_cite_ok</t>
  </si>
  <si>
    <t>gemini_abstain_ok</t>
  </si>
  <si>
    <t>p_at_1</t>
  </si>
  <si>
    <t>r_at_1</t>
  </si>
  <si>
    <t>f1_at_1</t>
  </si>
  <si>
    <t>p_at_3</t>
  </si>
  <si>
    <t>r_at_3</t>
  </si>
  <si>
    <t>f1_at_3</t>
  </si>
  <si>
    <t>p_at_5</t>
  </si>
  <si>
    <t>r_at_5</t>
  </si>
  <si>
    <t>f1_at_5</t>
  </si>
  <si>
    <t>memo</t>
  </si>
  <si>
    <t>KS-21</t>
  </si>
  <si>
    <t>HB-20</t>
  </si>
  <si>
    <t>HB-27</t>
  </si>
  <si>
    <t>HB-21</t>
  </si>
  <si>
    <t>KS-31</t>
  </si>
  <si>
    <t>KS-23</t>
  </si>
  <si>
    <t>KS-18</t>
  </si>
  <si>
    <t>LAW-CIT-19의2</t>
  </si>
  <si>
    <t>HB-34</t>
  </si>
  <si>
    <t>experiment</t>
  </si>
  <si>
    <t>setting</t>
  </si>
  <si>
    <t>E1</t>
  </si>
  <si>
    <t>General 청킹(PDF 그대로, 구분자 \n\n, 500 tokens)</t>
  </si>
  <si>
    <t>E2</t>
  </si>
  <si>
    <t>Parent-child(기본)</t>
  </si>
  <si>
    <t>E3</t>
  </si>
  <si>
    <t>E2 + Top K 5</t>
  </si>
  <si>
    <t>E4</t>
  </si>
  <si>
    <t>E2 + Vector Search만</t>
  </si>
  <si>
    <t>Hit@3</t>
  </si>
  <si>
    <t>MRR</t>
  </si>
  <si>
    <t>abstained</t>
  </si>
  <si>
    <t>top_score</t>
  </si>
  <si>
    <t>answer_text</t>
  </si>
  <si>
    <t>지표</t>
  </si>
  <si>
    <t>Dify(🟢 순위 입력)</t>
  </si>
  <si>
    <t>Dify(🔵 r1~r5)</t>
  </si>
  <si>
    <t>Gemini Notebook</t>
  </si>
  <si>
    <t>앱 TF-IDF(run_app)</t>
  </si>
  <si>
    <t>정의</t>
  </si>
  <si>
    <t>상위 3개 안에 정답 조항이 있는 문항 비율(함정 제외)</t>
  </si>
  <si>
    <t>첫 정답 순위의 역수 평균(함정 제외)</t>
  </si>
  <si>
    <t>정답률</t>
  </si>
  <si>
    <t>answer_ok 평균(함정 제외, 사람 채점)</t>
  </si>
  <si>
    <t>인용 정확도</t>
  </si>
  <si>
    <t>cite_ok 평균(함정 제외)</t>
  </si>
  <si>
    <t>기권 정확도</t>
  </si>
  <si>
    <t>함정 2문항에서 기권한 비율</t>
  </si>
  <si>
    <t>오기권(건)</t>
  </si>
  <si>
    <t>정상·충돌 문항인데 기권한 건수(앱)</t>
  </si>
  <si>
    <t>충돌 탐지율</t>
  </si>
  <si>
    <t>충돌 2문항에서 두 조항 인용 + 충돌 표시(answer_ok)</t>
  </si>
  <si>
    <t>입력 진행</t>
  </si>
  <si>
    <t>입력한 문항 수(20이면 완료)</t>
  </si>
  <si>
    <t>P@1</t>
  </si>
  <si>
    <t>맞힌 조항 수 ÷ K(함정 제외 평균)</t>
  </si>
  <si>
    <t>R@1</t>
  </si>
  <si>
    <t>맞힌 조항 수 ÷ 정답 조항 수(함정 제외 평균)</t>
  </si>
  <si>
    <t>F1@1</t>
  </si>
  <si>
    <t>2 × P × R ÷ (P + R) — 계획서의 '조화평균'(함정 제외 평균)</t>
  </si>
  <si>
    <t>P@3</t>
  </si>
  <si>
    <t>R@3</t>
  </si>
  <si>
    <t>F1@3</t>
  </si>
  <si>
    <t>P@5</t>
  </si>
  <si>
    <t>R@5</t>
  </si>
  <si>
    <t>F1@5</t>
  </si>
  <si>
    <t>F1 최고 K</t>
  </si>
  <si>
    <t>F1@1·F1@3·F1@5 중 가장 높은 K = Top-K 선택(같으면 작은 K)</t>
  </si>
  <si>
    <t>Top-K 요약 — Dify(🔵 r1~r5) (K = 1·3·5, 함정 제외 평균)</t>
  </si>
  <si>
    <t>K</t>
  </si>
  <si>
    <t>P@K</t>
  </si>
  <si>
    <t>R@K</t>
  </si>
  <si>
    <t>F1@K</t>
  </si>
  <si>
    <t>Top-K</t>
  </si>
  <si>
    <t>선택 K</t>
  </si>
  <si>
    <t>← F1이 가장 높은 K. 고른 K와 이유 1줄을 제출물에 쓴다</t>
  </si>
  <si>
    <t>Top-K 요약 — 앱 TF-IDF(run_app) (K = 1·3·5, 함정 제외 평균)</t>
  </si>
  <si>
    <t>← 같은 질문을 앱 TF-IDF에 던진 기준선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</si>
</sst>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CEAE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DEDE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3" borderId="1" xfId="0" applyFill="1" applyBorder="1"/>
    <xf numFmtId="164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검색 품질 비교(Hit@3 · MRR)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Hit@3</c:v>
          </c:tx>
          <c:cat>
            <c:strRef>
              <c:f>summary!$B$1:$E$1</c:f>
              <c:strCache>
                <c:ptCount val="4"/>
                <c:pt idx="0">
                  <c:v>Dify(🟢 순위 입력)</c:v>
                </c:pt>
                <c:pt idx="1">
                  <c:v>Dify(🔵 r1~r5)</c:v>
                </c:pt>
                <c:pt idx="2">
                  <c:v>Gemini Notebook</c:v>
                </c:pt>
                <c:pt idx="3">
                  <c:v>앱 TF-IDF(run_app)</c:v>
                </c:pt>
              </c:strCache>
            </c:strRef>
          </c:cat>
          <c:val>
            <c:numRef>
              <c:f>summary!$B$2:$E$2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v>MRR</c:v>
          </c:tx>
          <c:cat>
            <c:strRef>
              <c:f>summary!$B$1:$E$1</c:f>
              <c:strCache>
                <c:ptCount val="4"/>
                <c:pt idx="0">
                  <c:v>Dify(🟢 순위 입력)</c:v>
                </c:pt>
                <c:pt idx="1">
                  <c:v>Dify(🔵 r1~r5)</c:v>
                </c:pt>
                <c:pt idx="2">
                  <c:v>Gemini Notebook</c:v>
                </c:pt>
                <c:pt idx="3">
                  <c:v>앱 TF-IDF(run_app)</c:v>
                </c:pt>
              </c:strCache>
            </c:strRef>
          </c:cat>
          <c:val>
            <c:numRef>
              <c:f>summary!$B$3:$E$3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"/>
          <c:min val="0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F1@K — K별 비교(Top-K 선택)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Dify(🔵 r1~r5)</c:v>
          </c:tx>
          <c:spPr>
            <a:solidFill>
              <a:srgbClr val="4472C4"/>
            </a:solidFill>
          </c:spPr>
          <c:dLbls>
            <c:numFmt formatCode="0.00" sourceLinked="0"/>
            <c:showVal val="1"/>
          </c:dLbls>
          <c:cat>
            <c:numRef>
              <c:f>summary!$A$24:$A$26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5</c:v>
                </c:pt>
              </c:numCache>
            </c:numRef>
          </c:cat>
          <c:val>
            <c:numRef>
              <c:f>summary!$D$24:$D$26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v>앱 TF-IDF(run_app)</c:v>
          </c:tx>
          <c:spPr>
            <a:solidFill>
              <a:srgbClr val="A5A5A5"/>
            </a:solidFill>
          </c:spPr>
          <c:dLbls>
            <c:numFmt formatCode="0.00" sourceLinked="0"/>
            <c:showVal val="1"/>
          </c:dLbls>
          <c:cat>
            <c:numRef>
              <c:f>summary!$A$31:$A$33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5</c:v>
                </c:pt>
              </c:numCache>
            </c:numRef>
          </c:cat>
          <c:val>
            <c:numRef>
              <c:f>summary!$D$31:$D$33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K(상위 몇 개를 근거로 쓰나)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"/>
          <c:min val="0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P@K · R@K · F1@K — Dify(🔵) K별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P@K</c:v>
          </c:tx>
          <c:spPr>
            <a:solidFill>
              <a:srgbClr val="ED7D31"/>
            </a:solidFill>
          </c:spPr>
          <c:cat>
            <c:numRef>
              <c:f>summary!$A$24:$A$26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5</c:v>
                </c:pt>
              </c:numCache>
            </c:numRef>
          </c:cat>
          <c:val>
            <c:numRef>
              <c:f>summary!$B$24:$B$26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v>R@K</c:v>
          </c:tx>
          <c:spPr>
            <a:solidFill>
              <a:srgbClr val="70AD47"/>
            </a:solidFill>
          </c:spPr>
          <c:cat>
            <c:numRef>
              <c:f>summary!$A$24:$A$26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5</c:v>
                </c:pt>
              </c:numCache>
            </c:numRef>
          </c:cat>
          <c:val>
            <c:numRef>
              <c:f>summary!$C$24:$C$26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v>F1@K</c:v>
          </c:tx>
          <c:spPr>
            <a:solidFill>
              <a:srgbClr val="4472C4"/>
            </a:solidFill>
          </c:spPr>
          <c:cat>
            <c:numRef>
              <c:f>summary!$A$24:$A$26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5</c:v>
                </c:pt>
              </c:numCache>
            </c:numRef>
          </c:cat>
          <c:val>
            <c:numRef>
              <c:f>summary!$D$24:$D$26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1"/>
          <c:min val="0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16</xdr:col>
      <xdr:colOff>457200</xdr:colOff>
      <xdr:row>16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16</xdr:col>
      <xdr:colOff>457200</xdr:colOff>
      <xdr:row>33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35</xdr:row>
      <xdr:rowOff>0</xdr:rowOff>
    </xdr:from>
    <xdr:to>
      <xdr:col>16</xdr:col>
      <xdr:colOff>457200</xdr:colOff>
      <xdr:row>49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tabSelected="1" workbookViewId="0"/>
  </sheetViews>
  <sheetFormatPr defaultRowHeight="15"/>
  <cols>
    <col min="1" max="1" width="160.7109375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6.7109375" customWidth="1"/>
    <col min="2" max="2" width="46.7109375" customWidth="1"/>
    <col min="3" max="3" width="7.7109375" customWidth="1"/>
    <col min="4" max="4" width="8.7109375" customWidth="1"/>
    <col min="5" max="5" width="26.7109375" customWidth="1"/>
    <col min="6" max="6" width="22.7109375" customWidth="1"/>
    <col min="7" max="7" width="30.7109375" customWidth="1"/>
    <col min="8" max="8" width="34.7109375" customWidth="1"/>
    <col min="9" max="9" width="70.7109375" customWidth="1"/>
    <col min="10" max="10" width="30.7109375" customWidth="1"/>
  </cols>
  <sheetData>
    <row r="1" spans="1:10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</row>
    <row r="2" spans="1:10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</row>
    <row r="3" spans="1:10">
      <c r="A3" s="2" t="s">
        <v>29</v>
      </c>
      <c r="B3" s="2" t="s">
        <v>30</v>
      </c>
      <c r="C3" s="2" t="s">
        <v>31</v>
      </c>
      <c r="D3" s="2" t="s">
        <v>23</v>
      </c>
      <c r="E3" s="2" t="s">
        <v>32</v>
      </c>
      <c r="F3" s="2" t="s">
        <v>33</v>
      </c>
      <c r="G3" s="2" t="s">
        <v>25</v>
      </c>
      <c r="H3" s="2" t="s">
        <v>34</v>
      </c>
      <c r="I3" s="2" t="s">
        <v>35</v>
      </c>
      <c r="J3" s="2" t="s">
        <v>36</v>
      </c>
    </row>
    <row r="4" spans="1:10">
      <c r="A4" s="2" t="s">
        <v>37</v>
      </c>
      <c r="B4" s="2" t="s">
        <v>38</v>
      </c>
      <c r="C4" s="2" t="s">
        <v>39</v>
      </c>
      <c r="D4" s="2" t="s">
        <v>23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</row>
    <row r="5" spans="1:10">
      <c r="A5" s="2" t="s">
        <v>46</v>
      </c>
      <c r="B5" s="2" t="s">
        <v>47</v>
      </c>
      <c r="C5" s="2" t="s">
        <v>39</v>
      </c>
      <c r="D5" s="2" t="s">
        <v>23</v>
      </c>
      <c r="E5" s="2" t="s">
        <v>48</v>
      </c>
      <c r="F5" s="2" t="s">
        <v>49</v>
      </c>
      <c r="G5" s="2" t="s">
        <v>25</v>
      </c>
      <c r="H5" s="2" t="s">
        <v>50</v>
      </c>
      <c r="I5" s="2" t="s">
        <v>51</v>
      </c>
      <c r="J5" s="2" t="s">
        <v>52</v>
      </c>
    </row>
    <row r="6" spans="1:10">
      <c r="A6" s="2" t="s">
        <v>53</v>
      </c>
      <c r="B6" s="2" t="s">
        <v>54</v>
      </c>
      <c r="C6" s="2" t="s">
        <v>39</v>
      </c>
      <c r="D6" s="2" t="s">
        <v>23</v>
      </c>
      <c r="E6" s="2" t="s">
        <v>55</v>
      </c>
      <c r="F6" s="2" t="s">
        <v>56</v>
      </c>
      <c r="G6" s="2" t="s">
        <v>25</v>
      </c>
      <c r="H6" s="2" t="s">
        <v>57</v>
      </c>
      <c r="I6" s="2" t="s">
        <v>58</v>
      </c>
      <c r="J6" s="2" t="s">
        <v>59</v>
      </c>
    </row>
    <row r="7" spans="1:10">
      <c r="A7" s="2" t="s">
        <v>60</v>
      </c>
      <c r="B7" s="2" t="s">
        <v>61</v>
      </c>
      <c r="C7" s="2" t="s">
        <v>39</v>
      </c>
      <c r="D7" s="2" t="s">
        <v>23</v>
      </c>
      <c r="E7" s="2" t="s">
        <v>55</v>
      </c>
      <c r="F7" s="2" t="s">
        <v>56</v>
      </c>
      <c r="G7" s="2" t="s">
        <v>25</v>
      </c>
      <c r="H7" s="2" t="s">
        <v>62</v>
      </c>
      <c r="I7" s="2" t="s">
        <v>63</v>
      </c>
      <c r="J7" s="2" t="s">
        <v>64</v>
      </c>
    </row>
    <row r="8" spans="1:10">
      <c r="A8" s="2" t="s">
        <v>65</v>
      </c>
      <c r="B8" s="2" t="s">
        <v>66</v>
      </c>
      <c r="C8" s="2" t="s">
        <v>67</v>
      </c>
      <c r="D8" s="2" t="s">
        <v>67</v>
      </c>
      <c r="E8" s="2" t="s">
        <v>68</v>
      </c>
      <c r="F8" s="2" t="s">
        <v>69</v>
      </c>
      <c r="G8" s="2" t="s">
        <v>70</v>
      </c>
      <c r="H8" s="2" t="s">
        <v>71</v>
      </c>
      <c r="I8" s="2" t="s">
        <v>72</v>
      </c>
      <c r="J8" s="2" t="s">
        <v>73</v>
      </c>
    </row>
    <row r="9" spans="1:10">
      <c r="A9" s="2" t="s">
        <v>74</v>
      </c>
      <c r="B9" s="2" t="s">
        <v>75</v>
      </c>
      <c r="C9" s="2" t="s">
        <v>67</v>
      </c>
      <c r="D9" s="2" t="s">
        <v>67</v>
      </c>
      <c r="E9" s="2" t="s">
        <v>76</v>
      </c>
      <c r="F9" s="2" t="s">
        <v>77</v>
      </c>
      <c r="G9" s="2" t="s">
        <v>70</v>
      </c>
      <c r="H9" s="2" t="s">
        <v>78</v>
      </c>
      <c r="I9" s="2" t="s">
        <v>79</v>
      </c>
      <c r="J9" s="2" t="s">
        <v>80</v>
      </c>
    </row>
    <row r="10" spans="1:10">
      <c r="A10" s="2" t="s">
        <v>81</v>
      </c>
      <c r="B10" s="2" t="s">
        <v>82</v>
      </c>
      <c r="C10" s="2" t="s">
        <v>39</v>
      </c>
      <c r="D10" s="2" t="s">
        <v>23</v>
      </c>
      <c r="E10" s="2" t="s">
        <v>83</v>
      </c>
      <c r="F10" s="2" t="s">
        <v>84</v>
      </c>
      <c r="G10" s="2" t="s">
        <v>42</v>
      </c>
      <c r="H10" s="2" t="s">
        <v>85</v>
      </c>
      <c r="I10" s="2" t="s">
        <v>86</v>
      </c>
      <c r="J10" s="2" t="s">
        <v>87</v>
      </c>
    </row>
    <row r="11" spans="1:10">
      <c r="A11" s="2" t="s">
        <v>88</v>
      </c>
      <c r="B11" s="2" t="s">
        <v>89</v>
      </c>
      <c r="C11" s="2" t="s">
        <v>22</v>
      </c>
      <c r="D11" s="2" t="s">
        <v>23</v>
      </c>
      <c r="E11" s="2" t="s">
        <v>90</v>
      </c>
      <c r="F11" s="2" t="s">
        <v>90</v>
      </c>
      <c r="G11" s="2" t="s">
        <v>25</v>
      </c>
      <c r="H11" s="2" t="s">
        <v>91</v>
      </c>
      <c r="I11" s="2" t="s">
        <v>92</v>
      </c>
      <c r="J11" s="2" t="s">
        <v>93</v>
      </c>
    </row>
    <row r="12" spans="1:10">
      <c r="A12" s="2" t="s">
        <v>94</v>
      </c>
      <c r="B12" s="2" t="s">
        <v>95</v>
      </c>
      <c r="C12" s="2" t="s">
        <v>22</v>
      </c>
      <c r="D12" s="2" t="s">
        <v>23</v>
      </c>
      <c r="E12" s="2" t="s">
        <v>96</v>
      </c>
      <c r="F12" s="2" t="s">
        <v>97</v>
      </c>
      <c r="G12" s="2" t="s">
        <v>25</v>
      </c>
      <c r="H12" s="2" t="s">
        <v>98</v>
      </c>
      <c r="I12" s="2" t="s">
        <v>99</v>
      </c>
      <c r="J12" s="2" t="s">
        <v>100</v>
      </c>
    </row>
    <row r="13" spans="1:10">
      <c r="A13" s="2" t="s">
        <v>101</v>
      </c>
      <c r="B13" s="2" t="s">
        <v>102</v>
      </c>
      <c r="C13" s="2" t="s">
        <v>22</v>
      </c>
      <c r="D13" s="2" t="s">
        <v>23</v>
      </c>
      <c r="E13" s="2" t="s">
        <v>103</v>
      </c>
      <c r="F13" s="2" t="s">
        <v>103</v>
      </c>
      <c r="G13" s="2" t="s">
        <v>25</v>
      </c>
      <c r="H13" s="2" t="s">
        <v>104</v>
      </c>
      <c r="I13" s="2" t="s">
        <v>105</v>
      </c>
      <c r="J13" s="2" t="s">
        <v>106</v>
      </c>
    </row>
    <row r="14" spans="1:10">
      <c r="A14" s="2" t="s">
        <v>107</v>
      </c>
      <c r="B14" s="2" t="s">
        <v>108</v>
      </c>
      <c r="C14" s="2" t="s">
        <v>31</v>
      </c>
      <c r="D14" s="2" t="s">
        <v>23</v>
      </c>
      <c r="E14" s="2" t="s">
        <v>109</v>
      </c>
      <c r="F14" s="2" t="s">
        <v>110</v>
      </c>
      <c r="G14" s="2" t="s">
        <v>42</v>
      </c>
      <c r="H14" s="2" t="s">
        <v>111</v>
      </c>
      <c r="I14" s="2" t="s">
        <v>112</v>
      </c>
      <c r="J14" s="2" t="s">
        <v>113</v>
      </c>
    </row>
    <row r="15" spans="1:10">
      <c r="A15" s="2" t="s">
        <v>114</v>
      </c>
      <c r="B15" s="2" t="s">
        <v>115</v>
      </c>
      <c r="C15" s="2" t="s">
        <v>39</v>
      </c>
      <c r="D15" s="2" t="s">
        <v>23</v>
      </c>
      <c r="E15" s="2" t="s">
        <v>116</v>
      </c>
      <c r="F15" s="2" t="s">
        <v>117</v>
      </c>
      <c r="G15" s="2" t="s">
        <v>42</v>
      </c>
      <c r="H15" s="2" t="s">
        <v>118</v>
      </c>
      <c r="I15" s="2" t="s">
        <v>119</v>
      </c>
      <c r="J15" s="2" t="s">
        <v>120</v>
      </c>
    </row>
    <row r="16" spans="1:10">
      <c r="A16" s="2" t="s">
        <v>121</v>
      </c>
      <c r="B16" s="2" t="s">
        <v>122</v>
      </c>
      <c r="C16" s="2" t="s">
        <v>31</v>
      </c>
      <c r="D16" s="2" t="s">
        <v>23</v>
      </c>
      <c r="E16" s="2" t="s">
        <v>123</v>
      </c>
      <c r="F16" s="2" t="s">
        <v>124</v>
      </c>
      <c r="G16" s="2" t="s">
        <v>125</v>
      </c>
      <c r="H16" s="2" t="s">
        <v>126</v>
      </c>
      <c r="I16" s="2" t="s">
        <v>127</v>
      </c>
      <c r="J16" s="2" t="s">
        <v>128</v>
      </c>
    </row>
    <row r="17" spans="1:10">
      <c r="A17" s="2" t="s">
        <v>129</v>
      </c>
      <c r="B17" s="2" t="s">
        <v>130</v>
      </c>
      <c r="C17" s="2" t="s">
        <v>22</v>
      </c>
      <c r="D17" s="2" t="s">
        <v>23</v>
      </c>
      <c r="E17" s="2" t="s">
        <v>131</v>
      </c>
      <c r="F17" s="2" t="s">
        <v>132</v>
      </c>
      <c r="G17" s="2" t="s">
        <v>125</v>
      </c>
      <c r="H17" s="2" t="s">
        <v>133</v>
      </c>
      <c r="I17" s="2" t="s">
        <v>134</v>
      </c>
      <c r="J17" s="2" t="s">
        <v>135</v>
      </c>
    </row>
    <row r="18" spans="1:10">
      <c r="A18" s="2" t="s">
        <v>136</v>
      </c>
      <c r="B18" s="2" t="s">
        <v>137</v>
      </c>
      <c r="C18" s="2" t="s">
        <v>31</v>
      </c>
      <c r="D18" s="2" t="s">
        <v>23</v>
      </c>
      <c r="E18" s="2" t="s">
        <v>138</v>
      </c>
      <c r="F18" s="2" t="s">
        <v>139</v>
      </c>
      <c r="G18" s="2" t="s">
        <v>140</v>
      </c>
      <c r="H18" s="2" t="s">
        <v>141</v>
      </c>
      <c r="I18" s="2" t="s">
        <v>142</v>
      </c>
      <c r="J18" s="2" t="s">
        <v>143</v>
      </c>
    </row>
    <row r="19" spans="1:10">
      <c r="A19" s="2" t="s">
        <v>144</v>
      </c>
      <c r="B19" s="2" t="s">
        <v>145</v>
      </c>
      <c r="C19" s="2" t="s">
        <v>22</v>
      </c>
      <c r="D19" s="2" t="s">
        <v>23</v>
      </c>
      <c r="E19" s="2" t="s">
        <v>146</v>
      </c>
      <c r="F19" s="2" t="s">
        <v>139</v>
      </c>
      <c r="G19" s="2" t="s">
        <v>140</v>
      </c>
      <c r="H19" s="2" t="s">
        <v>147</v>
      </c>
      <c r="I19" s="2" t="s">
        <v>148</v>
      </c>
      <c r="J19" s="2" t="s">
        <v>149</v>
      </c>
    </row>
    <row r="20" spans="1:10">
      <c r="A20" s="2" t="s">
        <v>150</v>
      </c>
      <c r="B20" s="2" t="s">
        <v>151</v>
      </c>
      <c r="C20" s="2" t="s">
        <v>152</v>
      </c>
      <c r="D20" s="2" t="s">
        <v>153</v>
      </c>
      <c r="E20" s="2" t="s">
        <v>154</v>
      </c>
      <c r="F20" s="2" t="s">
        <v>154</v>
      </c>
      <c r="G20" s="2" t="s">
        <v>155</v>
      </c>
      <c r="H20" s="2" t="s">
        <v>156</v>
      </c>
      <c r="I20" s="2" t="s">
        <v>157</v>
      </c>
      <c r="J20" s="2" t="s">
        <v>158</v>
      </c>
    </row>
    <row r="21" spans="1:10">
      <c r="A21" s="2" t="s">
        <v>159</v>
      </c>
      <c r="B21" s="2" t="s">
        <v>160</v>
      </c>
      <c r="C21" s="2" t="s">
        <v>152</v>
      </c>
      <c r="D21" s="2" t="s">
        <v>153</v>
      </c>
      <c r="E21" s="2" t="s">
        <v>154</v>
      </c>
      <c r="F21" s="2" t="s">
        <v>154</v>
      </c>
      <c r="G21" s="2" t="s">
        <v>155</v>
      </c>
      <c r="H21" s="2" t="s">
        <v>156</v>
      </c>
      <c r="I21" s="2" t="s">
        <v>161</v>
      </c>
      <c r="J21" s="2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2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6.7109375" customWidth="1"/>
    <col min="2" max="2" width="44.7109375" customWidth="1"/>
    <col min="3" max="4" width="12.7109375" customWidth="1"/>
    <col min="5" max="5" width="7.7109375" customWidth="1"/>
    <col min="6" max="6" width="9.7109375" customWidth="1"/>
    <col min="7" max="8" width="8.7109375" customWidth="1"/>
    <col min="9" max="14" width="9.7109375" customWidth="1"/>
    <col min="15" max="15" width="8.7109375" customWidth="1"/>
    <col min="16" max="21" width="9.7109375" customWidth="1"/>
    <col min="22" max="30" width="8.7109375" customWidth="1"/>
    <col min="31" max="31" width="60.7109375" customWidth="1"/>
    <col min="32" max="32" width="30.7109375" customWidth="1"/>
  </cols>
  <sheetData>
    <row r="1" spans="1:32">
      <c r="A1" s="3" t="s">
        <v>10</v>
      </c>
      <c r="B1" s="3" t="s">
        <v>11</v>
      </c>
      <c r="C1" s="3" t="s">
        <v>162</v>
      </c>
      <c r="D1" s="3" t="s">
        <v>163</v>
      </c>
      <c r="E1" s="3" t="s">
        <v>12</v>
      </c>
      <c r="F1" s="3" t="s">
        <v>164</v>
      </c>
      <c r="G1" s="3" t="s">
        <v>165</v>
      </c>
      <c r="H1" s="3" t="s">
        <v>166</v>
      </c>
      <c r="I1" s="3" t="s">
        <v>167</v>
      </c>
      <c r="J1" s="3" t="s">
        <v>168</v>
      </c>
      <c r="K1" s="3" t="s">
        <v>169</v>
      </c>
      <c r="L1" s="3" t="s">
        <v>170</v>
      </c>
      <c r="M1" s="3" t="s">
        <v>171</v>
      </c>
      <c r="N1" s="3" t="s">
        <v>172</v>
      </c>
      <c r="O1" s="3" t="s">
        <v>173</v>
      </c>
      <c r="P1" s="3" t="s">
        <v>174</v>
      </c>
      <c r="Q1" s="3" t="s">
        <v>175</v>
      </c>
      <c r="R1" s="3" t="s">
        <v>176</v>
      </c>
      <c r="S1" s="3" t="s">
        <v>177</v>
      </c>
      <c r="T1" s="3" t="s">
        <v>178</v>
      </c>
      <c r="U1" s="3" t="s">
        <v>179</v>
      </c>
      <c r="V1" s="3" t="s">
        <v>180</v>
      </c>
      <c r="W1" s="3" t="s">
        <v>181</v>
      </c>
      <c r="X1" s="3" t="s">
        <v>182</v>
      </c>
      <c r="Y1" s="3" t="s">
        <v>183</v>
      </c>
      <c r="Z1" s="3" t="s">
        <v>184</v>
      </c>
      <c r="AA1" s="3" t="s">
        <v>185</v>
      </c>
      <c r="AB1" s="3" t="s">
        <v>186</v>
      </c>
      <c r="AC1" s="3" t="s">
        <v>187</v>
      </c>
      <c r="AD1" s="3" t="s">
        <v>188</v>
      </c>
      <c r="AE1" s="3" t="s">
        <v>18</v>
      </c>
      <c r="AF1" s="3" t="s">
        <v>189</v>
      </c>
    </row>
    <row r="2" spans="1:32">
      <c r="A2" t="s">
        <v>20</v>
      </c>
      <c r="B2" s="2" t="s">
        <v>21</v>
      </c>
      <c r="C2" t="s">
        <v>24</v>
      </c>
      <c r="E2" t="s">
        <v>23</v>
      </c>
      <c r="F2" s="4"/>
      <c r="G2" s="5">
        <f>IF(E2="함정","",IF(F2="","",IF(AND(F2&gt;=1,F2&lt;=3),1,0)))</f>
        <v/>
      </c>
      <c r="H2" s="5">
        <f>IF(E2="함정","",IF(F2="","",IF(F2=0,0,1/F2)))</f>
        <v/>
      </c>
      <c r="I2" s="4"/>
      <c r="J2" s="4"/>
      <c r="K2" s="4"/>
      <c r="L2" s="4"/>
      <c r="M2" s="4"/>
      <c r="N2" s="5">
        <f>IF(E2="함정","",IF(COUNTA(I2:M2)=0,"",IF(COUNTIF(I2:K2,C2)+IF(D2="",0,COUNTIF(I2:K2,D2))&gt;0,1,0)))</f>
        <v/>
      </c>
      <c r="O2" s="5">
        <f>IF(E2="함정","",IF(COUNTA(I2:M2)=0,"",MAX(IFERROR(1/MATCH(C2,I2:M2,0),0),IF(D2="",0,IFERROR(1/MATCH(D2,I2:M2,0),0)))))</f>
        <v/>
      </c>
      <c r="P2" s="4"/>
      <c r="Q2" s="4"/>
      <c r="R2" s="4"/>
      <c r="S2" s="4"/>
      <c r="T2" s="4"/>
      <c r="U2" s="4"/>
      <c r="V2" s="5">
        <f>IF(E2="함정","",IF(COUNTA(I2:M2)=0,"",(COUNTIF(I2:I2,C2)+IF(D2="",0,COUNTIF(I2:I2,D2)))/1))</f>
        <v/>
      </c>
      <c r="W2" s="5">
        <f>IF(E2="함정","",IF(COUNTA(I2:M2)=0,"",(COUNTIF(I2:I2,C2)+IF(D2="",0,COUNTIF(I2:I2,D2)))/IF(D2="",1,2)))</f>
        <v/>
      </c>
      <c r="X2" s="5">
        <f>IF(E2="함정","",IF(COUNTA(I2:M2)=0,"",IF(V2+W2=0,0,2*V2*W2/(V2+W2))))</f>
        <v/>
      </c>
      <c r="Y2" s="5">
        <f>IF(E2="함정","",IF(COUNTA(I2:M2)=0,"",(COUNTIF(I2:K2,C2)+IF(D2="",0,COUNTIF(I2:K2,D2)))/3))</f>
        <v/>
      </c>
      <c r="Z2" s="5">
        <f>IF(E2="함정","",IF(COUNTA(I2:M2)=0,"",(COUNTIF(I2:K2,C2)+IF(D2="",0,COUNTIF(I2:K2,D2)))/IF(D2="",1,2)))</f>
        <v/>
      </c>
      <c r="AA2" s="5">
        <f>IF(E2="함정","",IF(COUNTA(I2:M2)=0,"",IF(Y2+Z2=0,0,2*Y2*Z2/(Y2+Z2))))</f>
        <v/>
      </c>
      <c r="AB2" s="5">
        <f>IF(E2="함정","",IF(COUNTA(I2:M2)=0,"",(COUNTIF(I2:M2,C2)+IF(D2="",0,COUNTIF(I2:M2,D2)))/5))</f>
        <v/>
      </c>
      <c r="AC2" s="5">
        <f>IF(E2="함정","",IF(COUNTA(I2:M2)=0,"",(COUNTIF(I2:M2,C2)+IF(D2="",0,COUNTIF(I2:M2,D2)))/IF(D2="",1,2)))</f>
        <v/>
      </c>
      <c r="AD2" s="5">
        <f>IF(E2="함정","",IF(COUNTA(I2:M2)=0,"",IF(AB2+AC2=0,0,2*AB2*AC2/(AB2+AC2))))</f>
        <v/>
      </c>
      <c r="AE2" s="2" t="s">
        <v>27</v>
      </c>
      <c r="AF2" s="4"/>
    </row>
    <row r="3" spans="1:32">
      <c r="A3" t="s">
        <v>29</v>
      </c>
      <c r="B3" s="2" t="s">
        <v>30</v>
      </c>
      <c r="C3" t="s">
        <v>33</v>
      </c>
      <c r="E3" t="s">
        <v>23</v>
      </c>
      <c r="F3" s="4"/>
      <c r="G3" s="5">
        <f>IF(E3="함정","",IF(F3="","",IF(AND(F3&gt;=1,F3&lt;=3),1,0)))</f>
        <v/>
      </c>
      <c r="H3" s="5">
        <f>IF(E3="함정","",IF(F3="","",IF(F3=0,0,1/F3)))</f>
        <v/>
      </c>
      <c r="I3" s="4"/>
      <c r="J3" s="4"/>
      <c r="K3" s="4"/>
      <c r="L3" s="4"/>
      <c r="M3" s="4"/>
      <c r="N3" s="5">
        <f>IF(E3="함정","",IF(COUNTA(I3:M3)=0,"",IF(COUNTIF(I3:K3,C3)+IF(D3="",0,COUNTIF(I3:K3,D3))&gt;0,1,0)))</f>
        <v/>
      </c>
      <c r="O3" s="5">
        <f>IF(E3="함정","",IF(COUNTA(I3:M3)=0,"",MAX(IFERROR(1/MATCH(C3,I3:M3,0),0),IF(D3="",0,IFERROR(1/MATCH(D3,I3:M3,0),0)))))</f>
        <v/>
      </c>
      <c r="P3" s="4"/>
      <c r="Q3" s="4"/>
      <c r="R3" s="4"/>
      <c r="S3" s="4"/>
      <c r="T3" s="4"/>
      <c r="U3" s="4"/>
      <c r="V3" s="5">
        <f>IF(E3="함정","",IF(COUNTA(I3:M3)=0,"",(COUNTIF(I3:I3,C3)+IF(D3="",0,COUNTIF(I3:I3,D3)))/1))</f>
        <v/>
      </c>
      <c r="W3" s="5">
        <f>IF(E3="함정","",IF(COUNTA(I3:M3)=0,"",(COUNTIF(I3:I3,C3)+IF(D3="",0,COUNTIF(I3:I3,D3)))/IF(D3="",1,2)))</f>
        <v/>
      </c>
      <c r="X3" s="5">
        <f>IF(E3="함정","",IF(COUNTA(I3:M3)=0,"",IF(V3+W3=0,0,2*V3*W3/(V3+W3))))</f>
        <v/>
      </c>
      <c r="Y3" s="5">
        <f>IF(E3="함정","",IF(COUNTA(I3:M3)=0,"",(COUNTIF(I3:K3,C3)+IF(D3="",0,COUNTIF(I3:K3,D3)))/3))</f>
        <v/>
      </c>
      <c r="Z3" s="5">
        <f>IF(E3="함정","",IF(COUNTA(I3:M3)=0,"",(COUNTIF(I3:K3,C3)+IF(D3="",0,COUNTIF(I3:K3,D3)))/IF(D3="",1,2)))</f>
        <v/>
      </c>
      <c r="AA3" s="5">
        <f>IF(E3="함정","",IF(COUNTA(I3:M3)=0,"",IF(Y3+Z3=0,0,2*Y3*Z3/(Y3+Z3))))</f>
        <v/>
      </c>
      <c r="AB3" s="5">
        <f>IF(E3="함정","",IF(COUNTA(I3:M3)=0,"",(COUNTIF(I3:M3,C3)+IF(D3="",0,COUNTIF(I3:M3,D3)))/5))</f>
        <v/>
      </c>
      <c r="AC3" s="5">
        <f>IF(E3="함정","",IF(COUNTA(I3:M3)=0,"",(COUNTIF(I3:M3,C3)+IF(D3="",0,COUNTIF(I3:M3,D3)))/IF(D3="",1,2)))</f>
        <v/>
      </c>
      <c r="AD3" s="5">
        <f>IF(E3="함정","",IF(COUNTA(I3:M3)=0,"",IF(AB3+AC3=0,0,2*AB3*AC3/(AB3+AC3))))</f>
        <v/>
      </c>
      <c r="AE3" s="2" t="s">
        <v>35</v>
      </c>
      <c r="AF3" s="4"/>
    </row>
    <row r="4" spans="1:32">
      <c r="A4" t="s">
        <v>37</v>
      </c>
      <c r="B4" s="2" t="s">
        <v>38</v>
      </c>
      <c r="C4" t="s">
        <v>190</v>
      </c>
      <c r="D4" t="s">
        <v>191</v>
      </c>
      <c r="E4" t="s">
        <v>23</v>
      </c>
      <c r="F4" s="4"/>
      <c r="G4" s="5">
        <f>IF(E4="함정","",IF(F4="","",IF(AND(F4&gt;=1,F4&lt;=3),1,0)))</f>
        <v/>
      </c>
      <c r="H4" s="5">
        <f>IF(E4="함정","",IF(F4="","",IF(F4=0,0,1/F4)))</f>
        <v/>
      </c>
      <c r="I4" s="4"/>
      <c r="J4" s="4"/>
      <c r="K4" s="4"/>
      <c r="L4" s="4"/>
      <c r="M4" s="4"/>
      <c r="N4" s="5">
        <f>IF(E4="함정","",IF(COUNTA(I4:M4)=0,"",IF(COUNTIF(I4:K4,C4)+IF(D4="",0,COUNTIF(I4:K4,D4))&gt;0,1,0)))</f>
        <v/>
      </c>
      <c r="O4" s="5">
        <f>IF(E4="함정","",IF(COUNTA(I4:M4)=0,"",MAX(IFERROR(1/MATCH(C4,I4:M4,0),0),IF(D4="",0,IFERROR(1/MATCH(D4,I4:M4,0),0)))))</f>
        <v/>
      </c>
      <c r="P4" s="4"/>
      <c r="Q4" s="4"/>
      <c r="R4" s="4"/>
      <c r="S4" s="4"/>
      <c r="T4" s="4"/>
      <c r="U4" s="4"/>
      <c r="V4" s="5">
        <f>IF(E4="함정","",IF(COUNTA(I4:M4)=0,"",(COUNTIF(I4:I4,C4)+IF(D4="",0,COUNTIF(I4:I4,D4)))/1))</f>
        <v/>
      </c>
      <c r="W4" s="5">
        <f>IF(E4="함정","",IF(COUNTA(I4:M4)=0,"",(COUNTIF(I4:I4,C4)+IF(D4="",0,COUNTIF(I4:I4,D4)))/IF(D4="",1,2)))</f>
        <v/>
      </c>
      <c r="X4" s="5">
        <f>IF(E4="함정","",IF(COUNTA(I4:M4)=0,"",IF(V4+W4=0,0,2*V4*W4/(V4+W4))))</f>
        <v/>
      </c>
      <c r="Y4" s="5">
        <f>IF(E4="함정","",IF(COUNTA(I4:M4)=0,"",(COUNTIF(I4:K4,C4)+IF(D4="",0,COUNTIF(I4:K4,D4)))/3))</f>
        <v/>
      </c>
      <c r="Z4" s="5">
        <f>IF(E4="함정","",IF(COUNTA(I4:M4)=0,"",(COUNTIF(I4:K4,C4)+IF(D4="",0,COUNTIF(I4:K4,D4)))/IF(D4="",1,2)))</f>
        <v/>
      </c>
      <c r="AA4" s="5">
        <f>IF(E4="함정","",IF(COUNTA(I4:M4)=0,"",IF(Y4+Z4=0,0,2*Y4*Z4/(Y4+Z4))))</f>
        <v/>
      </c>
      <c r="AB4" s="5">
        <f>IF(E4="함정","",IF(COUNTA(I4:M4)=0,"",(COUNTIF(I4:M4,C4)+IF(D4="",0,COUNTIF(I4:M4,D4)))/5))</f>
        <v/>
      </c>
      <c r="AC4" s="5">
        <f>IF(E4="함정","",IF(COUNTA(I4:M4)=0,"",(COUNTIF(I4:M4,C4)+IF(D4="",0,COUNTIF(I4:M4,D4)))/IF(D4="",1,2)))</f>
        <v/>
      </c>
      <c r="AD4" s="5">
        <f>IF(E4="함정","",IF(COUNTA(I4:M4)=0,"",IF(AB4+AC4=0,0,2*AB4*AC4/(AB4+AC4))))</f>
        <v/>
      </c>
      <c r="AE4" s="2" t="s">
        <v>44</v>
      </c>
      <c r="AF4" s="4"/>
    </row>
    <row r="5" spans="1:32">
      <c r="A5" t="s">
        <v>46</v>
      </c>
      <c r="B5" s="2" t="s">
        <v>47</v>
      </c>
      <c r="C5" t="s">
        <v>190</v>
      </c>
      <c r="D5" t="s">
        <v>56</v>
      </c>
      <c r="E5" t="s">
        <v>23</v>
      </c>
      <c r="F5" s="4"/>
      <c r="G5" s="5">
        <f>IF(E5="함정","",IF(F5="","",IF(AND(F5&gt;=1,F5&lt;=3),1,0)))</f>
        <v/>
      </c>
      <c r="H5" s="5">
        <f>IF(E5="함정","",IF(F5="","",IF(F5=0,0,1/F5)))</f>
        <v/>
      </c>
      <c r="I5" s="4"/>
      <c r="J5" s="4"/>
      <c r="K5" s="4"/>
      <c r="L5" s="4"/>
      <c r="M5" s="4"/>
      <c r="N5" s="5">
        <f>IF(E5="함정","",IF(COUNTA(I5:M5)=0,"",IF(COUNTIF(I5:K5,C5)+IF(D5="",0,COUNTIF(I5:K5,D5))&gt;0,1,0)))</f>
        <v/>
      </c>
      <c r="O5" s="5">
        <f>IF(E5="함정","",IF(COUNTA(I5:M5)=0,"",MAX(IFERROR(1/MATCH(C5,I5:M5,0),0),IF(D5="",0,IFERROR(1/MATCH(D5,I5:M5,0),0)))))</f>
        <v/>
      </c>
      <c r="P5" s="4"/>
      <c r="Q5" s="4"/>
      <c r="R5" s="4"/>
      <c r="S5" s="4"/>
      <c r="T5" s="4"/>
      <c r="U5" s="4"/>
      <c r="V5" s="5">
        <f>IF(E5="함정","",IF(COUNTA(I5:M5)=0,"",(COUNTIF(I5:I5,C5)+IF(D5="",0,COUNTIF(I5:I5,D5)))/1))</f>
        <v/>
      </c>
      <c r="W5" s="5">
        <f>IF(E5="함정","",IF(COUNTA(I5:M5)=0,"",(COUNTIF(I5:I5,C5)+IF(D5="",0,COUNTIF(I5:I5,D5)))/IF(D5="",1,2)))</f>
        <v/>
      </c>
      <c r="X5" s="5">
        <f>IF(E5="함정","",IF(COUNTA(I5:M5)=0,"",IF(V5+W5=0,0,2*V5*W5/(V5+W5))))</f>
        <v/>
      </c>
      <c r="Y5" s="5">
        <f>IF(E5="함정","",IF(COUNTA(I5:M5)=0,"",(COUNTIF(I5:K5,C5)+IF(D5="",0,COUNTIF(I5:K5,D5)))/3))</f>
        <v/>
      </c>
      <c r="Z5" s="5">
        <f>IF(E5="함정","",IF(COUNTA(I5:M5)=0,"",(COUNTIF(I5:K5,C5)+IF(D5="",0,COUNTIF(I5:K5,D5)))/IF(D5="",1,2)))</f>
        <v/>
      </c>
      <c r="AA5" s="5">
        <f>IF(E5="함정","",IF(COUNTA(I5:M5)=0,"",IF(Y5+Z5=0,0,2*Y5*Z5/(Y5+Z5))))</f>
        <v/>
      </c>
      <c r="AB5" s="5">
        <f>IF(E5="함정","",IF(COUNTA(I5:M5)=0,"",(COUNTIF(I5:M5,C5)+IF(D5="",0,COUNTIF(I5:M5,D5)))/5))</f>
        <v/>
      </c>
      <c r="AC5" s="5">
        <f>IF(E5="함정","",IF(COUNTA(I5:M5)=0,"",(COUNTIF(I5:M5,C5)+IF(D5="",0,COUNTIF(I5:M5,D5)))/IF(D5="",1,2)))</f>
        <v/>
      </c>
      <c r="AD5" s="5">
        <f>IF(E5="함정","",IF(COUNTA(I5:M5)=0,"",IF(AB5+AC5=0,0,2*AB5*AC5/(AB5+AC5))))</f>
        <v/>
      </c>
      <c r="AE5" s="2" t="s">
        <v>51</v>
      </c>
      <c r="AF5" s="4"/>
    </row>
    <row r="6" spans="1:32">
      <c r="A6" t="s">
        <v>53</v>
      </c>
      <c r="B6" s="2" t="s">
        <v>54</v>
      </c>
      <c r="C6" t="s">
        <v>56</v>
      </c>
      <c r="E6" t="s">
        <v>23</v>
      </c>
      <c r="F6" s="4"/>
      <c r="G6" s="5">
        <f>IF(E6="함정","",IF(F6="","",IF(AND(F6&gt;=1,F6&lt;=3),1,0)))</f>
        <v/>
      </c>
      <c r="H6" s="5">
        <f>IF(E6="함정","",IF(F6="","",IF(F6=0,0,1/F6)))</f>
        <v/>
      </c>
      <c r="I6" s="4"/>
      <c r="J6" s="4"/>
      <c r="K6" s="4"/>
      <c r="L6" s="4"/>
      <c r="M6" s="4"/>
      <c r="N6" s="5">
        <f>IF(E6="함정","",IF(COUNTA(I6:M6)=0,"",IF(COUNTIF(I6:K6,C6)+IF(D6="",0,COUNTIF(I6:K6,D6))&gt;0,1,0)))</f>
        <v/>
      </c>
      <c r="O6" s="5">
        <f>IF(E6="함정","",IF(COUNTA(I6:M6)=0,"",MAX(IFERROR(1/MATCH(C6,I6:M6,0),0),IF(D6="",0,IFERROR(1/MATCH(D6,I6:M6,0),0)))))</f>
        <v/>
      </c>
      <c r="P6" s="4"/>
      <c r="Q6" s="4"/>
      <c r="R6" s="4"/>
      <c r="S6" s="4"/>
      <c r="T6" s="4"/>
      <c r="U6" s="4"/>
      <c r="V6" s="5">
        <f>IF(E6="함정","",IF(COUNTA(I6:M6)=0,"",(COUNTIF(I6:I6,C6)+IF(D6="",0,COUNTIF(I6:I6,D6)))/1))</f>
        <v/>
      </c>
      <c r="W6" s="5">
        <f>IF(E6="함정","",IF(COUNTA(I6:M6)=0,"",(COUNTIF(I6:I6,C6)+IF(D6="",0,COUNTIF(I6:I6,D6)))/IF(D6="",1,2)))</f>
        <v/>
      </c>
      <c r="X6" s="5">
        <f>IF(E6="함정","",IF(COUNTA(I6:M6)=0,"",IF(V6+W6=0,0,2*V6*W6/(V6+W6))))</f>
        <v/>
      </c>
      <c r="Y6" s="5">
        <f>IF(E6="함정","",IF(COUNTA(I6:M6)=0,"",(COUNTIF(I6:K6,C6)+IF(D6="",0,COUNTIF(I6:K6,D6)))/3))</f>
        <v/>
      </c>
      <c r="Z6" s="5">
        <f>IF(E6="함정","",IF(COUNTA(I6:M6)=0,"",(COUNTIF(I6:K6,C6)+IF(D6="",0,COUNTIF(I6:K6,D6)))/IF(D6="",1,2)))</f>
        <v/>
      </c>
      <c r="AA6" s="5">
        <f>IF(E6="함정","",IF(COUNTA(I6:M6)=0,"",IF(Y6+Z6=0,0,2*Y6*Z6/(Y6+Z6))))</f>
        <v/>
      </c>
      <c r="AB6" s="5">
        <f>IF(E6="함정","",IF(COUNTA(I6:M6)=0,"",(COUNTIF(I6:M6,C6)+IF(D6="",0,COUNTIF(I6:M6,D6)))/5))</f>
        <v/>
      </c>
      <c r="AC6" s="5">
        <f>IF(E6="함정","",IF(COUNTA(I6:M6)=0,"",(COUNTIF(I6:M6,C6)+IF(D6="",0,COUNTIF(I6:M6,D6)))/IF(D6="",1,2)))</f>
        <v/>
      </c>
      <c r="AD6" s="5">
        <f>IF(E6="함정","",IF(COUNTA(I6:M6)=0,"",IF(AB6+AC6=0,0,2*AB6*AC6/(AB6+AC6))))</f>
        <v/>
      </c>
      <c r="AE6" s="2" t="s">
        <v>58</v>
      </c>
      <c r="AF6" s="4"/>
    </row>
    <row r="7" spans="1:32">
      <c r="A7" t="s">
        <v>60</v>
      </c>
      <c r="B7" s="2" t="s">
        <v>61</v>
      </c>
      <c r="C7" t="s">
        <v>56</v>
      </c>
      <c r="E7" t="s">
        <v>23</v>
      </c>
      <c r="F7" s="4"/>
      <c r="G7" s="5">
        <f>IF(E7="함정","",IF(F7="","",IF(AND(F7&gt;=1,F7&lt;=3),1,0)))</f>
        <v/>
      </c>
      <c r="H7" s="5">
        <f>IF(E7="함정","",IF(F7="","",IF(F7=0,0,1/F7)))</f>
        <v/>
      </c>
      <c r="I7" s="4"/>
      <c r="J7" s="4"/>
      <c r="K7" s="4"/>
      <c r="L7" s="4"/>
      <c r="M7" s="4"/>
      <c r="N7" s="5">
        <f>IF(E7="함정","",IF(COUNTA(I7:M7)=0,"",IF(COUNTIF(I7:K7,C7)+IF(D7="",0,COUNTIF(I7:K7,D7))&gt;0,1,0)))</f>
        <v/>
      </c>
      <c r="O7" s="5">
        <f>IF(E7="함정","",IF(COUNTA(I7:M7)=0,"",MAX(IFERROR(1/MATCH(C7,I7:M7,0),0),IF(D7="",0,IFERROR(1/MATCH(D7,I7:M7,0),0)))))</f>
        <v/>
      </c>
      <c r="P7" s="4"/>
      <c r="Q7" s="4"/>
      <c r="R7" s="4"/>
      <c r="S7" s="4"/>
      <c r="T7" s="4"/>
      <c r="U7" s="4"/>
      <c r="V7" s="5">
        <f>IF(E7="함정","",IF(COUNTA(I7:M7)=0,"",(COUNTIF(I7:I7,C7)+IF(D7="",0,COUNTIF(I7:I7,D7)))/1))</f>
        <v/>
      </c>
      <c r="W7" s="5">
        <f>IF(E7="함정","",IF(COUNTA(I7:M7)=0,"",(COUNTIF(I7:I7,C7)+IF(D7="",0,COUNTIF(I7:I7,D7)))/IF(D7="",1,2)))</f>
        <v/>
      </c>
      <c r="X7" s="5">
        <f>IF(E7="함정","",IF(COUNTA(I7:M7)=0,"",IF(V7+W7=0,0,2*V7*W7/(V7+W7))))</f>
        <v/>
      </c>
      <c r="Y7" s="5">
        <f>IF(E7="함정","",IF(COUNTA(I7:M7)=0,"",(COUNTIF(I7:K7,C7)+IF(D7="",0,COUNTIF(I7:K7,D7)))/3))</f>
        <v/>
      </c>
      <c r="Z7" s="5">
        <f>IF(E7="함정","",IF(COUNTA(I7:M7)=0,"",(COUNTIF(I7:K7,C7)+IF(D7="",0,COUNTIF(I7:K7,D7)))/IF(D7="",1,2)))</f>
        <v/>
      </c>
      <c r="AA7" s="5">
        <f>IF(E7="함정","",IF(COUNTA(I7:M7)=0,"",IF(Y7+Z7=0,0,2*Y7*Z7/(Y7+Z7))))</f>
        <v/>
      </c>
      <c r="AB7" s="5">
        <f>IF(E7="함정","",IF(COUNTA(I7:M7)=0,"",(COUNTIF(I7:M7,C7)+IF(D7="",0,COUNTIF(I7:M7,D7)))/5))</f>
        <v/>
      </c>
      <c r="AC7" s="5">
        <f>IF(E7="함정","",IF(COUNTA(I7:M7)=0,"",(COUNTIF(I7:M7,C7)+IF(D7="",0,COUNTIF(I7:M7,D7)))/IF(D7="",1,2)))</f>
        <v/>
      </c>
      <c r="AD7" s="5">
        <f>IF(E7="함정","",IF(COUNTA(I7:M7)=0,"",IF(AB7+AC7=0,0,2*AB7*AC7/(AB7+AC7))))</f>
        <v/>
      </c>
      <c r="AE7" s="2" t="s">
        <v>63</v>
      </c>
      <c r="AF7" s="4"/>
    </row>
    <row r="8" spans="1:32">
      <c r="A8" t="s">
        <v>65</v>
      </c>
      <c r="B8" s="2" t="s">
        <v>66</v>
      </c>
      <c r="C8" t="s">
        <v>192</v>
      </c>
      <c r="D8" t="s">
        <v>56</v>
      </c>
      <c r="E8" t="s">
        <v>67</v>
      </c>
      <c r="F8" s="4"/>
      <c r="G8" s="5">
        <f>IF(E8="함정","",IF(F8="","",IF(AND(F8&gt;=1,F8&lt;=3),1,0)))</f>
        <v/>
      </c>
      <c r="H8" s="5">
        <f>IF(E8="함정","",IF(F8="","",IF(F8=0,0,1/F8)))</f>
        <v/>
      </c>
      <c r="I8" s="4"/>
      <c r="J8" s="4"/>
      <c r="K8" s="4"/>
      <c r="L8" s="4"/>
      <c r="M8" s="4"/>
      <c r="N8" s="5">
        <f>IF(E8="함정","",IF(COUNTA(I8:M8)=0,"",IF(COUNTIF(I8:K8,C8)+IF(D8="",0,COUNTIF(I8:K8,D8))&gt;0,1,0)))</f>
        <v/>
      </c>
      <c r="O8" s="5">
        <f>IF(E8="함정","",IF(COUNTA(I8:M8)=0,"",MAX(IFERROR(1/MATCH(C8,I8:M8,0),0),IF(D8="",0,IFERROR(1/MATCH(D8,I8:M8,0),0)))))</f>
        <v/>
      </c>
      <c r="P8" s="4"/>
      <c r="Q8" s="4"/>
      <c r="R8" s="4"/>
      <c r="S8" s="4"/>
      <c r="T8" s="4"/>
      <c r="U8" s="4"/>
      <c r="V8" s="5">
        <f>IF(E8="함정","",IF(COUNTA(I8:M8)=0,"",(COUNTIF(I8:I8,C8)+IF(D8="",0,COUNTIF(I8:I8,D8)))/1))</f>
        <v/>
      </c>
      <c r="W8" s="5">
        <f>IF(E8="함정","",IF(COUNTA(I8:M8)=0,"",(COUNTIF(I8:I8,C8)+IF(D8="",0,COUNTIF(I8:I8,D8)))/IF(D8="",1,2)))</f>
        <v/>
      </c>
      <c r="X8" s="5">
        <f>IF(E8="함정","",IF(COUNTA(I8:M8)=0,"",IF(V8+W8=0,0,2*V8*W8/(V8+W8))))</f>
        <v/>
      </c>
      <c r="Y8" s="5">
        <f>IF(E8="함정","",IF(COUNTA(I8:M8)=0,"",(COUNTIF(I8:K8,C8)+IF(D8="",0,COUNTIF(I8:K8,D8)))/3))</f>
        <v/>
      </c>
      <c r="Z8" s="5">
        <f>IF(E8="함정","",IF(COUNTA(I8:M8)=0,"",(COUNTIF(I8:K8,C8)+IF(D8="",0,COUNTIF(I8:K8,D8)))/IF(D8="",1,2)))</f>
        <v/>
      </c>
      <c r="AA8" s="5">
        <f>IF(E8="함정","",IF(COUNTA(I8:M8)=0,"",IF(Y8+Z8=0,0,2*Y8*Z8/(Y8+Z8))))</f>
        <v/>
      </c>
      <c r="AB8" s="5">
        <f>IF(E8="함정","",IF(COUNTA(I8:M8)=0,"",(COUNTIF(I8:M8,C8)+IF(D8="",0,COUNTIF(I8:M8,D8)))/5))</f>
        <v/>
      </c>
      <c r="AC8" s="5">
        <f>IF(E8="함정","",IF(COUNTA(I8:M8)=0,"",(COUNTIF(I8:M8,C8)+IF(D8="",0,COUNTIF(I8:M8,D8)))/IF(D8="",1,2)))</f>
        <v/>
      </c>
      <c r="AD8" s="5">
        <f>IF(E8="함정","",IF(COUNTA(I8:M8)=0,"",IF(AB8+AC8=0,0,2*AB8*AC8/(AB8+AC8))))</f>
        <v/>
      </c>
      <c r="AE8" s="2" t="s">
        <v>72</v>
      </c>
      <c r="AF8" s="4"/>
    </row>
    <row r="9" spans="1:32">
      <c r="A9" t="s">
        <v>74</v>
      </c>
      <c r="B9" s="2" t="s">
        <v>75</v>
      </c>
      <c r="C9" t="s">
        <v>193</v>
      </c>
      <c r="D9" t="s">
        <v>194</v>
      </c>
      <c r="E9" t="s">
        <v>67</v>
      </c>
      <c r="F9" s="4"/>
      <c r="G9" s="5">
        <f>IF(E9="함정","",IF(F9="","",IF(AND(F9&gt;=1,F9&lt;=3),1,0)))</f>
        <v/>
      </c>
      <c r="H9" s="5">
        <f>IF(E9="함정","",IF(F9="","",IF(F9=0,0,1/F9)))</f>
        <v/>
      </c>
      <c r="I9" s="4"/>
      <c r="J9" s="4"/>
      <c r="K9" s="4"/>
      <c r="L9" s="4"/>
      <c r="M9" s="4"/>
      <c r="N9" s="5">
        <f>IF(E9="함정","",IF(COUNTA(I9:M9)=0,"",IF(COUNTIF(I9:K9,C9)+IF(D9="",0,COUNTIF(I9:K9,D9))&gt;0,1,0)))</f>
        <v/>
      </c>
      <c r="O9" s="5">
        <f>IF(E9="함정","",IF(COUNTA(I9:M9)=0,"",MAX(IFERROR(1/MATCH(C9,I9:M9,0),0),IF(D9="",0,IFERROR(1/MATCH(D9,I9:M9,0),0)))))</f>
        <v/>
      </c>
      <c r="P9" s="4"/>
      <c r="Q9" s="4"/>
      <c r="R9" s="4"/>
      <c r="S9" s="4"/>
      <c r="T9" s="4"/>
      <c r="U9" s="4"/>
      <c r="V9" s="5">
        <f>IF(E9="함정","",IF(COUNTA(I9:M9)=0,"",(COUNTIF(I9:I9,C9)+IF(D9="",0,COUNTIF(I9:I9,D9)))/1))</f>
        <v/>
      </c>
      <c r="W9" s="5">
        <f>IF(E9="함정","",IF(COUNTA(I9:M9)=0,"",(COUNTIF(I9:I9,C9)+IF(D9="",0,COUNTIF(I9:I9,D9)))/IF(D9="",1,2)))</f>
        <v/>
      </c>
      <c r="X9" s="5">
        <f>IF(E9="함정","",IF(COUNTA(I9:M9)=0,"",IF(V9+W9=0,0,2*V9*W9/(V9+W9))))</f>
        <v/>
      </c>
      <c r="Y9" s="5">
        <f>IF(E9="함정","",IF(COUNTA(I9:M9)=0,"",(COUNTIF(I9:K9,C9)+IF(D9="",0,COUNTIF(I9:K9,D9)))/3))</f>
        <v/>
      </c>
      <c r="Z9" s="5">
        <f>IF(E9="함정","",IF(COUNTA(I9:M9)=0,"",(COUNTIF(I9:K9,C9)+IF(D9="",0,COUNTIF(I9:K9,D9)))/IF(D9="",1,2)))</f>
        <v/>
      </c>
      <c r="AA9" s="5">
        <f>IF(E9="함정","",IF(COUNTA(I9:M9)=0,"",IF(Y9+Z9=0,0,2*Y9*Z9/(Y9+Z9))))</f>
        <v/>
      </c>
      <c r="AB9" s="5">
        <f>IF(E9="함정","",IF(COUNTA(I9:M9)=0,"",(COUNTIF(I9:M9,C9)+IF(D9="",0,COUNTIF(I9:M9,D9)))/5))</f>
        <v/>
      </c>
      <c r="AC9" s="5">
        <f>IF(E9="함정","",IF(COUNTA(I9:M9)=0,"",(COUNTIF(I9:M9,C9)+IF(D9="",0,COUNTIF(I9:M9,D9)))/IF(D9="",1,2)))</f>
        <v/>
      </c>
      <c r="AD9" s="5">
        <f>IF(E9="함정","",IF(COUNTA(I9:M9)=0,"",IF(AB9+AC9=0,0,2*AB9*AC9/(AB9+AC9))))</f>
        <v/>
      </c>
      <c r="AE9" s="2" t="s">
        <v>79</v>
      </c>
      <c r="AF9" s="4"/>
    </row>
    <row r="10" spans="1:32">
      <c r="A10" t="s">
        <v>81</v>
      </c>
      <c r="B10" s="2" t="s">
        <v>82</v>
      </c>
      <c r="C10" t="s">
        <v>56</v>
      </c>
      <c r="D10" t="s">
        <v>191</v>
      </c>
      <c r="E10" t="s">
        <v>23</v>
      </c>
      <c r="F10" s="4"/>
      <c r="G10" s="5">
        <f>IF(E10="함정","",IF(F10="","",IF(AND(F10&gt;=1,F10&lt;=3),1,0)))</f>
        <v/>
      </c>
      <c r="H10" s="5">
        <f>IF(E10="함정","",IF(F10="","",IF(F10=0,0,1/F10)))</f>
        <v/>
      </c>
      <c r="I10" s="4"/>
      <c r="J10" s="4"/>
      <c r="K10" s="4"/>
      <c r="L10" s="4"/>
      <c r="M10" s="4"/>
      <c r="N10" s="5">
        <f>IF(E10="함정","",IF(COUNTA(I10:M10)=0,"",IF(COUNTIF(I10:K10,C10)+IF(D10="",0,COUNTIF(I10:K10,D10))&gt;0,1,0)))</f>
        <v/>
      </c>
      <c r="O10" s="5">
        <f>IF(E10="함정","",IF(COUNTA(I10:M10)=0,"",MAX(IFERROR(1/MATCH(C10,I10:M10,0),0),IF(D10="",0,IFERROR(1/MATCH(D10,I10:M10,0),0)))))</f>
        <v/>
      </c>
      <c r="P10" s="4"/>
      <c r="Q10" s="4"/>
      <c r="R10" s="4"/>
      <c r="S10" s="4"/>
      <c r="T10" s="4"/>
      <c r="U10" s="4"/>
      <c r="V10" s="5">
        <f>IF(E10="함정","",IF(COUNTA(I10:M10)=0,"",(COUNTIF(I10:I10,C10)+IF(D10="",0,COUNTIF(I10:I10,D10)))/1))</f>
        <v/>
      </c>
      <c r="W10" s="5">
        <f>IF(E10="함정","",IF(COUNTA(I10:M10)=0,"",(COUNTIF(I10:I10,C10)+IF(D10="",0,COUNTIF(I10:I10,D10)))/IF(D10="",1,2)))</f>
        <v/>
      </c>
      <c r="X10" s="5">
        <f>IF(E10="함정","",IF(COUNTA(I10:M10)=0,"",IF(V10+W10=0,0,2*V10*W10/(V10+W10))))</f>
        <v/>
      </c>
      <c r="Y10" s="5">
        <f>IF(E10="함정","",IF(COUNTA(I10:M10)=0,"",(COUNTIF(I10:K10,C10)+IF(D10="",0,COUNTIF(I10:K10,D10)))/3))</f>
        <v/>
      </c>
      <c r="Z10" s="5">
        <f>IF(E10="함정","",IF(COUNTA(I10:M10)=0,"",(COUNTIF(I10:K10,C10)+IF(D10="",0,COUNTIF(I10:K10,D10)))/IF(D10="",1,2)))</f>
        <v/>
      </c>
      <c r="AA10" s="5">
        <f>IF(E10="함정","",IF(COUNTA(I10:M10)=0,"",IF(Y10+Z10=0,0,2*Y10*Z10/(Y10+Z10))))</f>
        <v/>
      </c>
      <c r="AB10" s="5">
        <f>IF(E10="함정","",IF(COUNTA(I10:M10)=0,"",(COUNTIF(I10:M10,C10)+IF(D10="",0,COUNTIF(I10:M10,D10)))/5))</f>
        <v/>
      </c>
      <c r="AC10" s="5">
        <f>IF(E10="함정","",IF(COUNTA(I10:M10)=0,"",(COUNTIF(I10:M10,C10)+IF(D10="",0,COUNTIF(I10:M10,D10)))/IF(D10="",1,2)))</f>
        <v/>
      </c>
      <c r="AD10" s="5">
        <f>IF(E10="함정","",IF(COUNTA(I10:M10)=0,"",IF(AB10+AC10=0,0,2*AB10*AC10/(AB10+AC10))))</f>
        <v/>
      </c>
      <c r="AE10" s="2" t="s">
        <v>86</v>
      </c>
      <c r="AF10" s="4"/>
    </row>
    <row r="11" spans="1:32">
      <c r="A11" t="s">
        <v>88</v>
      </c>
      <c r="B11" s="2" t="s">
        <v>89</v>
      </c>
      <c r="C11" t="s">
        <v>90</v>
      </c>
      <c r="E11" t="s">
        <v>23</v>
      </c>
      <c r="F11" s="4"/>
      <c r="G11" s="5">
        <f>IF(E11="함정","",IF(F11="","",IF(AND(F11&gt;=1,F11&lt;=3),1,0)))</f>
        <v/>
      </c>
      <c r="H11" s="5">
        <f>IF(E11="함정","",IF(F11="","",IF(F11=0,0,1/F11)))</f>
        <v/>
      </c>
      <c r="I11" s="4"/>
      <c r="J11" s="4"/>
      <c r="K11" s="4"/>
      <c r="L11" s="4"/>
      <c r="M11" s="4"/>
      <c r="N11" s="5">
        <f>IF(E11="함정","",IF(COUNTA(I11:M11)=0,"",IF(COUNTIF(I11:K11,C11)+IF(D11="",0,COUNTIF(I11:K11,D11))&gt;0,1,0)))</f>
        <v/>
      </c>
      <c r="O11" s="5">
        <f>IF(E11="함정","",IF(COUNTA(I11:M11)=0,"",MAX(IFERROR(1/MATCH(C11,I11:M11,0),0),IF(D11="",0,IFERROR(1/MATCH(D11,I11:M11,0),0)))))</f>
        <v/>
      </c>
      <c r="P11" s="4"/>
      <c r="Q11" s="4"/>
      <c r="R11" s="4"/>
      <c r="S11" s="4"/>
      <c r="T11" s="4"/>
      <c r="U11" s="4"/>
      <c r="V11" s="5">
        <f>IF(E11="함정","",IF(COUNTA(I11:M11)=0,"",(COUNTIF(I11:I11,C11)+IF(D11="",0,COUNTIF(I11:I11,D11)))/1))</f>
        <v/>
      </c>
      <c r="W11" s="5">
        <f>IF(E11="함정","",IF(COUNTA(I11:M11)=0,"",(COUNTIF(I11:I11,C11)+IF(D11="",0,COUNTIF(I11:I11,D11)))/IF(D11="",1,2)))</f>
        <v/>
      </c>
      <c r="X11" s="5">
        <f>IF(E11="함정","",IF(COUNTA(I11:M11)=0,"",IF(V11+W11=0,0,2*V11*W11/(V11+W11))))</f>
        <v/>
      </c>
      <c r="Y11" s="5">
        <f>IF(E11="함정","",IF(COUNTA(I11:M11)=0,"",(COUNTIF(I11:K11,C11)+IF(D11="",0,COUNTIF(I11:K11,D11)))/3))</f>
        <v/>
      </c>
      <c r="Z11" s="5">
        <f>IF(E11="함정","",IF(COUNTA(I11:M11)=0,"",(COUNTIF(I11:K11,C11)+IF(D11="",0,COUNTIF(I11:K11,D11)))/IF(D11="",1,2)))</f>
        <v/>
      </c>
      <c r="AA11" s="5">
        <f>IF(E11="함정","",IF(COUNTA(I11:M11)=0,"",IF(Y11+Z11=0,0,2*Y11*Z11/(Y11+Z11))))</f>
        <v/>
      </c>
      <c r="AB11" s="5">
        <f>IF(E11="함정","",IF(COUNTA(I11:M11)=0,"",(COUNTIF(I11:M11,C11)+IF(D11="",0,COUNTIF(I11:M11,D11)))/5))</f>
        <v/>
      </c>
      <c r="AC11" s="5">
        <f>IF(E11="함정","",IF(COUNTA(I11:M11)=0,"",(COUNTIF(I11:M11,C11)+IF(D11="",0,COUNTIF(I11:M11,D11)))/IF(D11="",1,2)))</f>
        <v/>
      </c>
      <c r="AD11" s="5">
        <f>IF(E11="함정","",IF(COUNTA(I11:M11)=0,"",IF(AB11+AC11=0,0,2*AB11*AC11/(AB11+AC11))))</f>
        <v/>
      </c>
      <c r="AE11" s="2" t="s">
        <v>92</v>
      </c>
      <c r="AF11" s="4"/>
    </row>
    <row r="12" spans="1:32">
      <c r="A12" t="s">
        <v>94</v>
      </c>
      <c r="B12" s="2" t="s">
        <v>95</v>
      </c>
      <c r="C12" t="s">
        <v>97</v>
      </c>
      <c r="E12" t="s">
        <v>23</v>
      </c>
      <c r="F12" s="4"/>
      <c r="G12" s="5">
        <f>IF(E12="함정","",IF(F12="","",IF(AND(F12&gt;=1,F12&lt;=3),1,0)))</f>
        <v/>
      </c>
      <c r="H12" s="5">
        <f>IF(E12="함정","",IF(F12="","",IF(F12=0,0,1/F12)))</f>
        <v/>
      </c>
      <c r="I12" s="4"/>
      <c r="J12" s="4"/>
      <c r="K12" s="4"/>
      <c r="L12" s="4"/>
      <c r="M12" s="4"/>
      <c r="N12" s="5">
        <f>IF(E12="함정","",IF(COUNTA(I12:M12)=0,"",IF(COUNTIF(I12:K12,C12)+IF(D12="",0,COUNTIF(I12:K12,D12))&gt;0,1,0)))</f>
        <v/>
      </c>
      <c r="O12" s="5">
        <f>IF(E12="함정","",IF(COUNTA(I12:M12)=0,"",MAX(IFERROR(1/MATCH(C12,I12:M12,0),0),IF(D12="",0,IFERROR(1/MATCH(D12,I12:M12,0),0)))))</f>
        <v/>
      </c>
      <c r="P12" s="4"/>
      <c r="Q12" s="4"/>
      <c r="R12" s="4"/>
      <c r="S12" s="4"/>
      <c r="T12" s="4"/>
      <c r="U12" s="4"/>
      <c r="V12" s="5">
        <f>IF(E12="함정","",IF(COUNTA(I12:M12)=0,"",(COUNTIF(I12:I12,C12)+IF(D12="",0,COUNTIF(I12:I12,D12)))/1))</f>
        <v/>
      </c>
      <c r="W12" s="5">
        <f>IF(E12="함정","",IF(COUNTA(I12:M12)=0,"",(COUNTIF(I12:I12,C12)+IF(D12="",0,COUNTIF(I12:I12,D12)))/IF(D12="",1,2)))</f>
        <v/>
      </c>
      <c r="X12" s="5">
        <f>IF(E12="함정","",IF(COUNTA(I12:M12)=0,"",IF(V12+W12=0,0,2*V12*W12/(V12+W12))))</f>
        <v/>
      </c>
      <c r="Y12" s="5">
        <f>IF(E12="함정","",IF(COUNTA(I12:M12)=0,"",(COUNTIF(I12:K12,C12)+IF(D12="",0,COUNTIF(I12:K12,D12)))/3))</f>
        <v/>
      </c>
      <c r="Z12" s="5">
        <f>IF(E12="함정","",IF(COUNTA(I12:M12)=0,"",(COUNTIF(I12:K12,C12)+IF(D12="",0,COUNTIF(I12:K12,D12)))/IF(D12="",1,2)))</f>
        <v/>
      </c>
      <c r="AA12" s="5">
        <f>IF(E12="함정","",IF(COUNTA(I12:M12)=0,"",IF(Y12+Z12=0,0,2*Y12*Z12/(Y12+Z12))))</f>
        <v/>
      </c>
      <c r="AB12" s="5">
        <f>IF(E12="함정","",IF(COUNTA(I12:M12)=0,"",(COUNTIF(I12:M12,C12)+IF(D12="",0,COUNTIF(I12:M12,D12)))/5))</f>
        <v/>
      </c>
      <c r="AC12" s="5">
        <f>IF(E12="함정","",IF(COUNTA(I12:M12)=0,"",(COUNTIF(I12:M12,C12)+IF(D12="",0,COUNTIF(I12:M12,D12)))/IF(D12="",1,2)))</f>
        <v/>
      </c>
      <c r="AD12" s="5">
        <f>IF(E12="함정","",IF(COUNTA(I12:M12)=0,"",IF(AB12+AC12=0,0,2*AB12*AC12/(AB12+AC12))))</f>
        <v/>
      </c>
      <c r="AE12" s="2" t="s">
        <v>99</v>
      </c>
      <c r="AF12" s="4"/>
    </row>
    <row r="13" spans="1:32">
      <c r="A13" t="s">
        <v>101</v>
      </c>
      <c r="B13" s="2" t="s">
        <v>102</v>
      </c>
      <c r="C13" t="s">
        <v>103</v>
      </c>
      <c r="E13" t="s">
        <v>23</v>
      </c>
      <c r="F13" s="4"/>
      <c r="G13" s="5">
        <f>IF(E13="함정","",IF(F13="","",IF(AND(F13&gt;=1,F13&lt;=3),1,0)))</f>
        <v/>
      </c>
      <c r="H13" s="5">
        <f>IF(E13="함정","",IF(F13="","",IF(F13=0,0,1/F13)))</f>
        <v/>
      </c>
      <c r="I13" s="4"/>
      <c r="J13" s="4"/>
      <c r="K13" s="4"/>
      <c r="L13" s="4"/>
      <c r="M13" s="4"/>
      <c r="N13" s="5">
        <f>IF(E13="함정","",IF(COUNTA(I13:M13)=0,"",IF(COUNTIF(I13:K13,C13)+IF(D13="",0,COUNTIF(I13:K13,D13))&gt;0,1,0)))</f>
        <v/>
      </c>
      <c r="O13" s="5">
        <f>IF(E13="함정","",IF(COUNTA(I13:M13)=0,"",MAX(IFERROR(1/MATCH(C13,I13:M13,0),0),IF(D13="",0,IFERROR(1/MATCH(D13,I13:M13,0),0)))))</f>
        <v/>
      </c>
      <c r="P13" s="4"/>
      <c r="Q13" s="4"/>
      <c r="R13" s="4"/>
      <c r="S13" s="4"/>
      <c r="T13" s="4"/>
      <c r="U13" s="4"/>
      <c r="V13" s="5">
        <f>IF(E13="함정","",IF(COUNTA(I13:M13)=0,"",(COUNTIF(I13:I13,C13)+IF(D13="",0,COUNTIF(I13:I13,D13)))/1))</f>
        <v/>
      </c>
      <c r="W13" s="5">
        <f>IF(E13="함정","",IF(COUNTA(I13:M13)=0,"",(COUNTIF(I13:I13,C13)+IF(D13="",0,COUNTIF(I13:I13,D13)))/IF(D13="",1,2)))</f>
        <v/>
      </c>
      <c r="X13" s="5">
        <f>IF(E13="함정","",IF(COUNTA(I13:M13)=0,"",IF(V13+W13=0,0,2*V13*W13/(V13+W13))))</f>
        <v/>
      </c>
      <c r="Y13" s="5">
        <f>IF(E13="함정","",IF(COUNTA(I13:M13)=0,"",(COUNTIF(I13:K13,C13)+IF(D13="",0,COUNTIF(I13:K13,D13)))/3))</f>
        <v/>
      </c>
      <c r="Z13" s="5">
        <f>IF(E13="함정","",IF(COUNTA(I13:M13)=0,"",(COUNTIF(I13:K13,C13)+IF(D13="",0,COUNTIF(I13:K13,D13)))/IF(D13="",1,2)))</f>
        <v/>
      </c>
      <c r="AA13" s="5">
        <f>IF(E13="함정","",IF(COUNTA(I13:M13)=0,"",IF(Y13+Z13=0,0,2*Y13*Z13/(Y13+Z13))))</f>
        <v/>
      </c>
      <c r="AB13" s="5">
        <f>IF(E13="함정","",IF(COUNTA(I13:M13)=0,"",(COUNTIF(I13:M13,C13)+IF(D13="",0,COUNTIF(I13:M13,D13)))/5))</f>
        <v/>
      </c>
      <c r="AC13" s="5">
        <f>IF(E13="함정","",IF(COUNTA(I13:M13)=0,"",(COUNTIF(I13:M13,C13)+IF(D13="",0,COUNTIF(I13:M13,D13)))/IF(D13="",1,2)))</f>
        <v/>
      </c>
      <c r="AD13" s="5">
        <f>IF(E13="함정","",IF(COUNTA(I13:M13)=0,"",IF(AB13+AC13=0,0,2*AB13*AC13/(AB13+AC13))))</f>
        <v/>
      </c>
      <c r="AE13" s="2" t="s">
        <v>105</v>
      </c>
      <c r="AF13" s="4"/>
    </row>
    <row r="14" spans="1:32">
      <c r="A14" t="s">
        <v>107</v>
      </c>
      <c r="B14" s="2" t="s">
        <v>108</v>
      </c>
      <c r="C14" t="s">
        <v>195</v>
      </c>
      <c r="D14" t="s">
        <v>191</v>
      </c>
      <c r="E14" t="s">
        <v>23</v>
      </c>
      <c r="F14" s="4"/>
      <c r="G14" s="5">
        <f>IF(E14="함정","",IF(F14="","",IF(AND(F14&gt;=1,F14&lt;=3),1,0)))</f>
        <v/>
      </c>
      <c r="H14" s="5">
        <f>IF(E14="함정","",IF(F14="","",IF(F14=0,0,1/F14)))</f>
        <v/>
      </c>
      <c r="I14" s="4"/>
      <c r="J14" s="4"/>
      <c r="K14" s="4"/>
      <c r="L14" s="4"/>
      <c r="M14" s="4"/>
      <c r="N14" s="5">
        <f>IF(E14="함정","",IF(COUNTA(I14:M14)=0,"",IF(COUNTIF(I14:K14,C14)+IF(D14="",0,COUNTIF(I14:K14,D14))&gt;0,1,0)))</f>
        <v/>
      </c>
      <c r="O14" s="5">
        <f>IF(E14="함정","",IF(COUNTA(I14:M14)=0,"",MAX(IFERROR(1/MATCH(C14,I14:M14,0),0),IF(D14="",0,IFERROR(1/MATCH(D14,I14:M14,0),0)))))</f>
        <v/>
      </c>
      <c r="P14" s="4"/>
      <c r="Q14" s="4"/>
      <c r="R14" s="4"/>
      <c r="S14" s="4"/>
      <c r="T14" s="4"/>
      <c r="U14" s="4"/>
      <c r="V14" s="5">
        <f>IF(E14="함정","",IF(COUNTA(I14:M14)=0,"",(COUNTIF(I14:I14,C14)+IF(D14="",0,COUNTIF(I14:I14,D14)))/1))</f>
        <v/>
      </c>
      <c r="W14" s="5">
        <f>IF(E14="함정","",IF(COUNTA(I14:M14)=0,"",(COUNTIF(I14:I14,C14)+IF(D14="",0,COUNTIF(I14:I14,D14)))/IF(D14="",1,2)))</f>
        <v/>
      </c>
      <c r="X14" s="5">
        <f>IF(E14="함정","",IF(COUNTA(I14:M14)=0,"",IF(V14+W14=0,0,2*V14*W14/(V14+W14))))</f>
        <v/>
      </c>
      <c r="Y14" s="5">
        <f>IF(E14="함정","",IF(COUNTA(I14:M14)=0,"",(COUNTIF(I14:K14,C14)+IF(D14="",0,COUNTIF(I14:K14,D14)))/3))</f>
        <v/>
      </c>
      <c r="Z14" s="5">
        <f>IF(E14="함정","",IF(COUNTA(I14:M14)=0,"",(COUNTIF(I14:K14,C14)+IF(D14="",0,COUNTIF(I14:K14,D14)))/IF(D14="",1,2)))</f>
        <v/>
      </c>
      <c r="AA14" s="5">
        <f>IF(E14="함정","",IF(COUNTA(I14:M14)=0,"",IF(Y14+Z14=0,0,2*Y14*Z14/(Y14+Z14))))</f>
        <v/>
      </c>
      <c r="AB14" s="5">
        <f>IF(E14="함정","",IF(COUNTA(I14:M14)=0,"",(COUNTIF(I14:M14,C14)+IF(D14="",0,COUNTIF(I14:M14,D14)))/5))</f>
        <v/>
      </c>
      <c r="AC14" s="5">
        <f>IF(E14="함정","",IF(COUNTA(I14:M14)=0,"",(COUNTIF(I14:M14,C14)+IF(D14="",0,COUNTIF(I14:M14,D14)))/IF(D14="",1,2)))</f>
        <v/>
      </c>
      <c r="AD14" s="5">
        <f>IF(E14="함정","",IF(COUNTA(I14:M14)=0,"",IF(AB14+AC14=0,0,2*AB14*AC14/(AB14+AC14))))</f>
        <v/>
      </c>
      <c r="AE14" s="2" t="s">
        <v>112</v>
      </c>
      <c r="AF14" s="4"/>
    </row>
    <row r="15" spans="1:32">
      <c r="A15" t="s">
        <v>114</v>
      </c>
      <c r="B15" s="2" t="s">
        <v>115</v>
      </c>
      <c r="C15" t="s">
        <v>196</v>
      </c>
      <c r="D15" t="s">
        <v>191</v>
      </c>
      <c r="E15" t="s">
        <v>23</v>
      </c>
      <c r="F15" s="4"/>
      <c r="G15" s="5">
        <f>IF(E15="함정","",IF(F15="","",IF(AND(F15&gt;=1,F15&lt;=3),1,0)))</f>
        <v/>
      </c>
      <c r="H15" s="5">
        <f>IF(E15="함정","",IF(F15="","",IF(F15=0,0,1/F15)))</f>
        <v/>
      </c>
      <c r="I15" s="4"/>
      <c r="J15" s="4"/>
      <c r="K15" s="4"/>
      <c r="L15" s="4"/>
      <c r="M15" s="4"/>
      <c r="N15" s="5">
        <f>IF(E15="함정","",IF(COUNTA(I15:M15)=0,"",IF(COUNTIF(I15:K15,C15)+IF(D15="",0,COUNTIF(I15:K15,D15))&gt;0,1,0)))</f>
        <v/>
      </c>
      <c r="O15" s="5">
        <f>IF(E15="함정","",IF(COUNTA(I15:M15)=0,"",MAX(IFERROR(1/MATCH(C15,I15:M15,0),0),IF(D15="",0,IFERROR(1/MATCH(D15,I15:M15,0),0)))))</f>
        <v/>
      </c>
      <c r="P15" s="4"/>
      <c r="Q15" s="4"/>
      <c r="R15" s="4"/>
      <c r="S15" s="4"/>
      <c r="T15" s="4"/>
      <c r="U15" s="4"/>
      <c r="V15" s="5">
        <f>IF(E15="함정","",IF(COUNTA(I15:M15)=0,"",(COUNTIF(I15:I15,C15)+IF(D15="",0,COUNTIF(I15:I15,D15)))/1))</f>
        <v/>
      </c>
      <c r="W15" s="5">
        <f>IF(E15="함정","",IF(COUNTA(I15:M15)=0,"",(COUNTIF(I15:I15,C15)+IF(D15="",0,COUNTIF(I15:I15,D15)))/IF(D15="",1,2)))</f>
        <v/>
      </c>
      <c r="X15" s="5">
        <f>IF(E15="함정","",IF(COUNTA(I15:M15)=0,"",IF(V15+W15=0,0,2*V15*W15/(V15+W15))))</f>
        <v/>
      </c>
      <c r="Y15" s="5">
        <f>IF(E15="함정","",IF(COUNTA(I15:M15)=0,"",(COUNTIF(I15:K15,C15)+IF(D15="",0,COUNTIF(I15:K15,D15)))/3))</f>
        <v/>
      </c>
      <c r="Z15" s="5">
        <f>IF(E15="함정","",IF(COUNTA(I15:M15)=0,"",(COUNTIF(I15:K15,C15)+IF(D15="",0,COUNTIF(I15:K15,D15)))/IF(D15="",1,2)))</f>
        <v/>
      </c>
      <c r="AA15" s="5">
        <f>IF(E15="함정","",IF(COUNTA(I15:M15)=0,"",IF(Y15+Z15=0,0,2*Y15*Z15/(Y15+Z15))))</f>
        <v/>
      </c>
      <c r="AB15" s="5">
        <f>IF(E15="함정","",IF(COUNTA(I15:M15)=0,"",(COUNTIF(I15:M15,C15)+IF(D15="",0,COUNTIF(I15:M15,D15)))/5))</f>
        <v/>
      </c>
      <c r="AC15" s="5">
        <f>IF(E15="함정","",IF(COUNTA(I15:M15)=0,"",(COUNTIF(I15:M15,C15)+IF(D15="",0,COUNTIF(I15:M15,D15)))/IF(D15="",1,2)))</f>
        <v/>
      </c>
      <c r="AD15" s="5">
        <f>IF(E15="함정","",IF(COUNTA(I15:M15)=0,"",IF(AB15+AC15=0,0,2*AB15*AC15/(AB15+AC15))))</f>
        <v/>
      </c>
      <c r="AE15" s="2" t="s">
        <v>119</v>
      </c>
      <c r="AF15" s="4"/>
    </row>
    <row r="16" spans="1:32">
      <c r="A16" t="s">
        <v>121</v>
      </c>
      <c r="B16" s="2" t="s">
        <v>122</v>
      </c>
      <c r="C16" t="s">
        <v>124</v>
      </c>
      <c r="E16" t="s">
        <v>23</v>
      </c>
      <c r="F16" s="4"/>
      <c r="G16" s="5">
        <f>IF(E16="함정","",IF(F16="","",IF(AND(F16&gt;=1,F16&lt;=3),1,0)))</f>
        <v/>
      </c>
      <c r="H16" s="5">
        <f>IF(E16="함정","",IF(F16="","",IF(F16=0,0,1/F16)))</f>
        <v/>
      </c>
      <c r="I16" s="4"/>
      <c r="J16" s="4"/>
      <c r="K16" s="4"/>
      <c r="L16" s="4"/>
      <c r="M16" s="4"/>
      <c r="N16" s="5">
        <f>IF(E16="함정","",IF(COUNTA(I16:M16)=0,"",IF(COUNTIF(I16:K16,C16)+IF(D16="",0,COUNTIF(I16:K16,D16))&gt;0,1,0)))</f>
        <v/>
      </c>
      <c r="O16" s="5">
        <f>IF(E16="함정","",IF(COUNTA(I16:M16)=0,"",MAX(IFERROR(1/MATCH(C16,I16:M16,0),0),IF(D16="",0,IFERROR(1/MATCH(D16,I16:M16,0),0)))))</f>
        <v/>
      </c>
      <c r="P16" s="4"/>
      <c r="Q16" s="4"/>
      <c r="R16" s="4"/>
      <c r="S16" s="4"/>
      <c r="T16" s="4"/>
      <c r="U16" s="4"/>
      <c r="V16" s="5">
        <f>IF(E16="함정","",IF(COUNTA(I16:M16)=0,"",(COUNTIF(I16:I16,C16)+IF(D16="",0,COUNTIF(I16:I16,D16)))/1))</f>
        <v/>
      </c>
      <c r="W16" s="5">
        <f>IF(E16="함정","",IF(COUNTA(I16:M16)=0,"",(COUNTIF(I16:I16,C16)+IF(D16="",0,COUNTIF(I16:I16,D16)))/IF(D16="",1,2)))</f>
        <v/>
      </c>
      <c r="X16" s="5">
        <f>IF(E16="함정","",IF(COUNTA(I16:M16)=0,"",IF(V16+W16=0,0,2*V16*W16/(V16+W16))))</f>
        <v/>
      </c>
      <c r="Y16" s="5">
        <f>IF(E16="함정","",IF(COUNTA(I16:M16)=0,"",(COUNTIF(I16:K16,C16)+IF(D16="",0,COUNTIF(I16:K16,D16)))/3))</f>
        <v/>
      </c>
      <c r="Z16" s="5">
        <f>IF(E16="함정","",IF(COUNTA(I16:M16)=0,"",(COUNTIF(I16:K16,C16)+IF(D16="",0,COUNTIF(I16:K16,D16)))/IF(D16="",1,2)))</f>
        <v/>
      </c>
      <c r="AA16" s="5">
        <f>IF(E16="함정","",IF(COUNTA(I16:M16)=0,"",IF(Y16+Z16=0,0,2*Y16*Z16/(Y16+Z16))))</f>
        <v/>
      </c>
      <c r="AB16" s="5">
        <f>IF(E16="함정","",IF(COUNTA(I16:M16)=0,"",(COUNTIF(I16:M16,C16)+IF(D16="",0,COUNTIF(I16:M16,D16)))/5))</f>
        <v/>
      </c>
      <c r="AC16" s="5">
        <f>IF(E16="함정","",IF(COUNTA(I16:M16)=0,"",(COUNTIF(I16:M16,C16)+IF(D16="",0,COUNTIF(I16:M16,D16)))/IF(D16="",1,2)))</f>
        <v/>
      </c>
      <c r="AD16" s="5">
        <f>IF(E16="함정","",IF(COUNTA(I16:M16)=0,"",IF(AB16+AC16=0,0,2*AB16*AC16/(AB16+AC16))))</f>
        <v/>
      </c>
      <c r="AE16" s="2" t="s">
        <v>127</v>
      </c>
      <c r="AF16" s="4"/>
    </row>
    <row r="17" spans="1:32">
      <c r="A17" t="s">
        <v>129</v>
      </c>
      <c r="B17" s="2" t="s">
        <v>130</v>
      </c>
      <c r="C17" t="s">
        <v>132</v>
      </c>
      <c r="E17" t="s">
        <v>23</v>
      </c>
      <c r="F17" s="4"/>
      <c r="G17" s="5">
        <f>IF(E17="함정","",IF(F17="","",IF(AND(F17&gt;=1,F17&lt;=3),1,0)))</f>
        <v/>
      </c>
      <c r="H17" s="5">
        <f>IF(E17="함정","",IF(F17="","",IF(F17=0,0,1/F17)))</f>
        <v/>
      </c>
      <c r="I17" s="4"/>
      <c r="J17" s="4"/>
      <c r="K17" s="4"/>
      <c r="L17" s="4"/>
      <c r="M17" s="4"/>
      <c r="N17" s="5">
        <f>IF(E17="함정","",IF(COUNTA(I17:M17)=0,"",IF(COUNTIF(I17:K17,C17)+IF(D17="",0,COUNTIF(I17:K17,D17))&gt;0,1,0)))</f>
        <v/>
      </c>
      <c r="O17" s="5">
        <f>IF(E17="함정","",IF(COUNTA(I17:M17)=0,"",MAX(IFERROR(1/MATCH(C17,I17:M17,0),0),IF(D17="",0,IFERROR(1/MATCH(D17,I17:M17,0),0)))))</f>
        <v/>
      </c>
      <c r="P17" s="4"/>
      <c r="Q17" s="4"/>
      <c r="R17" s="4"/>
      <c r="S17" s="4"/>
      <c r="T17" s="4"/>
      <c r="U17" s="4"/>
      <c r="V17" s="5">
        <f>IF(E17="함정","",IF(COUNTA(I17:M17)=0,"",(COUNTIF(I17:I17,C17)+IF(D17="",0,COUNTIF(I17:I17,D17)))/1))</f>
        <v/>
      </c>
      <c r="W17" s="5">
        <f>IF(E17="함정","",IF(COUNTA(I17:M17)=0,"",(COUNTIF(I17:I17,C17)+IF(D17="",0,COUNTIF(I17:I17,D17)))/IF(D17="",1,2)))</f>
        <v/>
      </c>
      <c r="X17" s="5">
        <f>IF(E17="함정","",IF(COUNTA(I17:M17)=0,"",IF(V17+W17=0,0,2*V17*W17/(V17+W17))))</f>
        <v/>
      </c>
      <c r="Y17" s="5">
        <f>IF(E17="함정","",IF(COUNTA(I17:M17)=0,"",(COUNTIF(I17:K17,C17)+IF(D17="",0,COUNTIF(I17:K17,D17)))/3))</f>
        <v/>
      </c>
      <c r="Z17" s="5">
        <f>IF(E17="함정","",IF(COUNTA(I17:M17)=0,"",(COUNTIF(I17:K17,C17)+IF(D17="",0,COUNTIF(I17:K17,D17)))/IF(D17="",1,2)))</f>
        <v/>
      </c>
      <c r="AA17" s="5">
        <f>IF(E17="함정","",IF(COUNTA(I17:M17)=0,"",IF(Y17+Z17=0,0,2*Y17*Z17/(Y17+Z17))))</f>
        <v/>
      </c>
      <c r="AB17" s="5">
        <f>IF(E17="함정","",IF(COUNTA(I17:M17)=0,"",(COUNTIF(I17:M17,C17)+IF(D17="",0,COUNTIF(I17:M17,D17)))/5))</f>
        <v/>
      </c>
      <c r="AC17" s="5">
        <f>IF(E17="함정","",IF(COUNTA(I17:M17)=0,"",(COUNTIF(I17:M17,C17)+IF(D17="",0,COUNTIF(I17:M17,D17)))/IF(D17="",1,2)))</f>
        <v/>
      </c>
      <c r="AD17" s="5">
        <f>IF(E17="함정","",IF(COUNTA(I17:M17)=0,"",IF(AB17+AC17=0,0,2*AB17*AC17/(AB17+AC17))))</f>
        <v/>
      </c>
      <c r="AE17" s="2" t="s">
        <v>134</v>
      </c>
      <c r="AF17" s="4"/>
    </row>
    <row r="18" spans="1:32">
      <c r="A18" t="s">
        <v>136</v>
      </c>
      <c r="B18" s="2" t="s">
        <v>137</v>
      </c>
      <c r="C18" t="s">
        <v>197</v>
      </c>
      <c r="D18" t="s">
        <v>198</v>
      </c>
      <c r="E18" t="s">
        <v>23</v>
      </c>
      <c r="F18" s="4"/>
      <c r="G18" s="5">
        <f>IF(E18="함정","",IF(F18="","",IF(AND(F18&gt;=1,F18&lt;=3),1,0)))</f>
        <v/>
      </c>
      <c r="H18" s="5">
        <f>IF(E18="함정","",IF(F18="","",IF(F18=0,0,1/F18)))</f>
        <v/>
      </c>
      <c r="I18" s="4"/>
      <c r="J18" s="4"/>
      <c r="K18" s="4"/>
      <c r="L18" s="4"/>
      <c r="M18" s="4"/>
      <c r="N18" s="5">
        <f>IF(E18="함정","",IF(COUNTA(I18:M18)=0,"",IF(COUNTIF(I18:K18,C18)+IF(D18="",0,COUNTIF(I18:K18,D18))&gt;0,1,0)))</f>
        <v/>
      </c>
      <c r="O18" s="5">
        <f>IF(E18="함정","",IF(COUNTA(I18:M18)=0,"",MAX(IFERROR(1/MATCH(C18,I18:M18,0),0),IF(D18="",0,IFERROR(1/MATCH(D18,I18:M18,0),0)))))</f>
        <v/>
      </c>
      <c r="P18" s="4"/>
      <c r="Q18" s="4"/>
      <c r="R18" s="4"/>
      <c r="S18" s="4"/>
      <c r="T18" s="4"/>
      <c r="U18" s="4"/>
      <c r="V18" s="5">
        <f>IF(E18="함정","",IF(COUNTA(I18:M18)=0,"",(COUNTIF(I18:I18,C18)+IF(D18="",0,COUNTIF(I18:I18,D18)))/1))</f>
        <v/>
      </c>
      <c r="W18" s="5">
        <f>IF(E18="함정","",IF(COUNTA(I18:M18)=0,"",(COUNTIF(I18:I18,C18)+IF(D18="",0,COUNTIF(I18:I18,D18)))/IF(D18="",1,2)))</f>
        <v/>
      </c>
      <c r="X18" s="5">
        <f>IF(E18="함정","",IF(COUNTA(I18:M18)=0,"",IF(V18+W18=0,0,2*V18*W18/(V18+W18))))</f>
        <v/>
      </c>
      <c r="Y18" s="5">
        <f>IF(E18="함정","",IF(COUNTA(I18:M18)=0,"",(COUNTIF(I18:K18,C18)+IF(D18="",0,COUNTIF(I18:K18,D18)))/3))</f>
        <v/>
      </c>
      <c r="Z18" s="5">
        <f>IF(E18="함정","",IF(COUNTA(I18:M18)=0,"",(COUNTIF(I18:K18,C18)+IF(D18="",0,COUNTIF(I18:K18,D18)))/IF(D18="",1,2)))</f>
        <v/>
      </c>
      <c r="AA18" s="5">
        <f>IF(E18="함정","",IF(COUNTA(I18:M18)=0,"",IF(Y18+Z18=0,0,2*Y18*Z18/(Y18+Z18))))</f>
        <v/>
      </c>
      <c r="AB18" s="5">
        <f>IF(E18="함정","",IF(COUNTA(I18:M18)=0,"",(COUNTIF(I18:M18,C18)+IF(D18="",0,COUNTIF(I18:M18,D18)))/5))</f>
        <v/>
      </c>
      <c r="AC18" s="5">
        <f>IF(E18="함정","",IF(COUNTA(I18:M18)=0,"",(COUNTIF(I18:M18,C18)+IF(D18="",0,COUNTIF(I18:M18,D18)))/IF(D18="",1,2)))</f>
        <v/>
      </c>
      <c r="AD18" s="5">
        <f>IF(E18="함정","",IF(COUNTA(I18:M18)=0,"",IF(AB18+AC18=0,0,2*AB18*AC18/(AB18+AC18))))</f>
        <v/>
      </c>
      <c r="AE18" s="2" t="s">
        <v>142</v>
      </c>
      <c r="AF18" s="4"/>
    </row>
    <row r="19" spans="1:32">
      <c r="A19" t="s">
        <v>144</v>
      </c>
      <c r="B19" s="2" t="s">
        <v>145</v>
      </c>
      <c r="C19" t="s">
        <v>197</v>
      </c>
      <c r="D19" t="s">
        <v>198</v>
      </c>
      <c r="E19" t="s">
        <v>23</v>
      </c>
      <c r="F19" s="4"/>
      <c r="G19" s="5">
        <f>IF(E19="함정","",IF(F19="","",IF(AND(F19&gt;=1,F19&lt;=3),1,0)))</f>
        <v/>
      </c>
      <c r="H19" s="5">
        <f>IF(E19="함정","",IF(F19="","",IF(F19=0,0,1/F19)))</f>
        <v/>
      </c>
      <c r="I19" s="4"/>
      <c r="J19" s="4"/>
      <c r="K19" s="4"/>
      <c r="L19" s="4"/>
      <c r="M19" s="4"/>
      <c r="N19" s="5">
        <f>IF(E19="함정","",IF(COUNTA(I19:M19)=0,"",IF(COUNTIF(I19:K19,C19)+IF(D19="",0,COUNTIF(I19:K19,D19))&gt;0,1,0)))</f>
        <v/>
      </c>
      <c r="O19" s="5">
        <f>IF(E19="함정","",IF(COUNTA(I19:M19)=0,"",MAX(IFERROR(1/MATCH(C19,I19:M19,0),0),IF(D19="",0,IFERROR(1/MATCH(D19,I19:M19,0),0)))))</f>
        <v/>
      </c>
      <c r="P19" s="4"/>
      <c r="Q19" s="4"/>
      <c r="R19" s="4"/>
      <c r="S19" s="4"/>
      <c r="T19" s="4"/>
      <c r="U19" s="4"/>
      <c r="V19" s="5">
        <f>IF(E19="함정","",IF(COUNTA(I19:M19)=0,"",(COUNTIF(I19:I19,C19)+IF(D19="",0,COUNTIF(I19:I19,D19)))/1))</f>
        <v/>
      </c>
      <c r="W19" s="5">
        <f>IF(E19="함정","",IF(COUNTA(I19:M19)=0,"",(COUNTIF(I19:I19,C19)+IF(D19="",0,COUNTIF(I19:I19,D19)))/IF(D19="",1,2)))</f>
        <v/>
      </c>
      <c r="X19" s="5">
        <f>IF(E19="함정","",IF(COUNTA(I19:M19)=0,"",IF(V19+W19=0,0,2*V19*W19/(V19+W19))))</f>
        <v/>
      </c>
      <c r="Y19" s="5">
        <f>IF(E19="함정","",IF(COUNTA(I19:M19)=0,"",(COUNTIF(I19:K19,C19)+IF(D19="",0,COUNTIF(I19:K19,D19)))/3))</f>
        <v/>
      </c>
      <c r="Z19" s="5">
        <f>IF(E19="함정","",IF(COUNTA(I19:M19)=0,"",(COUNTIF(I19:K19,C19)+IF(D19="",0,COUNTIF(I19:K19,D19)))/IF(D19="",1,2)))</f>
        <v/>
      </c>
      <c r="AA19" s="5">
        <f>IF(E19="함정","",IF(COUNTA(I19:M19)=0,"",IF(Y19+Z19=0,0,2*Y19*Z19/(Y19+Z19))))</f>
        <v/>
      </c>
      <c r="AB19" s="5">
        <f>IF(E19="함정","",IF(COUNTA(I19:M19)=0,"",(COUNTIF(I19:M19,C19)+IF(D19="",0,COUNTIF(I19:M19,D19)))/5))</f>
        <v/>
      </c>
      <c r="AC19" s="5">
        <f>IF(E19="함정","",IF(COUNTA(I19:M19)=0,"",(COUNTIF(I19:M19,C19)+IF(D19="",0,COUNTIF(I19:M19,D19)))/IF(D19="",1,2)))</f>
        <v/>
      </c>
      <c r="AD19" s="5">
        <f>IF(E19="함정","",IF(COUNTA(I19:M19)=0,"",IF(AB19+AC19=0,0,2*AB19*AC19/(AB19+AC19))))</f>
        <v/>
      </c>
      <c r="AE19" s="2" t="s">
        <v>148</v>
      </c>
      <c r="AF19" s="4"/>
    </row>
    <row r="20" spans="1:32">
      <c r="A20" t="s">
        <v>150</v>
      </c>
      <c r="B20" s="2" t="s">
        <v>151</v>
      </c>
      <c r="C20" t="s">
        <v>154</v>
      </c>
      <c r="E20" t="s">
        <v>153</v>
      </c>
      <c r="F20" s="4"/>
      <c r="G20" s="5">
        <f>IF(E20="함정","",IF(F20="","",IF(AND(F20&gt;=1,F20&lt;=3),1,0)))</f>
        <v/>
      </c>
      <c r="H20" s="5">
        <f>IF(E20="함정","",IF(F20="","",IF(F20=0,0,1/F20)))</f>
        <v/>
      </c>
      <c r="I20" s="4"/>
      <c r="J20" s="4"/>
      <c r="K20" s="4"/>
      <c r="L20" s="4"/>
      <c r="M20" s="4"/>
      <c r="N20" s="5">
        <f>IF(E20="함정","",IF(COUNTA(I20:M20)=0,"",IF(COUNTIF(I20:K20,C20)+IF(D20="",0,COUNTIF(I20:K20,D20))&gt;0,1,0)))</f>
        <v/>
      </c>
      <c r="O20" s="5">
        <f>IF(E20="함정","",IF(COUNTA(I20:M20)=0,"",MAX(IFERROR(1/MATCH(C20,I20:M20,0),0),IF(D20="",0,IFERROR(1/MATCH(D20,I20:M20,0),0)))))</f>
        <v/>
      </c>
      <c r="P20" s="4"/>
      <c r="Q20" s="4"/>
      <c r="R20" s="4"/>
      <c r="S20" s="4"/>
      <c r="T20" s="4"/>
      <c r="U20" s="4"/>
      <c r="V20" s="5">
        <f>IF(E20="함정","",IF(COUNTA(I20:M20)=0,"",(COUNTIF(I20:I20,C20)+IF(D20="",0,COUNTIF(I20:I20,D20)))/1))</f>
        <v/>
      </c>
      <c r="W20" s="5">
        <f>IF(E20="함정","",IF(COUNTA(I20:M20)=0,"",(COUNTIF(I20:I20,C20)+IF(D20="",0,COUNTIF(I20:I20,D20)))/IF(D20="",1,2)))</f>
        <v/>
      </c>
      <c r="X20" s="5">
        <f>IF(E20="함정","",IF(COUNTA(I20:M20)=0,"",IF(V20+W20=0,0,2*V20*W20/(V20+W20))))</f>
        <v/>
      </c>
      <c r="Y20" s="5">
        <f>IF(E20="함정","",IF(COUNTA(I20:M20)=0,"",(COUNTIF(I20:K20,C20)+IF(D20="",0,COUNTIF(I20:K20,D20)))/3))</f>
        <v/>
      </c>
      <c r="Z20" s="5">
        <f>IF(E20="함정","",IF(COUNTA(I20:M20)=0,"",(COUNTIF(I20:K20,C20)+IF(D20="",0,COUNTIF(I20:K20,D20)))/IF(D20="",1,2)))</f>
        <v/>
      </c>
      <c r="AA20" s="5">
        <f>IF(E20="함정","",IF(COUNTA(I20:M20)=0,"",IF(Y20+Z20=0,0,2*Y20*Z20/(Y20+Z20))))</f>
        <v/>
      </c>
      <c r="AB20" s="5">
        <f>IF(E20="함정","",IF(COUNTA(I20:M20)=0,"",(COUNTIF(I20:M20,C20)+IF(D20="",0,COUNTIF(I20:M20,D20)))/5))</f>
        <v/>
      </c>
      <c r="AC20" s="5">
        <f>IF(E20="함정","",IF(COUNTA(I20:M20)=0,"",(COUNTIF(I20:M20,C20)+IF(D20="",0,COUNTIF(I20:M20,D20)))/IF(D20="",1,2)))</f>
        <v/>
      </c>
      <c r="AD20" s="5">
        <f>IF(E20="함정","",IF(COUNTA(I20:M20)=0,"",IF(AB20+AC20=0,0,2*AB20*AC20/(AB20+AC20))))</f>
        <v/>
      </c>
      <c r="AE20" s="2" t="s">
        <v>157</v>
      </c>
      <c r="AF20" s="4"/>
    </row>
    <row r="21" spans="1:32">
      <c r="A21" t="s">
        <v>159</v>
      </c>
      <c r="B21" s="2" t="s">
        <v>160</v>
      </c>
      <c r="C21" t="s">
        <v>154</v>
      </c>
      <c r="E21" t="s">
        <v>153</v>
      </c>
      <c r="F21" s="4"/>
      <c r="G21" s="5">
        <f>IF(E21="함정","",IF(F21="","",IF(AND(F21&gt;=1,F21&lt;=3),1,0)))</f>
        <v/>
      </c>
      <c r="H21" s="5">
        <f>IF(E21="함정","",IF(F21="","",IF(F21=0,0,1/F21)))</f>
        <v/>
      </c>
      <c r="I21" s="4"/>
      <c r="J21" s="4"/>
      <c r="K21" s="4"/>
      <c r="L21" s="4"/>
      <c r="M21" s="4"/>
      <c r="N21" s="5">
        <f>IF(E21="함정","",IF(COUNTA(I21:M21)=0,"",IF(COUNTIF(I21:K21,C21)+IF(D21="",0,COUNTIF(I21:K21,D21))&gt;0,1,0)))</f>
        <v/>
      </c>
      <c r="O21" s="5">
        <f>IF(E21="함정","",IF(COUNTA(I21:M21)=0,"",MAX(IFERROR(1/MATCH(C21,I21:M21,0),0),IF(D21="",0,IFERROR(1/MATCH(D21,I21:M21,0),0)))))</f>
        <v/>
      </c>
      <c r="P21" s="4"/>
      <c r="Q21" s="4"/>
      <c r="R21" s="4"/>
      <c r="S21" s="4"/>
      <c r="T21" s="4"/>
      <c r="U21" s="4"/>
      <c r="V21" s="5">
        <f>IF(E21="함정","",IF(COUNTA(I21:M21)=0,"",(COUNTIF(I21:I21,C21)+IF(D21="",0,COUNTIF(I21:I21,D21)))/1))</f>
        <v/>
      </c>
      <c r="W21" s="5">
        <f>IF(E21="함정","",IF(COUNTA(I21:M21)=0,"",(COUNTIF(I21:I21,C21)+IF(D21="",0,COUNTIF(I21:I21,D21)))/IF(D21="",1,2)))</f>
        <v/>
      </c>
      <c r="X21" s="5">
        <f>IF(E21="함정","",IF(COUNTA(I21:M21)=0,"",IF(V21+W21=0,0,2*V21*W21/(V21+W21))))</f>
        <v/>
      </c>
      <c r="Y21" s="5">
        <f>IF(E21="함정","",IF(COUNTA(I21:M21)=0,"",(COUNTIF(I21:K21,C21)+IF(D21="",0,COUNTIF(I21:K21,D21)))/3))</f>
        <v/>
      </c>
      <c r="Z21" s="5">
        <f>IF(E21="함정","",IF(COUNTA(I21:M21)=0,"",(COUNTIF(I21:K21,C21)+IF(D21="",0,COUNTIF(I21:K21,D21)))/IF(D21="",1,2)))</f>
        <v/>
      </c>
      <c r="AA21" s="5">
        <f>IF(E21="함정","",IF(COUNTA(I21:M21)=0,"",IF(Y21+Z21=0,0,2*Y21*Z21/(Y21+Z21))))</f>
        <v/>
      </c>
      <c r="AB21" s="5">
        <f>IF(E21="함정","",IF(COUNTA(I21:M21)=0,"",(COUNTIF(I21:M21,C21)+IF(D21="",0,COUNTIF(I21:M21,D21)))/5))</f>
        <v/>
      </c>
      <c r="AC21" s="5">
        <f>IF(E21="함정","",IF(COUNTA(I21:M21)=0,"",(COUNTIF(I21:M21,C21)+IF(D21="",0,COUNTIF(I21:M21,D21)))/IF(D21="",1,2)))</f>
        <v/>
      </c>
      <c r="AD21" s="5">
        <f>IF(E21="함정","",IF(COUNTA(I21:M21)=0,"",IF(AB21+AC21=0,0,2*AB21*AC21/(AB21+AC21))))</f>
        <v/>
      </c>
      <c r="AE21" s="2" t="s">
        <v>161</v>
      </c>
      <c r="AF21" s="4"/>
    </row>
  </sheetData>
  <dataValidations count="7">
    <dataValidation type="whole" allowBlank="1" showInputMessage="1" showErrorMessage="1" sqref="F2:F21">
      <formula1>0</formula1>
      <formula2>5</formula2>
    </dataValidation>
    <dataValidation type="list" allowBlank="1" showInputMessage="1" showErrorMessage="1" sqref="P2:P21">
      <formula1>"0,1"</formula1>
    </dataValidation>
    <dataValidation type="list" allowBlank="1" showInputMessage="1" showErrorMessage="1" sqref="Q2:Q21">
      <formula1>"0,1"</formula1>
    </dataValidation>
    <dataValidation type="list" allowBlank="1" showInputMessage="1" showErrorMessage="1" sqref="R2:R21">
      <formula1>"0,1"</formula1>
    </dataValidation>
    <dataValidation type="list" allowBlank="1" showInputMessage="1" showErrorMessage="1" sqref="S2:S21">
      <formula1>"0,1"</formula1>
    </dataValidation>
    <dataValidation type="list" allowBlank="1" showInputMessage="1" showErrorMessage="1" sqref="T2:T21">
      <formula1>"0,1"</formula1>
    </dataValidation>
    <dataValidation type="list" allowBlank="1" showInputMessage="1" showErrorMessage="1" sqref="U2:U21">
      <formula1>"0,1"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44.7109375" customWidth="1"/>
    <col min="3" max="3" width="6.7109375" customWidth="1"/>
    <col min="4" max="4" width="13.7109375" customWidth="1"/>
    <col min="5" max="6" width="9.7109375" customWidth="1"/>
    <col min="7" max="7" width="3.7109375" customWidth="1"/>
    <col min="8" max="8" width="11.7109375" customWidth="1"/>
    <col min="9" max="10" width="9.7109375" customWidth="1"/>
  </cols>
  <sheetData>
    <row r="1" spans="1:10">
      <c r="A1" s="3" t="s">
        <v>199</v>
      </c>
      <c r="B1" s="3" t="s">
        <v>200</v>
      </c>
      <c r="C1" s="3" t="s">
        <v>10</v>
      </c>
      <c r="D1" s="3" t="s">
        <v>164</v>
      </c>
      <c r="E1" s="3" t="s">
        <v>165</v>
      </c>
      <c r="F1" s="3" t="s">
        <v>166</v>
      </c>
      <c r="H1" s="3" t="s">
        <v>199</v>
      </c>
      <c r="I1" s="3" t="s">
        <v>209</v>
      </c>
      <c r="J1" s="3" t="s">
        <v>210</v>
      </c>
    </row>
    <row r="2" spans="1:10">
      <c r="A2" t="s">
        <v>201</v>
      </c>
      <c r="B2" t="s">
        <v>202</v>
      </c>
      <c r="C2" t="s">
        <v>37</v>
      </c>
      <c r="D2" s="4"/>
      <c r="E2" s="5">
        <f>IF(D2="","",IF(AND(D2&gt;=1,D2&lt;=3),1,0))</f>
        <v/>
      </c>
      <c r="F2" s="5">
        <f>IF(D2="","",IF(D2=0,0,1/D2))</f>
        <v/>
      </c>
      <c r="H2" t="s">
        <v>201</v>
      </c>
      <c r="I2" s="5">
        <f>IFERROR(AVERAGEIF($A$2:$A$21,H2,$E$2:$E$21),"")</f>
        <v/>
      </c>
      <c r="J2" s="5">
        <f>IFERROR(AVERAGEIF($A$2:$A$21,H2,$F$2:$F$21),"")</f>
        <v/>
      </c>
    </row>
    <row r="3" spans="1:10">
      <c r="A3" t="s">
        <v>201</v>
      </c>
      <c r="B3" t="s">
        <v>202</v>
      </c>
      <c r="C3" t="s">
        <v>53</v>
      </c>
      <c r="D3" s="4"/>
      <c r="E3" s="5">
        <f>IF(D3="","",IF(AND(D3&gt;=1,D3&lt;=3),1,0))</f>
        <v/>
      </c>
      <c r="F3" s="5">
        <f>IF(D3="","",IF(D3=0,0,1/D3))</f>
        <v/>
      </c>
      <c r="H3" t="s">
        <v>203</v>
      </c>
      <c r="I3" s="5">
        <f>IFERROR(AVERAGEIF($A$2:$A$21,H3,$E$2:$E$21),"")</f>
        <v/>
      </c>
      <c r="J3" s="5">
        <f>IFERROR(AVERAGEIF($A$2:$A$21,H3,$F$2:$F$21),"")</f>
        <v/>
      </c>
    </row>
    <row r="4" spans="1:10">
      <c r="A4" t="s">
        <v>201</v>
      </c>
      <c r="B4" t="s">
        <v>202</v>
      </c>
      <c r="C4" t="s">
        <v>65</v>
      </c>
      <c r="D4" s="4"/>
      <c r="E4" s="5">
        <f>IF(D4="","",IF(AND(D4&gt;=1,D4&lt;=3),1,0))</f>
        <v/>
      </c>
      <c r="F4" s="5">
        <f>IF(D4="","",IF(D4=0,0,1/D4))</f>
        <v/>
      </c>
      <c r="H4" t="s">
        <v>205</v>
      </c>
      <c r="I4" s="5">
        <f>IFERROR(AVERAGEIF($A$2:$A$21,H4,$E$2:$E$21),"")</f>
        <v/>
      </c>
      <c r="J4" s="5">
        <f>IFERROR(AVERAGEIF($A$2:$A$21,H4,$F$2:$F$21),"")</f>
        <v/>
      </c>
    </row>
    <row r="5" spans="1:10">
      <c r="A5" t="s">
        <v>201</v>
      </c>
      <c r="B5" t="s">
        <v>202</v>
      </c>
      <c r="C5" t="s">
        <v>114</v>
      </c>
      <c r="D5" s="4"/>
      <c r="E5" s="5">
        <f>IF(D5="","",IF(AND(D5&gt;=1,D5&lt;=3),1,0))</f>
        <v/>
      </c>
      <c r="F5" s="5">
        <f>IF(D5="","",IF(D5=0,0,1/D5))</f>
        <v/>
      </c>
      <c r="H5" t="s">
        <v>207</v>
      </c>
      <c r="I5" s="5">
        <f>IFERROR(AVERAGEIF($A$2:$A$21,H5,$E$2:$E$21),"")</f>
        <v/>
      </c>
      <c r="J5" s="5">
        <f>IFERROR(AVERAGEIF($A$2:$A$21,H5,$F$2:$F$21),"")</f>
        <v/>
      </c>
    </row>
    <row r="6" spans="1:10">
      <c r="A6" t="s">
        <v>201</v>
      </c>
      <c r="B6" t="s">
        <v>202</v>
      </c>
      <c r="C6" t="s">
        <v>129</v>
      </c>
      <c r="D6" s="4"/>
      <c r="E6" s="5">
        <f>IF(D6="","",IF(AND(D6&gt;=1,D6&lt;=3),1,0))</f>
        <v/>
      </c>
      <c r="F6" s="5">
        <f>IF(D6="","",IF(D6=0,0,1/D6))</f>
        <v/>
      </c>
    </row>
    <row r="7" spans="1:10">
      <c r="A7" t="s">
        <v>203</v>
      </c>
      <c r="B7" t="s">
        <v>204</v>
      </c>
      <c r="C7" t="s">
        <v>37</v>
      </c>
      <c r="D7" s="4"/>
      <c r="E7" s="5">
        <f>IF(D7="","",IF(AND(D7&gt;=1,D7&lt;=3),1,0))</f>
        <v/>
      </c>
      <c r="F7" s="5">
        <f>IF(D7="","",IF(D7=0,0,1/D7))</f>
        <v/>
      </c>
    </row>
    <row r="8" spans="1:10">
      <c r="A8" t="s">
        <v>203</v>
      </c>
      <c r="B8" t="s">
        <v>204</v>
      </c>
      <c r="C8" t="s">
        <v>53</v>
      </c>
      <c r="D8" s="4"/>
      <c r="E8" s="5">
        <f>IF(D8="","",IF(AND(D8&gt;=1,D8&lt;=3),1,0))</f>
        <v/>
      </c>
      <c r="F8" s="5">
        <f>IF(D8="","",IF(D8=0,0,1/D8))</f>
        <v/>
      </c>
    </row>
    <row r="9" spans="1:10">
      <c r="A9" t="s">
        <v>203</v>
      </c>
      <c r="B9" t="s">
        <v>204</v>
      </c>
      <c r="C9" t="s">
        <v>65</v>
      </c>
      <c r="D9" s="4"/>
      <c r="E9" s="5">
        <f>IF(D9="","",IF(AND(D9&gt;=1,D9&lt;=3),1,0))</f>
        <v/>
      </c>
      <c r="F9" s="5">
        <f>IF(D9="","",IF(D9=0,0,1/D9))</f>
        <v/>
      </c>
    </row>
    <row r="10" spans="1:10">
      <c r="A10" t="s">
        <v>203</v>
      </c>
      <c r="B10" t="s">
        <v>204</v>
      </c>
      <c r="C10" t="s">
        <v>114</v>
      </c>
      <c r="D10" s="4"/>
      <c r="E10" s="5">
        <f>IF(D10="","",IF(AND(D10&gt;=1,D10&lt;=3),1,0))</f>
        <v/>
      </c>
      <c r="F10" s="5">
        <f>IF(D10="","",IF(D10=0,0,1/D10))</f>
        <v/>
      </c>
    </row>
    <row r="11" spans="1:10">
      <c r="A11" t="s">
        <v>203</v>
      </c>
      <c r="B11" t="s">
        <v>204</v>
      </c>
      <c r="C11" t="s">
        <v>129</v>
      </c>
      <c r="D11" s="4"/>
      <c r="E11" s="5">
        <f>IF(D11="","",IF(AND(D11&gt;=1,D11&lt;=3),1,0))</f>
        <v/>
      </c>
      <c r="F11" s="5">
        <f>IF(D11="","",IF(D11=0,0,1/D11))</f>
        <v/>
      </c>
    </row>
    <row r="12" spans="1:10">
      <c r="A12" t="s">
        <v>205</v>
      </c>
      <c r="B12" t="s">
        <v>206</v>
      </c>
      <c r="C12" t="s">
        <v>37</v>
      </c>
      <c r="D12" s="4"/>
      <c r="E12" s="5">
        <f>IF(D12="","",IF(AND(D12&gt;=1,D12&lt;=3),1,0))</f>
        <v/>
      </c>
      <c r="F12" s="5">
        <f>IF(D12="","",IF(D12=0,0,1/D12))</f>
        <v/>
      </c>
    </row>
    <row r="13" spans="1:10">
      <c r="A13" t="s">
        <v>205</v>
      </c>
      <c r="B13" t="s">
        <v>206</v>
      </c>
      <c r="C13" t="s">
        <v>53</v>
      </c>
      <c r="D13" s="4"/>
      <c r="E13" s="5">
        <f>IF(D13="","",IF(AND(D13&gt;=1,D13&lt;=3),1,0))</f>
        <v/>
      </c>
      <c r="F13" s="5">
        <f>IF(D13="","",IF(D13=0,0,1/D13))</f>
        <v/>
      </c>
    </row>
    <row r="14" spans="1:10">
      <c r="A14" t="s">
        <v>205</v>
      </c>
      <c r="B14" t="s">
        <v>206</v>
      </c>
      <c r="C14" t="s">
        <v>65</v>
      </c>
      <c r="D14" s="4"/>
      <c r="E14" s="5">
        <f>IF(D14="","",IF(AND(D14&gt;=1,D14&lt;=3),1,0))</f>
        <v/>
      </c>
      <c r="F14" s="5">
        <f>IF(D14="","",IF(D14=0,0,1/D14))</f>
        <v/>
      </c>
    </row>
    <row r="15" spans="1:10">
      <c r="A15" t="s">
        <v>205</v>
      </c>
      <c r="B15" t="s">
        <v>206</v>
      </c>
      <c r="C15" t="s">
        <v>114</v>
      </c>
      <c r="D15" s="4"/>
      <c r="E15" s="5">
        <f>IF(D15="","",IF(AND(D15&gt;=1,D15&lt;=3),1,0))</f>
        <v/>
      </c>
      <c r="F15" s="5">
        <f>IF(D15="","",IF(D15=0,0,1/D15))</f>
        <v/>
      </c>
    </row>
    <row r="16" spans="1:10">
      <c r="A16" t="s">
        <v>205</v>
      </c>
      <c r="B16" t="s">
        <v>206</v>
      </c>
      <c r="C16" t="s">
        <v>129</v>
      </c>
      <c r="D16" s="4"/>
      <c r="E16" s="5">
        <f>IF(D16="","",IF(AND(D16&gt;=1,D16&lt;=3),1,0))</f>
        <v/>
      </c>
      <c r="F16" s="5">
        <f>IF(D16="","",IF(D16=0,0,1/D16))</f>
        <v/>
      </c>
    </row>
    <row r="17" spans="1:6">
      <c r="A17" t="s">
        <v>207</v>
      </c>
      <c r="B17" t="s">
        <v>208</v>
      </c>
      <c r="C17" t="s">
        <v>37</v>
      </c>
      <c r="D17" s="4"/>
      <c r="E17" s="5">
        <f>IF(D17="","",IF(AND(D17&gt;=1,D17&lt;=3),1,0))</f>
        <v/>
      </c>
      <c r="F17" s="5">
        <f>IF(D17="","",IF(D17=0,0,1/D17))</f>
        <v/>
      </c>
    </row>
    <row r="18" spans="1:6">
      <c r="A18" t="s">
        <v>207</v>
      </c>
      <c r="B18" t="s">
        <v>208</v>
      </c>
      <c r="C18" t="s">
        <v>53</v>
      </c>
      <c r="D18" s="4"/>
      <c r="E18" s="5">
        <f>IF(D18="","",IF(AND(D18&gt;=1,D18&lt;=3),1,0))</f>
        <v/>
      </c>
      <c r="F18" s="5">
        <f>IF(D18="","",IF(D18=0,0,1/D18))</f>
        <v/>
      </c>
    </row>
    <row r="19" spans="1:6">
      <c r="A19" t="s">
        <v>207</v>
      </c>
      <c r="B19" t="s">
        <v>208</v>
      </c>
      <c r="C19" t="s">
        <v>65</v>
      </c>
      <c r="D19" s="4"/>
      <c r="E19" s="5">
        <f>IF(D19="","",IF(AND(D19&gt;=1,D19&lt;=3),1,0))</f>
        <v/>
      </c>
      <c r="F19" s="5">
        <f>IF(D19="","",IF(D19=0,0,1/D19))</f>
        <v/>
      </c>
    </row>
    <row r="20" spans="1:6">
      <c r="A20" t="s">
        <v>207</v>
      </c>
      <c r="B20" t="s">
        <v>208</v>
      </c>
      <c r="C20" t="s">
        <v>114</v>
      </c>
      <c r="D20" s="4"/>
      <c r="E20" s="5">
        <f>IF(D20="","",IF(AND(D20&gt;=1,D20&lt;=3),1,0))</f>
        <v/>
      </c>
      <c r="F20" s="5">
        <f>IF(D20="","",IF(D20=0,0,1/D20))</f>
        <v/>
      </c>
    </row>
    <row r="21" spans="1:6">
      <c r="A21" t="s">
        <v>207</v>
      </c>
      <c r="B21" t="s">
        <v>208</v>
      </c>
      <c r="C21" t="s">
        <v>129</v>
      </c>
      <c r="D21" s="4"/>
      <c r="E21" s="5">
        <f>IF(D21="","",IF(AND(D21&gt;=1,D21&lt;=3),1,0))</f>
        <v/>
      </c>
      <c r="F21" s="5">
        <f>IF(D21="","",IF(D21=0,0,1/D21))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2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6.7109375" customWidth="1"/>
    <col min="2" max="6" width="9.7109375" customWidth="1"/>
    <col min="7" max="8" width="10.7109375" customWidth="1"/>
    <col min="9" max="9" width="40.7109375" customWidth="1"/>
    <col min="10" max="10" width="7.7109375" customWidth="1"/>
    <col min="11" max="12" width="12.7109375" customWidth="1"/>
    <col min="13" max="14" width="9.7109375" customWidth="1"/>
    <col min="15" max="23" width="8.7109375" customWidth="1"/>
  </cols>
  <sheetData>
    <row r="1" spans="1:23">
      <c r="A1" s="3" t="s">
        <v>10</v>
      </c>
      <c r="B1" s="3" t="s">
        <v>167</v>
      </c>
      <c r="C1" s="3" t="s">
        <v>168</v>
      </c>
      <c r="D1" s="3" t="s">
        <v>169</v>
      </c>
      <c r="E1" s="3" t="s">
        <v>170</v>
      </c>
      <c r="F1" s="3" t="s">
        <v>171</v>
      </c>
      <c r="G1" s="3" t="s">
        <v>211</v>
      </c>
      <c r="H1" s="3" t="s">
        <v>212</v>
      </c>
      <c r="I1" s="3" t="s">
        <v>213</v>
      </c>
      <c r="J1" s="3" t="s">
        <v>12</v>
      </c>
      <c r="K1" s="3" t="s">
        <v>162</v>
      </c>
      <c r="L1" s="3" t="s">
        <v>163</v>
      </c>
      <c r="M1" s="3" t="s">
        <v>165</v>
      </c>
      <c r="N1" s="3" t="s">
        <v>166</v>
      </c>
      <c r="O1" s="3" t="s">
        <v>180</v>
      </c>
      <c r="P1" s="3" t="s">
        <v>181</v>
      </c>
      <c r="Q1" s="3" t="s">
        <v>182</v>
      </c>
      <c r="R1" s="3" t="s">
        <v>183</v>
      </c>
      <c r="S1" s="3" t="s">
        <v>184</v>
      </c>
      <c r="T1" s="3" t="s">
        <v>185</v>
      </c>
      <c r="U1" s="3" t="s">
        <v>186</v>
      </c>
      <c r="V1" s="3" t="s">
        <v>187</v>
      </c>
      <c r="W1" s="3" t="s">
        <v>188</v>
      </c>
    </row>
    <row r="2" spans="1:23">
      <c r="A2" t="s">
        <v>20</v>
      </c>
      <c r="B2" s="4"/>
      <c r="C2" s="4"/>
      <c r="D2" s="4"/>
      <c r="E2" s="4"/>
      <c r="F2" s="4"/>
      <c r="G2" s="4"/>
      <c r="H2" s="4"/>
      <c r="I2" s="4"/>
      <c r="J2" t="str">
        <f>IFERROR(VLOOKUP($A2,eval!$A$2:$E$21,5,FALSE),"")</f>
        <v>정상</v>
      </c>
      <c r="K2" t="str">
        <f>IFERROR(VLOOKUP($A2,eval!$A$2:$C$21,3,FALSE),"")</f>
        <v>KS-6</v>
      </c>
      <c r="L2">
        <f>IFERROR(IF(VLOOKUP($A2,eval!$A$2:$D$21,4,FALSE)="","",VLOOKUP($A2,eval!$A$2:$D$21,4,FALSE)),"")</f>
        <v/>
      </c>
      <c r="M2" s="5">
        <f>IF(J2="함정","",IF(COUNTA(B2:D2)=0,"",IF(COUNTIF(B2:D2,K2)+IF(L2="",0,COUNTIF(B2:D2,L2))&gt;0,1,0)))</f>
        <v/>
      </c>
      <c r="N2" s="5">
        <f>IF(J2="함정","",IF(COUNTA(B2:F2)=0,"",MAX(IFERROR(1/MATCH(K2,B2:F2,0),0),IF(L2="",0,IFERROR(1/MATCH(L2,B2:F2,0),0)))))</f>
        <v/>
      </c>
      <c r="O2" s="5">
        <f>IF(J2="함정","",IF(COUNTA(B2:F2)=0,"",(COUNTIF(B2:B2,K2)+IF(L2="",0,COUNTIF(B2:B2,L2)))/1))</f>
        <v/>
      </c>
      <c r="P2" s="5">
        <f>IF(J2="함정","",IF(COUNTA(B2:F2)=0,"",(COUNTIF(B2:B2,K2)+IF(L2="",0,COUNTIF(B2:B2,L2)))/IF(L2="",1,2)))</f>
        <v/>
      </c>
      <c r="Q2" s="5">
        <f>IF(J2="함정","",IF(COUNTA(B2:F2)=0,"",IF(O2+P2=0,0,2*O2*P2/(O2+P2))))</f>
        <v/>
      </c>
      <c r="R2" s="5">
        <f>IF(J2="함정","",IF(COUNTA(B2:F2)=0,"",(COUNTIF(B2:D2,K2)+IF(L2="",0,COUNTIF(B2:D2,L2)))/3))</f>
        <v/>
      </c>
      <c r="S2" s="5">
        <f>IF(J2="함정","",IF(COUNTA(B2:F2)=0,"",(COUNTIF(B2:D2,K2)+IF(L2="",0,COUNTIF(B2:D2,L2)))/IF(L2="",1,2)))</f>
        <v/>
      </c>
      <c r="T2" s="5">
        <f>IF(J2="함정","",IF(COUNTA(B2:F2)=0,"",IF(R2+S2=0,0,2*R2*S2/(R2+S2))))</f>
        <v/>
      </c>
      <c r="U2" s="5">
        <f>IF(J2="함정","",IF(COUNTA(B2:F2)=0,"",(COUNTIF(B2:F2,K2)+IF(L2="",0,COUNTIF(B2:F2,L2)))/5))</f>
        <v/>
      </c>
      <c r="V2" s="5">
        <f>IF(J2="함정","",IF(COUNTA(B2:F2)=0,"",(COUNTIF(B2:F2,K2)+IF(L2="",0,COUNTIF(B2:F2,L2)))/IF(L2="",1,2)))</f>
        <v/>
      </c>
      <c r="W2" s="5">
        <f>IF(J2="함정","",IF(COUNTA(B2:F2)=0,"",IF(U2+V2=0,0,2*U2*V2/(U2+V2))))</f>
        <v/>
      </c>
    </row>
    <row r="3" spans="1:23">
      <c r="A3" t="s">
        <v>29</v>
      </c>
      <c r="B3" s="4"/>
      <c r="C3" s="4"/>
      <c r="D3" s="4"/>
      <c r="E3" s="4"/>
      <c r="F3" s="4"/>
      <c r="G3" s="4"/>
      <c r="H3" s="4"/>
      <c r="I3" s="4"/>
      <c r="J3" t="str">
        <f>IFERROR(VLOOKUP($A3,eval!$A$2:$E$21,5,FALSE),"")</f>
        <v>정상</v>
      </c>
      <c r="K3" t="str">
        <f>IFERROR(VLOOKUP($A3,eval!$A$2:$C$21,3,FALSE),"")</f>
        <v>KS-24</v>
      </c>
      <c r="L3">
        <f>IFERROR(IF(VLOOKUP($A3,eval!$A$2:$D$21,4,FALSE)="","",VLOOKUP($A3,eval!$A$2:$D$21,4,FALSE)),"")</f>
        <v/>
      </c>
      <c r="M3" s="5">
        <f>IF(J3="함정","",IF(COUNTA(B3:D3)=0,"",IF(COUNTIF(B3:D3,K3)+IF(L3="",0,COUNTIF(B3:D3,L3))&gt;0,1,0)))</f>
        <v/>
      </c>
      <c r="N3" s="5">
        <f>IF(J3="함정","",IF(COUNTA(B3:F3)=0,"",MAX(IFERROR(1/MATCH(K3,B3:F3,0),0),IF(L3="",0,IFERROR(1/MATCH(L3,B3:F3,0),0)))))</f>
        <v/>
      </c>
      <c r="O3" s="5">
        <f>IF(J3="함정","",IF(COUNTA(B3:F3)=0,"",(COUNTIF(B3:B3,K3)+IF(L3="",0,COUNTIF(B3:B3,L3)))/1))</f>
        <v/>
      </c>
      <c r="P3" s="5">
        <f>IF(J3="함정","",IF(COUNTA(B3:F3)=0,"",(COUNTIF(B3:B3,K3)+IF(L3="",0,COUNTIF(B3:B3,L3)))/IF(L3="",1,2)))</f>
        <v/>
      </c>
      <c r="Q3" s="5">
        <f>IF(J3="함정","",IF(COUNTA(B3:F3)=0,"",IF(O3+P3=0,0,2*O3*P3/(O3+P3))))</f>
        <v/>
      </c>
      <c r="R3" s="5">
        <f>IF(J3="함정","",IF(COUNTA(B3:F3)=0,"",(COUNTIF(B3:D3,K3)+IF(L3="",0,COUNTIF(B3:D3,L3)))/3))</f>
        <v/>
      </c>
      <c r="S3" s="5">
        <f>IF(J3="함정","",IF(COUNTA(B3:F3)=0,"",(COUNTIF(B3:D3,K3)+IF(L3="",0,COUNTIF(B3:D3,L3)))/IF(L3="",1,2)))</f>
        <v/>
      </c>
      <c r="T3" s="5">
        <f>IF(J3="함정","",IF(COUNTA(B3:F3)=0,"",IF(R3+S3=0,0,2*R3*S3/(R3+S3))))</f>
        <v/>
      </c>
      <c r="U3" s="5">
        <f>IF(J3="함정","",IF(COUNTA(B3:F3)=0,"",(COUNTIF(B3:F3,K3)+IF(L3="",0,COUNTIF(B3:F3,L3)))/5))</f>
        <v/>
      </c>
      <c r="V3" s="5">
        <f>IF(J3="함정","",IF(COUNTA(B3:F3)=0,"",(COUNTIF(B3:F3,K3)+IF(L3="",0,COUNTIF(B3:F3,L3)))/IF(L3="",1,2)))</f>
        <v/>
      </c>
      <c r="W3" s="5">
        <f>IF(J3="함정","",IF(COUNTA(B3:F3)=0,"",IF(U3+V3=0,0,2*U3*V3/(U3+V3))))</f>
        <v/>
      </c>
    </row>
    <row r="4" spans="1:23">
      <c r="A4" t="s">
        <v>37</v>
      </c>
      <c r="B4" s="4"/>
      <c r="C4" s="4"/>
      <c r="D4" s="4"/>
      <c r="E4" s="4"/>
      <c r="F4" s="4"/>
      <c r="G4" s="4"/>
      <c r="H4" s="4"/>
      <c r="I4" s="4"/>
      <c r="J4" t="str">
        <f>IFERROR(VLOOKUP($A4,eval!$A$2:$E$21,5,FALSE),"")</f>
        <v>정상</v>
      </c>
      <c r="K4" t="str">
        <f>IFERROR(VLOOKUP($A4,eval!$A$2:$C$21,3,FALSE),"")</f>
        <v>KS-21</v>
      </c>
      <c r="L4" t="str">
        <f>IFERROR(IF(VLOOKUP($A4,eval!$A$2:$D$21,4,FALSE)="","",VLOOKUP($A4,eval!$A$2:$D$21,4,FALSE)),"")</f>
        <v>HB-20</v>
      </c>
      <c r="M4" s="5">
        <f>IF(J4="함정","",IF(COUNTA(B4:D4)=0,"",IF(COUNTIF(B4:D4,K4)+IF(L4="",0,COUNTIF(B4:D4,L4))&gt;0,1,0)))</f>
        <v/>
      </c>
      <c r="N4" s="5">
        <f>IF(J4="함정","",IF(COUNTA(B4:F4)=0,"",MAX(IFERROR(1/MATCH(K4,B4:F4,0),0),IF(L4="",0,IFERROR(1/MATCH(L4,B4:F4,0),0)))))</f>
        <v/>
      </c>
      <c r="O4" s="5">
        <f>IF(J4="함정","",IF(COUNTA(B4:F4)=0,"",(COUNTIF(B4:B4,K4)+IF(L4="",0,COUNTIF(B4:B4,L4)))/1))</f>
        <v/>
      </c>
      <c r="P4" s="5">
        <f>IF(J4="함정","",IF(COUNTA(B4:F4)=0,"",(COUNTIF(B4:B4,K4)+IF(L4="",0,COUNTIF(B4:B4,L4)))/IF(L4="",1,2)))</f>
        <v/>
      </c>
      <c r="Q4" s="5">
        <f>IF(J4="함정","",IF(COUNTA(B4:F4)=0,"",IF(O4+P4=0,0,2*O4*P4/(O4+P4))))</f>
        <v/>
      </c>
      <c r="R4" s="5">
        <f>IF(J4="함정","",IF(COUNTA(B4:F4)=0,"",(COUNTIF(B4:D4,K4)+IF(L4="",0,COUNTIF(B4:D4,L4)))/3))</f>
        <v/>
      </c>
      <c r="S4" s="5">
        <f>IF(J4="함정","",IF(COUNTA(B4:F4)=0,"",(COUNTIF(B4:D4,K4)+IF(L4="",0,COUNTIF(B4:D4,L4)))/IF(L4="",1,2)))</f>
        <v/>
      </c>
      <c r="T4" s="5">
        <f>IF(J4="함정","",IF(COUNTA(B4:F4)=0,"",IF(R4+S4=0,0,2*R4*S4/(R4+S4))))</f>
        <v/>
      </c>
      <c r="U4" s="5">
        <f>IF(J4="함정","",IF(COUNTA(B4:F4)=0,"",(COUNTIF(B4:F4,K4)+IF(L4="",0,COUNTIF(B4:F4,L4)))/5))</f>
        <v/>
      </c>
      <c r="V4" s="5">
        <f>IF(J4="함정","",IF(COUNTA(B4:F4)=0,"",(COUNTIF(B4:F4,K4)+IF(L4="",0,COUNTIF(B4:F4,L4)))/IF(L4="",1,2)))</f>
        <v/>
      </c>
      <c r="W4" s="5">
        <f>IF(J4="함정","",IF(COUNTA(B4:F4)=0,"",IF(U4+V4=0,0,2*U4*V4/(U4+V4))))</f>
        <v/>
      </c>
    </row>
    <row r="5" spans="1:23">
      <c r="A5" t="s">
        <v>46</v>
      </c>
      <c r="B5" s="4"/>
      <c r="C5" s="4"/>
      <c r="D5" s="4"/>
      <c r="E5" s="4"/>
      <c r="F5" s="4"/>
      <c r="G5" s="4"/>
      <c r="H5" s="4"/>
      <c r="I5" s="4"/>
      <c r="J5" t="str">
        <f>IFERROR(VLOOKUP($A5,eval!$A$2:$E$21,5,FALSE),"")</f>
        <v>정상</v>
      </c>
      <c r="K5" t="str">
        <f>IFERROR(VLOOKUP($A5,eval!$A$2:$C$21,3,FALSE),"")</f>
        <v>KS-21</v>
      </c>
      <c r="L5" t="str">
        <f>IFERROR(IF(VLOOKUP($A5,eval!$A$2:$D$21,4,FALSE)="","",VLOOKUP($A5,eval!$A$2:$D$21,4,FALSE)),"")</f>
        <v>KS-7</v>
      </c>
      <c r="M5" s="5">
        <f>IF(J5="함정","",IF(COUNTA(B5:D5)=0,"",IF(COUNTIF(B5:D5,K5)+IF(L5="",0,COUNTIF(B5:D5,L5))&gt;0,1,0)))</f>
        <v/>
      </c>
      <c r="N5" s="5">
        <f>IF(J5="함정","",IF(COUNTA(B5:F5)=0,"",MAX(IFERROR(1/MATCH(K5,B5:F5,0),0),IF(L5="",0,IFERROR(1/MATCH(L5,B5:F5,0),0)))))</f>
        <v/>
      </c>
      <c r="O5" s="5">
        <f>IF(J5="함정","",IF(COUNTA(B5:F5)=0,"",(COUNTIF(B5:B5,K5)+IF(L5="",0,COUNTIF(B5:B5,L5)))/1))</f>
        <v/>
      </c>
      <c r="P5" s="5">
        <f>IF(J5="함정","",IF(COUNTA(B5:F5)=0,"",(COUNTIF(B5:B5,K5)+IF(L5="",0,COUNTIF(B5:B5,L5)))/IF(L5="",1,2)))</f>
        <v/>
      </c>
      <c r="Q5" s="5">
        <f>IF(J5="함정","",IF(COUNTA(B5:F5)=0,"",IF(O5+P5=0,0,2*O5*P5/(O5+P5))))</f>
        <v/>
      </c>
      <c r="R5" s="5">
        <f>IF(J5="함정","",IF(COUNTA(B5:F5)=0,"",(COUNTIF(B5:D5,K5)+IF(L5="",0,COUNTIF(B5:D5,L5)))/3))</f>
        <v/>
      </c>
      <c r="S5" s="5">
        <f>IF(J5="함정","",IF(COUNTA(B5:F5)=0,"",(COUNTIF(B5:D5,K5)+IF(L5="",0,COUNTIF(B5:D5,L5)))/IF(L5="",1,2)))</f>
        <v/>
      </c>
      <c r="T5" s="5">
        <f>IF(J5="함정","",IF(COUNTA(B5:F5)=0,"",IF(R5+S5=0,0,2*R5*S5/(R5+S5))))</f>
        <v/>
      </c>
      <c r="U5" s="5">
        <f>IF(J5="함정","",IF(COUNTA(B5:F5)=0,"",(COUNTIF(B5:F5,K5)+IF(L5="",0,COUNTIF(B5:F5,L5)))/5))</f>
        <v/>
      </c>
      <c r="V5" s="5">
        <f>IF(J5="함정","",IF(COUNTA(B5:F5)=0,"",(COUNTIF(B5:F5,K5)+IF(L5="",0,COUNTIF(B5:F5,L5)))/IF(L5="",1,2)))</f>
        <v/>
      </c>
      <c r="W5" s="5">
        <f>IF(J5="함정","",IF(COUNTA(B5:F5)=0,"",IF(U5+V5=0,0,2*U5*V5/(U5+V5))))</f>
        <v/>
      </c>
    </row>
    <row r="6" spans="1:23">
      <c r="A6" t="s">
        <v>53</v>
      </c>
      <c r="B6" s="4"/>
      <c r="C6" s="4"/>
      <c r="D6" s="4"/>
      <c r="E6" s="4"/>
      <c r="F6" s="4"/>
      <c r="G6" s="4"/>
      <c r="H6" s="4"/>
      <c r="I6" s="4"/>
      <c r="J6" t="str">
        <f>IFERROR(VLOOKUP($A6,eval!$A$2:$E$21,5,FALSE),"")</f>
        <v>정상</v>
      </c>
      <c r="K6" t="str">
        <f>IFERROR(VLOOKUP($A6,eval!$A$2:$C$21,3,FALSE),"")</f>
        <v>KS-7</v>
      </c>
      <c r="L6">
        <f>IFERROR(IF(VLOOKUP($A6,eval!$A$2:$D$21,4,FALSE)="","",VLOOKUP($A6,eval!$A$2:$D$21,4,FALSE)),"")</f>
        <v/>
      </c>
      <c r="M6" s="5">
        <f>IF(J6="함정","",IF(COUNTA(B6:D6)=0,"",IF(COUNTIF(B6:D6,K6)+IF(L6="",0,COUNTIF(B6:D6,L6))&gt;0,1,0)))</f>
        <v/>
      </c>
      <c r="N6" s="5">
        <f>IF(J6="함정","",IF(COUNTA(B6:F6)=0,"",MAX(IFERROR(1/MATCH(K6,B6:F6,0),0),IF(L6="",0,IFERROR(1/MATCH(L6,B6:F6,0),0)))))</f>
        <v/>
      </c>
      <c r="O6" s="5">
        <f>IF(J6="함정","",IF(COUNTA(B6:F6)=0,"",(COUNTIF(B6:B6,K6)+IF(L6="",0,COUNTIF(B6:B6,L6)))/1))</f>
        <v/>
      </c>
      <c r="P6" s="5">
        <f>IF(J6="함정","",IF(COUNTA(B6:F6)=0,"",(COUNTIF(B6:B6,K6)+IF(L6="",0,COUNTIF(B6:B6,L6)))/IF(L6="",1,2)))</f>
        <v/>
      </c>
      <c r="Q6" s="5">
        <f>IF(J6="함정","",IF(COUNTA(B6:F6)=0,"",IF(O6+P6=0,0,2*O6*P6/(O6+P6))))</f>
        <v/>
      </c>
      <c r="R6" s="5">
        <f>IF(J6="함정","",IF(COUNTA(B6:F6)=0,"",(COUNTIF(B6:D6,K6)+IF(L6="",0,COUNTIF(B6:D6,L6)))/3))</f>
        <v/>
      </c>
      <c r="S6" s="5">
        <f>IF(J6="함정","",IF(COUNTA(B6:F6)=0,"",(COUNTIF(B6:D6,K6)+IF(L6="",0,COUNTIF(B6:D6,L6)))/IF(L6="",1,2)))</f>
        <v/>
      </c>
      <c r="T6" s="5">
        <f>IF(J6="함정","",IF(COUNTA(B6:F6)=0,"",IF(R6+S6=0,0,2*R6*S6/(R6+S6))))</f>
        <v/>
      </c>
      <c r="U6" s="5">
        <f>IF(J6="함정","",IF(COUNTA(B6:F6)=0,"",(COUNTIF(B6:F6,K6)+IF(L6="",0,COUNTIF(B6:F6,L6)))/5))</f>
        <v/>
      </c>
      <c r="V6" s="5">
        <f>IF(J6="함정","",IF(COUNTA(B6:F6)=0,"",(COUNTIF(B6:F6,K6)+IF(L6="",0,COUNTIF(B6:F6,L6)))/IF(L6="",1,2)))</f>
        <v/>
      </c>
      <c r="W6" s="5">
        <f>IF(J6="함정","",IF(COUNTA(B6:F6)=0,"",IF(U6+V6=0,0,2*U6*V6/(U6+V6))))</f>
        <v/>
      </c>
    </row>
    <row r="7" spans="1:23">
      <c r="A7" t="s">
        <v>60</v>
      </c>
      <c r="B7" s="4"/>
      <c r="C7" s="4"/>
      <c r="D7" s="4"/>
      <c r="E7" s="4"/>
      <c r="F7" s="4"/>
      <c r="G7" s="4"/>
      <c r="H7" s="4"/>
      <c r="I7" s="4"/>
      <c r="J7" t="str">
        <f>IFERROR(VLOOKUP($A7,eval!$A$2:$E$21,5,FALSE),"")</f>
        <v>정상</v>
      </c>
      <c r="K7" t="str">
        <f>IFERROR(VLOOKUP($A7,eval!$A$2:$C$21,3,FALSE),"")</f>
        <v>KS-7</v>
      </c>
      <c r="L7">
        <f>IFERROR(IF(VLOOKUP($A7,eval!$A$2:$D$21,4,FALSE)="","",VLOOKUP($A7,eval!$A$2:$D$21,4,FALSE)),"")</f>
        <v/>
      </c>
      <c r="M7" s="5">
        <f>IF(J7="함정","",IF(COUNTA(B7:D7)=0,"",IF(COUNTIF(B7:D7,K7)+IF(L7="",0,COUNTIF(B7:D7,L7))&gt;0,1,0)))</f>
        <v/>
      </c>
      <c r="N7" s="5">
        <f>IF(J7="함정","",IF(COUNTA(B7:F7)=0,"",MAX(IFERROR(1/MATCH(K7,B7:F7,0),0),IF(L7="",0,IFERROR(1/MATCH(L7,B7:F7,0),0)))))</f>
        <v/>
      </c>
      <c r="O7" s="5">
        <f>IF(J7="함정","",IF(COUNTA(B7:F7)=0,"",(COUNTIF(B7:B7,K7)+IF(L7="",0,COUNTIF(B7:B7,L7)))/1))</f>
        <v/>
      </c>
      <c r="P7" s="5">
        <f>IF(J7="함정","",IF(COUNTA(B7:F7)=0,"",(COUNTIF(B7:B7,K7)+IF(L7="",0,COUNTIF(B7:B7,L7)))/IF(L7="",1,2)))</f>
        <v/>
      </c>
      <c r="Q7" s="5">
        <f>IF(J7="함정","",IF(COUNTA(B7:F7)=0,"",IF(O7+P7=0,0,2*O7*P7/(O7+P7))))</f>
        <v/>
      </c>
      <c r="R7" s="5">
        <f>IF(J7="함정","",IF(COUNTA(B7:F7)=0,"",(COUNTIF(B7:D7,K7)+IF(L7="",0,COUNTIF(B7:D7,L7)))/3))</f>
        <v/>
      </c>
      <c r="S7" s="5">
        <f>IF(J7="함정","",IF(COUNTA(B7:F7)=0,"",(COUNTIF(B7:D7,K7)+IF(L7="",0,COUNTIF(B7:D7,L7)))/IF(L7="",1,2)))</f>
        <v/>
      </c>
      <c r="T7" s="5">
        <f>IF(J7="함정","",IF(COUNTA(B7:F7)=0,"",IF(R7+S7=0,0,2*R7*S7/(R7+S7))))</f>
        <v/>
      </c>
      <c r="U7" s="5">
        <f>IF(J7="함정","",IF(COUNTA(B7:F7)=0,"",(COUNTIF(B7:F7,K7)+IF(L7="",0,COUNTIF(B7:F7,L7)))/5))</f>
        <v/>
      </c>
      <c r="V7" s="5">
        <f>IF(J7="함정","",IF(COUNTA(B7:F7)=0,"",(COUNTIF(B7:F7,K7)+IF(L7="",0,COUNTIF(B7:F7,L7)))/IF(L7="",1,2)))</f>
        <v/>
      </c>
      <c r="W7" s="5">
        <f>IF(J7="함정","",IF(COUNTA(B7:F7)=0,"",IF(U7+V7=0,0,2*U7*V7/(U7+V7))))</f>
        <v/>
      </c>
    </row>
    <row r="8" spans="1:23">
      <c r="A8" t="s">
        <v>65</v>
      </c>
      <c r="B8" s="4"/>
      <c r="C8" s="4"/>
      <c r="D8" s="4"/>
      <c r="E8" s="4"/>
      <c r="F8" s="4"/>
      <c r="G8" s="4"/>
      <c r="H8" s="4"/>
      <c r="I8" s="4"/>
      <c r="J8" t="str">
        <f>IFERROR(VLOOKUP($A8,eval!$A$2:$E$21,5,FALSE),"")</f>
        <v>충돌</v>
      </c>
      <c r="K8" t="str">
        <f>IFERROR(VLOOKUP($A8,eval!$A$2:$C$21,3,FALSE),"")</f>
        <v>HB-27</v>
      </c>
      <c r="L8" t="str">
        <f>IFERROR(IF(VLOOKUP($A8,eval!$A$2:$D$21,4,FALSE)="","",VLOOKUP($A8,eval!$A$2:$D$21,4,FALSE)),"")</f>
        <v>KS-7</v>
      </c>
      <c r="M8" s="5">
        <f>IF(J8="함정","",IF(COUNTA(B8:D8)=0,"",IF(COUNTIF(B8:D8,K8)+IF(L8="",0,COUNTIF(B8:D8,L8))&gt;0,1,0)))</f>
        <v/>
      </c>
      <c r="N8" s="5">
        <f>IF(J8="함정","",IF(COUNTA(B8:F8)=0,"",MAX(IFERROR(1/MATCH(K8,B8:F8,0),0),IF(L8="",0,IFERROR(1/MATCH(L8,B8:F8,0),0)))))</f>
        <v/>
      </c>
      <c r="O8" s="5">
        <f>IF(J8="함정","",IF(COUNTA(B8:F8)=0,"",(COUNTIF(B8:B8,K8)+IF(L8="",0,COUNTIF(B8:B8,L8)))/1))</f>
        <v/>
      </c>
      <c r="P8" s="5">
        <f>IF(J8="함정","",IF(COUNTA(B8:F8)=0,"",(COUNTIF(B8:B8,K8)+IF(L8="",0,COUNTIF(B8:B8,L8)))/IF(L8="",1,2)))</f>
        <v/>
      </c>
      <c r="Q8" s="5">
        <f>IF(J8="함정","",IF(COUNTA(B8:F8)=0,"",IF(O8+P8=0,0,2*O8*P8/(O8+P8))))</f>
        <v/>
      </c>
      <c r="R8" s="5">
        <f>IF(J8="함정","",IF(COUNTA(B8:F8)=0,"",(COUNTIF(B8:D8,K8)+IF(L8="",0,COUNTIF(B8:D8,L8)))/3))</f>
        <v/>
      </c>
      <c r="S8" s="5">
        <f>IF(J8="함정","",IF(COUNTA(B8:F8)=0,"",(COUNTIF(B8:D8,K8)+IF(L8="",0,COUNTIF(B8:D8,L8)))/IF(L8="",1,2)))</f>
        <v/>
      </c>
      <c r="T8" s="5">
        <f>IF(J8="함정","",IF(COUNTA(B8:F8)=0,"",IF(R8+S8=0,0,2*R8*S8/(R8+S8))))</f>
        <v/>
      </c>
      <c r="U8" s="5">
        <f>IF(J8="함정","",IF(COUNTA(B8:F8)=0,"",(COUNTIF(B8:F8,K8)+IF(L8="",0,COUNTIF(B8:F8,L8)))/5))</f>
        <v/>
      </c>
      <c r="V8" s="5">
        <f>IF(J8="함정","",IF(COUNTA(B8:F8)=0,"",(COUNTIF(B8:F8,K8)+IF(L8="",0,COUNTIF(B8:F8,L8)))/IF(L8="",1,2)))</f>
        <v/>
      </c>
      <c r="W8" s="5">
        <f>IF(J8="함정","",IF(COUNTA(B8:F8)=0,"",IF(U8+V8=0,0,2*U8*V8/(U8+V8))))</f>
        <v/>
      </c>
    </row>
    <row r="9" spans="1:23">
      <c r="A9" t="s">
        <v>74</v>
      </c>
      <c r="B9" s="4"/>
      <c r="C9" s="4"/>
      <c r="D9" s="4"/>
      <c r="E9" s="4"/>
      <c r="F9" s="4"/>
      <c r="G9" s="4"/>
      <c r="H9" s="4"/>
      <c r="I9" s="4"/>
      <c r="J9" t="str">
        <f>IFERROR(VLOOKUP($A9,eval!$A$2:$E$21,5,FALSE),"")</f>
        <v>충돌</v>
      </c>
      <c r="K9" t="str">
        <f>IFERROR(VLOOKUP($A9,eval!$A$2:$C$21,3,FALSE),"")</f>
        <v>HB-21</v>
      </c>
      <c r="L9" t="str">
        <f>IFERROR(IF(VLOOKUP($A9,eval!$A$2:$D$21,4,FALSE)="","",VLOOKUP($A9,eval!$A$2:$D$21,4,FALSE)),"")</f>
        <v>KS-31</v>
      </c>
      <c r="M9" s="5">
        <f>IF(J9="함정","",IF(COUNTA(B9:D9)=0,"",IF(COUNTIF(B9:D9,K9)+IF(L9="",0,COUNTIF(B9:D9,L9))&gt;0,1,0)))</f>
        <v/>
      </c>
      <c r="N9" s="5">
        <f>IF(J9="함정","",IF(COUNTA(B9:F9)=0,"",MAX(IFERROR(1/MATCH(K9,B9:F9,0),0),IF(L9="",0,IFERROR(1/MATCH(L9,B9:F9,0),0)))))</f>
        <v/>
      </c>
      <c r="O9" s="5">
        <f>IF(J9="함정","",IF(COUNTA(B9:F9)=0,"",(COUNTIF(B9:B9,K9)+IF(L9="",0,COUNTIF(B9:B9,L9)))/1))</f>
        <v/>
      </c>
      <c r="P9" s="5">
        <f>IF(J9="함정","",IF(COUNTA(B9:F9)=0,"",(COUNTIF(B9:B9,K9)+IF(L9="",0,COUNTIF(B9:B9,L9)))/IF(L9="",1,2)))</f>
        <v/>
      </c>
      <c r="Q9" s="5">
        <f>IF(J9="함정","",IF(COUNTA(B9:F9)=0,"",IF(O9+P9=0,0,2*O9*P9/(O9+P9))))</f>
        <v/>
      </c>
      <c r="R9" s="5">
        <f>IF(J9="함정","",IF(COUNTA(B9:F9)=0,"",(COUNTIF(B9:D9,K9)+IF(L9="",0,COUNTIF(B9:D9,L9)))/3))</f>
        <v/>
      </c>
      <c r="S9" s="5">
        <f>IF(J9="함정","",IF(COUNTA(B9:F9)=0,"",(COUNTIF(B9:D9,K9)+IF(L9="",0,COUNTIF(B9:D9,L9)))/IF(L9="",1,2)))</f>
        <v/>
      </c>
      <c r="T9" s="5">
        <f>IF(J9="함정","",IF(COUNTA(B9:F9)=0,"",IF(R9+S9=0,0,2*R9*S9/(R9+S9))))</f>
        <v/>
      </c>
      <c r="U9" s="5">
        <f>IF(J9="함정","",IF(COUNTA(B9:F9)=0,"",(COUNTIF(B9:F9,K9)+IF(L9="",0,COUNTIF(B9:F9,L9)))/5))</f>
        <v/>
      </c>
      <c r="V9" s="5">
        <f>IF(J9="함정","",IF(COUNTA(B9:F9)=0,"",(COUNTIF(B9:F9,K9)+IF(L9="",0,COUNTIF(B9:F9,L9)))/IF(L9="",1,2)))</f>
        <v/>
      </c>
      <c r="W9" s="5">
        <f>IF(J9="함정","",IF(COUNTA(B9:F9)=0,"",IF(U9+V9=0,0,2*U9*V9/(U9+V9))))</f>
        <v/>
      </c>
    </row>
    <row r="10" spans="1:23">
      <c r="A10" t="s">
        <v>81</v>
      </c>
      <c r="B10" s="4"/>
      <c r="C10" s="4"/>
      <c r="D10" s="4"/>
      <c r="E10" s="4"/>
      <c r="F10" s="4"/>
      <c r="G10" s="4"/>
      <c r="H10" s="4"/>
      <c r="I10" s="4"/>
      <c r="J10" t="str">
        <f>IFERROR(VLOOKUP($A10,eval!$A$2:$E$21,5,FALSE),"")</f>
        <v>정상</v>
      </c>
      <c r="K10" t="str">
        <f>IFERROR(VLOOKUP($A10,eval!$A$2:$C$21,3,FALSE),"")</f>
        <v>KS-7</v>
      </c>
      <c r="L10" t="str">
        <f>IFERROR(IF(VLOOKUP($A10,eval!$A$2:$D$21,4,FALSE)="","",VLOOKUP($A10,eval!$A$2:$D$21,4,FALSE)),"")</f>
        <v>HB-20</v>
      </c>
      <c r="M10" s="5">
        <f>IF(J10="함정","",IF(COUNTA(B10:D10)=0,"",IF(COUNTIF(B10:D10,K10)+IF(L10="",0,COUNTIF(B10:D10,L10))&gt;0,1,0)))</f>
        <v/>
      </c>
      <c r="N10" s="5">
        <f>IF(J10="함정","",IF(COUNTA(B10:F10)=0,"",MAX(IFERROR(1/MATCH(K10,B10:F10,0),0),IF(L10="",0,IFERROR(1/MATCH(L10,B10:F10,0),0)))))</f>
        <v/>
      </c>
      <c r="O10" s="5">
        <f>IF(J10="함정","",IF(COUNTA(B10:F10)=0,"",(COUNTIF(B10:B10,K10)+IF(L10="",0,COUNTIF(B10:B10,L10)))/1))</f>
        <v/>
      </c>
      <c r="P10" s="5">
        <f>IF(J10="함정","",IF(COUNTA(B10:F10)=0,"",(COUNTIF(B10:B10,K10)+IF(L10="",0,COUNTIF(B10:B10,L10)))/IF(L10="",1,2)))</f>
        <v/>
      </c>
      <c r="Q10" s="5">
        <f>IF(J10="함정","",IF(COUNTA(B10:F10)=0,"",IF(O10+P10=0,0,2*O10*P10/(O10+P10))))</f>
        <v/>
      </c>
      <c r="R10" s="5">
        <f>IF(J10="함정","",IF(COUNTA(B10:F10)=0,"",(COUNTIF(B10:D10,K10)+IF(L10="",0,COUNTIF(B10:D10,L10)))/3))</f>
        <v/>
      </c>
      <c r="S10" s="5">
        <f>IF(J10="함정","",IF(COUNTA(B10:F10)=0,"",(COUNTIF(B10:D10,K10)+IF(L10="",0,COUNTIF(B10:D10,L10)))/IF(L10="",1,2)))</f>
        <v/>
      </c>
      <c r="T10" s="5">
        <f>IF(J10="함정","",IF(COUNTA(B10:F10)=0,"",IF(R10+S10=0,0,2*R10*S10/(R10+S10))))</f>
        <v/>
      </c>
      <c r="U10" s="5">
        <f>IF(J10="함정","",IF(COUNTA(B10:F10)=0,"",(COUNTIF(B10:F10,K10)+IF(L10="",0,COUNTIF(B10:F10,L10)))/5))</f>
        <v/>
      </c>
      <c r="V10" s="5">
        <f>IF(J10="함정","",IF(COUNTA(B10:F10)=0,"",(COUNTIF(B10:F10,K10)+IF(L10="",0,COUNTIF(B10:F10,L10)))/IF(L10="",1,2)))</f>
        <v/>
      </c>
      <c r="W10" s="5">
        <f>IF(J10="함정","",IF(COUNTA(B10:F10)=0,"",IF(U10+V10=0,0,2*U10*V10/(U10+V10))))</f>
        <v/>
      </c>
    </row>
    <row r="11" spans="1:23">
      <c r="A11" t="s">
        <v>88</v>
      </c>
      <c r="B11" s="4"/>
      <c r="C11" s="4"/>
      <c r="D11" s="4"/>
      <c r="E11" s="4"/>
      <c r="F11" s="4"/>
      <c r="G11" s="4"/>
      <c r="H11" s="4"/>
      <c r="I11" s="4"/>
      <c r="J11" t="str">
        <f>IFERROR(VLOOKUP($A11,eval!$A$2:$E$21,5,FALSE),"")</f>
        <v>정상</v>
      </c>
      <c r="K11" t="str">
        <f>IFERROR(VLOOKUP($A11,eval!$A$2:$C$21,3,FALSE),"")</f>
        <v>KS-22</v>
      </c>
      <c r="L11">
        <f>IFERROR(IF(VLOOKUP($A11,eval!$A$2:$D$21,4,FALSE)="","",VLOOKUP($A11,eval!$A$2:$D$21,4,FALSE)),"")</f>
        <v/>
      </c>
      <c r="M11" s="5">
        <f>IF(J11="함정","",IF(COUNTA(B11:D11)=0,"",IF(COUNTIF(B11:D11,K11)+IF(L11="",0,COUNTIF(B11:D11,L11))&gt;0,1,0)))</f>
        <v/>
      </c>
      <c r="N11" s="5">
        <f>IF(J11="함정","",IF(COUNTA(B11:F11)=0,"",MAX(IFERROR(1/MATCH(K11,B11:F11,0),0),IF(L11="",0,IFERROR(1/MATCH(L11,B11:F11,0),0)))))</f>
        <v/>
      </c>
      <c r="O11" s="5">
        <f>IF(J11="함정","",IF(COUNTA(B11:F11)=0,"",(COUNTIF(B11:B11,K11)+IF(L11="",0,COUNTIF(B11:B11,L11)))/1))</f>
        <v/>
      </c>
      <c r="P11" s="5">
        <f>IF(J11="함정","",IF(COUNTA(B11:F11)=0,"",(COUNTIF(B11:B11,K11)+IF(L11="",0,COUNTIF(B11:B11,L11)))/IF(L11="",1,2)))</f>
        <v/>
      </c>
      <c r="Q11" s="5">
        <f>IF(J11="함정","",IF(COUNTA(B11:F11)=0,"",IF(O11+P11=0,0,2*O11*P11/(O11+P11))))</f>
        <v/>
      </c>
      <c r="R11" s="5">
        <f>IF(J11="함정","",IF(COUNTA(B11:F11)=0,"",(COUNTIF(B11:D11,K11)+IF(L11="",0,COUNTIF(B11:D11,L11)))/3))</f>
        <v/>
      </c>
      <c r="S11" s="5">
        <f>IF(J11="함정","",IF(COUNTA(B11:F11)=0,"",(COUNTIF(B11:D11,K11)+IF(L11="",0,COUNTIF(B11:D11,L11)))/IF(L11="",1,2)))</f>
        <v/>
      </c>
      <c r="T11" s="5">
        <f>IF(J11="함정","",IF(COUNTA(B11:F11)=0,"",IF(R11+S11=0,0,2*R11*S11/(R11+S11))))</f>
        <v/>
      </c>
      <c r="U11" s="5">
        <f>IF(J11="함정","",IF(COUNTA(B11:F11)=0,"",(COUNTIF(B11:F11,K11)+IF(L11="",0,COUNTIF(B11:F11,L11)))/5))</f>
        <v/>
      </c>
      <c r="V11" s="5">
        <f>IF(J11="함정","",IF(COUNTA(B11:F11)=0,"",(COUNTIF(B11:F11,K11)+IF(L11="",0,COUNTIF(B11:F11,L11)))/IF(L11="",1,2)))</f>
        <v/>
      </c>
      <c r="W11" s="5">
        <f>IF(J11="함정","",IF(COUNTA(B11:F11)=0,"",IF(U11+V11=0,0,2*U11*V11/(U11+V11))))</f>
        <v/>
      </c>
    </row>
    <row r="12" spans="1:23">
      <c r="A12" t="s">
        <v>94</v>
      </c>
      <c r="B12" s="4"/>
      <c r="C12" s="4"/>
      <c r="D12" s="4"/>
      <c r="E12" s="4"/>
      <c r="F12" s="4"/>
      <c r="G12" s="4"/>
      <c r="H12" s="4"/>
      <c r="I12" s="4"/>
      <c r="J12" t="str">
        <f>IFERROR(VLOOKUP($A12,eval!$A$2:$E$21,5,FALSE),"")</f>
        <v>정상</v>
      </c>
      <c r="K12" t="str">
        <f>IFERROR(VLOOKUP($A12,eval!$A$2:$C$21,3,FALSE),"")</f>
        <v>KS-25</v>
      </c>
      <c r="L12">
        <f>IFERROR(IF(VLOOKUP($A12,eval!$A$2:$D$21,4,FALSE)="","",VLOOKUP($A12,eval!$A$2:$D$21,4,FALSE)),"")</f>
        <v/>
      </c>
      <c r="M12" s="5">
        <f>IF(J12="함정","",IF(COUNTA(B12:D12)=0,"",IF(COUNTIF(B12:D12,K12)+IF(L12="",0,COUNTIF(B12:D12,L12))&gt;0,1,0)))</f>
        <v/>
      </c>
      <c r="N12" s="5">
        <f>IF(J12="함정","",IF(COUNTA(B12:F12)=0,"",MAX(IFERROR(1/MATCH(K12,B12:F12,0),0),IF(L12="",0,IFERROR(1/MATCH(L12,B12:F12,0),0)))))</f>
        <v/>
      </c>
      <c r="O12" s="5">
        <f>IF(J12="함정","",IF(COUNTA(B12:F12)=0,"",(COUNTIF(B12:B12,K12)+IF(L12="",0,COUNTIF(B12:B12,L12)))/1))</f>
        <v/>
      </c>
      <c r="P12" s="5">
        <f>IF(J12="함정","",IF(COUNTA(B12:F12)=0,"",(COUNTIF(B12:B12,K12)+IF(L12="",0,COUNTIF(B12:B12,L12)))/IF(L12="",1,2)))</f>
        <v/>
      </c>
      <c r="Q12" s="5">
        <f>IF(J12="함정","",IF(COUNTA(B12:F12)=0,"",IF(O12+P12=0,0,2*O12*P12/(O12+P12))))</f>
        <v/>
      </c>
      <c r="R12" s="5">
        <f>IF(J12="함정","",IF(COUNTA(B12:F12)=0,"",(COUNTIF(B12:D12,K12)+IF(L12="",0,COUNTIF(B12:D12,L12)))/3))</f>
        <v/>
      </c>
      <c r="S12" s="5">
        <f>IF(J12="함정","",IF(COUNTA(B12:F12)=0,"",(COUNTIF(B12:D12,K12)+IF(L12="",0,COUNTIF(B12:D12,L12)))/IF(L12="",1,2)))</f>
        <v/>
      </c>
      <c r="T12" s="5">
        <f>IF(J12="함정","",IF(COUNTA(B12:F12)=0,"",IF(R12+S12=0,0,2*R12*S12/(R12+S12))))</f>
        <v/>
      </c>
      <c r="U12" s="5">
        <f>IF(J12="함정","",IF(COUNTA(B12:F12)=0,"",(COUNTIF(B12:F12,K12)+IF(L12="",0,COUNTIF(B12:F12,L12)))/5))</f>
        <v/>
      </c>
      <c r="V12" s="5">
        <f>IF(J12="함정","",IF(COUNTA(B12:F12)=0,"",(COUNTIF(B12:F12,K12)+IF(L12="",0,COUNTIF(B12:F12,L12)))/IF(L12="",1,2)))</f>
        <v/>
      </c>
      <c r="W12" s="5">
        <f>IF(J12="함정","",IF(COUNTA(B12:F12)=0,"",IF(U12+V12=0,0,2*U12*V12/(U12+V12))))</f>
        <v/>
      </c>
    </row>
    <row r="13" spans="1:23">
      <c r="A13" t="s">
        <v>101</v>
      </c>
      <c r="B13" s="4"/>
      <c r="C13" s="4"/>
      <c r="D13" s="4"/>
      <c r="E13" s="4"/>
      <c r="F13" s="4"/>
      <c r="G13" s="4"/>
      <c r="H13" s="4"/>
      <c r="I13" s="4"/>
      <c r="J13" t="str">
        <f>IFERROR(VLOOKUP($A13,eval!$A$2:$E$21,5,FALSE),"")</f>
        <v>정상</v>
      </c>
      <c r="K13" t="str">
        <f>IFERROR(VLOOKUP($A13,eval!$A$2:$C$21,3,FALSE),"")</f>
        <v>KS-22의2</v>
      </c>
      <c r="L13">
        <f>IFERROR(IF(VLOOKUP($A13,eval!$A$2:$D$21,4,FALSE)="","",VLOOKUP($A13,eval!$A$2:$D$21,4,FALSE)),"")</f>
        <v/>
      </c>
      <c r="M13" s="5">
        <f>IF(J13="함정","",IF(COUNTA(B13:D13)=0,"",IF(COUNTIF(B13:D13,K13)+IF(L13="",0,COUNTIF(B13:D13,L13))&gt;0,1,0)))</f>
        <v/>
      </c>
      <c r="N13" s="5">
        <f>IF(J13="함정","",IF(COUNTA(B13:F13)=0,"",MAX(IFERROR(1/MATCH(K13,B13:F13,0),0),IF(L13="",0,IFERROR(1/MATCH(L13,B13:F13,0),0)))))</f>
        <v/>
      </c>
      <c r="O13" s="5">
        <f>IF(J13="함정","",IF(COUNTA(B13:F13)=0,"",(COUNTIF(B13:B13,K13)+IF(L13="",0,COUNTIF(B13:B13,L13)))/1))</f>
        <v/>
      </c>
      <c r="P13" s="5">
        <f>IF(J13="함정","",IF(COUNTA(B13:F13)=0,"",(COUNTIF(B13:B13,K13)+IF(L13="",0,COUNTIF(B13:B13,L13)))/IF(L13="",1,2)))</f>
        <v/>
      </c>
      <c r="Q13" s="5">
        <f>IF(J13="함정","",IF(COUNTA(B13:F13)=0,"",IF(O13+P13=0,0,2*O13*P13/(O13+P13))))</f>
        <v/>
      </c>
      <c r="R13" s="5">
        <f>IF(J13="함정","",IF(COUNTA(B13:F13)=0,"",(COUNTIF(B13:D13,K13)+IF(L13="",0,COUNTIF(B13:D13,L13)))/3))</f>
        <v/>
      </c>
      <c r="S13" s="5">
        <f>IF(J13="함정","",IF(COUNTA(B13:F13)=0,"",(COUNTIF(B13:D13,K13)+IF(L13="",0,COUNTIF(B13:D13,L13)))/IF(L13="",1,2)))</f>
        <v/>
      </c>
      <c r="T13" s="5">
        <f>IF(J13="함정","",IF(COUNTA(B13:F13)=0,"",IF(R13+S13=0,0,2*R13*S13/(R13+S13))))</f>
        <v/>
      </c>
      <c r="U13" s="5">
        <f>IF(J13="함정","",IF(COUNTA(B13:F13)=0,"",(COUNTIF(B13:F13,K13)+IF(L13="",0,COUNTIF(B13:F13,L13)))/5))</f>
        <v/>
      </c>
      <c r="V13" s="5">
        <f>IF(J13="함정","",IF(COUNTA(B13:F13)=0,"",(COUNTIF(B13:F13,K13)+IF(L13="",0,COUNTIF(B13:F13,L13)))/IF(L13="",1,2)))</f>
        <v/>
      </c>
      <c r="W13" s="5">
        <f>IF(J13="함정","",IF(COUNTA(B13:F13)=0,"",IF(U13+V13=0,0,2*U13*V13/(U13+V13))))</f>
        <v/>
      </c>
    </row>
    <row r="14" spans="1:23">
      <c r="A14" t="s">
        <v>107</v>
      </c>
      <c r="B14" s="4"/>
      <c r="C14" s="4"/>
      <c r="D14" s="4"/>
      <c r="E14" s="4"/>
      <c r="F14" s="4"/>
      <c r="G14" s="4"/>
      <c r="H14" s="4"/>
      <c r="I14" s="4"/>
      <c r="J14" t="str">
        <f>IFERROR(VLOOKUP($A14,eval!$A$2:$E$21,5,FALSE),"")</f>
        <v>정상</v>
      </c>
      <c r="K14" t="str">
        <f>IFERROR(VLOOKUP($A14,eval!$A$2:$C$21,3,FALSE),"")</f>
        <v>KS-23</v>
      </c>
      <c r="L14" t="str">
        <f>IFERROR(IF(VLOOKUP($A14,eval!$A$2:$D$21,4,FALSE)="","",VLOOKUP($A14,eval!$A$2:$D$21,4,FALSE)),"")</f>
        <v>HB-20</v>
      </c>
      <c r="M14" s="5">
        <f>IF(J14="함정","",IF(COUNTA(B14:D14)=0,"",IF(COUNTIF(B14:D14,K14)+IF(L14="",0,COUNTIF(B14:D14,L14))&gt;0,1,0)))</f>
        <v/>
      </c>
      <c r="N14" s="5">
        <f>IF(J14="함정","",IF(COUNTA(B14:F14)=0,"",MAX(IFERROR(1/MATCH(K14,B14:F14,0),0),IF(L14="",0,IFERROR(1/MATCH(L14,B14:F14,0),0)))))</f>
        <v/>
      </c>
      <c r="O14" s="5">
        <f>IF(J14="함정","",IF(COUNTA(B14:F14)=0,"",(COUNTIF(B14:B14,K14)+IF(L14="",0,COUNTIF(B14:B14,L14)))/1))</f>
        <v/>
      </c>
      <c r="P14" s="5">
        <f>IF(J14="함정","",IF(COUNTA(B14:F14)=0,"",(COUNTIF(B14:B14,K14)+IF(L14="",0,COUNTIF(B14:B14,L14)))/IF(L14="",1,2)))</f>
        <v/>
      </c>
      <c r="Q14" s="5">
        <f>IF(J14="함정","",IF(COUNTA(B14:F14)=0,"",IF(O14+P14=0,0,2*O14*P14/(O14+P14))))</f>
        <v/>
      </c>
      <c r="R14" s="5">
        <f>IF(J14="함정","",IF(COUNTA(B14:F14)=0,"",(COUNTIF(B14:D14,K14)+IF(L14="",0,COUNTIF(B14:D14,L14)))/3))</f>
        <v/>
      </c>
      <c r="S14" s="5">
        <f>IF(J14="함정","",IF(COUNTA(B14:F14)=0,"",(COUNTIF(B14:D14,K14)+IF(L14="",0,COUNTIF(B14:D14,L14)))/IF(L14="",1,2)))</f>
        <v/>
      </c>
      <c r="T14" s="5">
        <f>IF(J14="함정","",IF(COUNTA(B14:F14)=0,"",IF(R14+S14=0,0,2*R14*S14/(R14+S14))))</f>
        <v/>
      </c>
      <c r="U14" s="5">
        <f>IF(J14="함정","",IF(COUNTA(B14:F14)=0,"",(COUNTIF(B14:F14,K14)+IF(L14="",0,COUNTIF(B14:F14,L14)))/5))</f>
        <v/>
      </c>
      <c r="V14" s="5">
        <f>IF(J14="함정","",IF(COUNTA(B14:F14)=0,"",(COUNTIF(B14:F14,K14)+IF(L14="",0,COUNTIF(B14:F14,L14)))/IF(L14="",1,2)))</f>
        <v/>
      </c>
      <c r="W14" s="5">
        <f>IF(J14="함정","",IF(COUNTA(B14:F14)=0,"",IF(U14+V14=0,0,2*U14*V14/(U14+V14))))</f>
        <v/>
      </c>
    </row>
    <row r="15" spans="1:23">
      <c r="A15" t="s">
        <v>114</v>
      </c>
      <c r="B15" s="4"/>
      <c r="C15" s="4"/>
      <c r="D15" s="4"/>
      <c r="E15" s="4"/>
      <c r="F15" s="4"/>
      <c r="G15" s="4"/>
      <c r="H15" s="4"/>
      <c r="I15" s="4"/>
      <c r="J15" t="str">
        <f>IFERROR(VLOOKUP($A15,eval!$A$2:$E$21,5,FALSE),"")</f>
        <v>정상</v>
      </c>
      <c r="K15" t="str">
        <f>IFERROR(VLOOKUP($A15,eval!$A$2:$C$21,3,FALSE),"")</f>
        <v>KS-18</v>
      </c>
      <c r="L15" t="str">
        <f>IFERROR(IF(VLOOKUP($A15,eval!$A$2:$D$21,4,FALSE)="","",VLOOKUP($A15,eval!$A$2:$D$21,4,FALSE)),"")</f>
        <v>HB-20</v>
      </c>
      <c r="M15" s="5">
        <f>IF(J15="함정","",IF(COUNTA(B15:D15)=0,"",IF(COUNTIF(B15:D15,K15)+IF(L15="",0,COUNTIF(B15:D15,L15))&gt;0,1,0)))</f>
        <v/>
      </c>
      <c r="N15" s="5">
        <f>IF(J15="함정","",IF(COUNTA(B15:F15)=0,"",MAX(IFERROR(1/MATCH(K15,B15:F15,0),0),IF(L15="",0,IFERROR(1/MATCH(L15,B15:F15,0),0)))))</f>
        <v/>
      </c>
      <c r="O15" s="5">
        <f>IF(J15="함정","",IF(COUNTA(B15:F15)=0,"",(COUNTIF(B15:B15,K15)+IF(L15="",0,COUNTIF(B15:B15,L15)))/1))</f>
        <v/>
      </c>
      <c r="P15" s="5">
        <f>IF(J15="함정","",IF(COUNTA(B15:F15)=0,"",(COUNTIF(B15:B15,K15)+IF(L15="",0,COUNTIF(B15:B15,L15)))/IF(L15="",1,2)))</f>
        <v/>
      </c>
      <c r="Q15" s="5">
        <f>IF(J15="함정","",IF(COUNTA(B15:F15)=0,"",IF(O15+P15=0,0,2*O15*P15/(O15+P15))))</f>
        <v/>
      </c>
      <c r="R15" s="5">
        <f>IF(J15="함정","",IF(COUNTA(B15:F15)=0,"",(COUNTIF(B15:D15,K15)+IF(L15="",0,COUNTIF(B15:D15,L15)))/3))</f>
        <v/>
      </c>
      <c r="S15" s="5">
        <f>IF(J15="함정","",IF(COUNTA(B15:F15)=0,"",(COUNTIF(B15:D15,K15)+IF(L15="",0,COUNTIF(B15:D15,L15)))/IF(L15="",1,2)))</f>
        <v/>
      </c>
      <c r="T15" s="5">
        <f>IF(J15="함정","",IF(COUNTA(B15:F15)=0,"",IF(R15+S15=0,0,2*R15*S15/(R15+S15))))</f>
        <v/>
      </c>
      <c r="U15" s="5">
        <f>IF(J15="함정","",IF(COUNTA(B15:F15)=0,"",(COUNTIF(B15:F15,K15)+IF(L15="",0,COUNTIF(B15:F15,L15)))/5))</f>
        <v/>
      </c>
      <c r="V15" s="5">
        <f>IF(J15="함정","",IF(COUNTA(B15:F15)=0,"",(COUNTIF(B15:F15,K15)+IF(L15="",0,COUNTIF(B15:F15,L15)))/IF(L15="",1,2)))</f>
        <v/>
      </c>
      <c r="W15" s="5">
        <f>IF(J15="함정","",IF(COUNTA(B15:F15)=0,"",IF(U15+V15=0,0,2*U15*V15/(U15+V15))))</f>
        <v/>
      </c>
    </row>
    <row r="16" spans="1:23">
      <c r="A16" t="s">
        <v>121</v>
      </c>
      <c r="B16" s="4"/>
      <c r="C16" s="4"/>
      <c r="D16" s="4"/>
      <c r="E16" s="4"/>
      <c r="F16" s="4"/>
      <c r="G16" s="4"/>
      <c r="H16" s="4"/>
      <c r="I16" s="4"/>
      <c r="J16" t="str">
        <f>IFERROR(VLOOKUP($A16,eval!$A$2:$E$21,5,FALSE),"")</f>
        <v>정상</v>
      </c>
      <c r="K16" t="str">
        <f>IFERROR(VLOOKUP($A16,eval!$A$2:$C$21,3,FALSE),"")</f>
        <v>HB-10</v>
      </c>
      <c r="L16">
        <f>IFERROR(IF(VLOOKUP($A16,eval!$A$2:$D$21,4,FALSE)="","",VLOOKUP($A16,eval!$A$2:$D$21,4,FALSE)),"")</f>
        <v/>
      </c>
      <c r="M16" s="5">
        <f>IF(J16="함정","",IF(COUNTA(B16:D16)=0,"",IF(COUNTIF(B16:D16,K16)+IF(L16="",0,COUNTIF(B16:D16,L16))&gt;0,1,0)))</f>
        <v/>
      </c>
      <c r="N16" s="5">
        <f>IF(J16="함정","",IF(COUNTA(B16:F16)=0,"",MAX(IFERROR(1/MATCH(K16,B16:F16,0),0),IF(L16="",0,IFERROR(1/MATCH(L16,B16:F16,0),0)))))</f>
        <v/>
      </c>
      <c r="O16" s="5">
        <f>IF(J16="함정","",IF(COUNTA(B16:F16)=0,"",(COUNTIF(B16:B16,K16)+IF(L16="",0,COUNTIF(B16:B16,L16)))/1))</f>
        <v/>
      </c>
      <c r="P16" s="5">
        <f>IF(J16="함정","",IF(COUNTA(B16:F16)=0,"",(COUNTIF(B16:B16,K16)+IF(L16="",0,COUNTIF(B16:B16,L16)))/IF(L16="",1,2)))</f>
        <v/>
      </c>
      <c r="Q16" s="5">
        <f>IF(J16="함정","",IF(COUNTA(B16:F16)=0,"",IF(O16+P16=0,0,2*O16*P16/(O16+P16))))</f>
        <v/>
      </c>
      <c r="R16" s="5">
        <f>IF(J16="함정","",IF(COUNTA(B16:F16)=0,"",(COUNTIF(B16:D16,K16)+IF(L16="",0,COUNTIF(B16:D16,L16)))/3))</f>
        <v/>
      </c>
      <c r="S16" s="5">
        <f>IF(J16="함정","",IF(COUNTA(B16:F16)=0,"",(COUNTIF(B16:D16,K16)+IF(L16="",0,COUNTIF(B16:D16,L16)))/IF(L16="",1,2)))</f>
        <v/>
      </c>
      <c r="T16" s="5">
        <f>IF(J16="함정","",IF(COUNTA(B16:F16)=0,"",IF(R16+S16=0,0,2*R16*S16/(R16+S16))))</f>
        <v/>
      </c>
      <c r="U16" s="5">
        <f>IF(J16="함정","",IF(COUNTA(B16:F16)=0,"",(COUNTIF(B16:F16,K16)+IF(L16="",0,COUNTIF(B16:F16,L16)))/5))</f>
        <v/>
      </c>
      <c r="V16" s="5">
        <f>IF(J16="함정","",IF(COUNTA(B16:F16)=0,"",(COUNTIF(B16:F16,K16)+IF(L16="",0,COUNTIF(B16:F16,L16)))/IF(L16="",1,2)))</f>
        <v/>
      </c>
      <c r="W16" s="5">
        <f>IF(J16="함정","",IF(COUNTA(B16:F16)=0,"",IF(U16+V16=0,0,2*U16*V16/(U16+V16))))</f>
        <v/>
      </c>
    </row>
    <row r="17" spans="1:23">
      <c r="A17" t="s">
        <v>129</v>
      </c>
      <c r="B17" s="4"/>
      <c r="C17" s="4"/>
      <c r="D17" s="4"/>
      <c r="E17" s="4"/>
      <c r="F17" s="4"/>
      <c r="G17" s="4"/>
      <c r="H17" s="4"/>
      <c r="I17" s="4"/>
      <c r="J17" t="str">
        <f>IFERROR(VLOOKUP($A17,eval!$A$2:$E$21,5,FALSE),"")</f>
        <v>정상</v>
      </c>
      <c r="K17" t="str">
        <f>IFERROR(VLOOKUP($A17,eval!$A$2:$C$21,3,FALSE),"")</f>
        <v>HB-6</v>
      </c>
      <c r="L17">
        <f>IFERROR(IF(VLOOKUP($A17,eval!$A$2:$D$21,4,FALSE)="","",VLOOKUP($A17,eval!$A$2:$D$21,4,FALSE)),"")</f>
        <v/>
      </c>
      <c r="M17" s="5">
        <f>IF(J17="함정","",IF(COUNTA(B17:D17)=0,"",IF(COUNTIF(B17:D17,K17)+IF(L17="",0,COUNTIF(B17:D17,L17))&gt;0,1,0)))</f>
        <v/>
      </c>
      <c r="N17" s="5">
        <f>IF(J17="함정","",IF(COUNTA(B17:F17)=0,"",MAX(IFERROR(1/MATCH(K17,B17:F17,0),0),IF(L17="",0,IFERROR(1/MATCH(L17,B17:F17,0),0)))))</f>
        <v/>
      </c>
      <c r="O17" s="5">
        <f>IF(J17="함정","",IF(COUNTA(B17:F17)=0,"",(COUNTIF(B17:B17,K17)+IF(L17="",0,COUNTIF(B17:B17,L17)))/1))</f>
        <v/>
      </c>
      <c r="P17" s="5">
        <f>IF(J17="함정","",IF(COUNTA(B17:F17)=0,"",(COUNTIF(B17:B17,K17)+IF(L17="",0,COUNTIF(B17:B17,L17)))/IF(L17="",1,2)))</f>
        <v/>
      </c>
      <c r="Q17" s="5">
        <f>IF(J17="함정","",IF(COUNTA(B17:F17)=0,"",IF(O17+P17=0,0,2*O17*P17/(O17+P17))))</f>
        <v/>
      </c>
      <c r="R17" s="5">
        <f>IF(J17="함정","",IF(COUNTA(B17:F17)=0,"",(COUNTIF(B17:D17,K17)+IF(L17="",0,COUNTIF(B17:D17,L17)))/3))</f>
        <v/>
      </c>
      <c r="S17" s="5">
        <f>IF(J17="함정","",IF(COUNTA(B17:F17)=0,"",(COUNTIF(B17:D17,K17)+IF(L17="",0,COUNTIF(B17:D17,L17)))/IF(L17="",1,2)))</f>
        <v/>
      </c>
      <c r="T17" s="5">
        <f>IF(J17="함정","",IF(COUNTA(B17:F17)=0,"",IF(R17+S17=0,0,2*R17*S17/(R17+S17))))</f>
        <v/>
      </c>
      <c r="U17" s="5">
        <f>IF(J17="함정","",IF(COUNTA(B17:F17)=0,"",(COUNTIF(B17:F17,K17)+IF(L17="",0,COUNTIF(B17:F17,L17)))/5))</f>
        <v/>
      </c>
      <c r="V17" s="5">
        <f>IF(J17="함정","",IF(COUNTA(B17:F17)=0,"",(COUNTIF(B17:F17,K17)+IF(L17="",0,COUNTIF(B17:F17,L17)))/IF(L17="",1,2)))</f>
        <v/>
      </c>
      <c r="W17" s="5">
        <f>IF(J17="함정","",IF(COUNTA(B17:F17)=0,"",IF(U17+V17=0,0,2*U17*V17/(U17+V17))))</f>
        <v/>
      </c>
    </row>
    <row r="18" spans="1:23">
      <c r="A18" t="s">
        <v>136</v>
      </c>
      <c r="B18" s="4"/>
      <c r="C18" s="4"/>
      <c r="D18" s="4"/>
      <c r="E18" s="4"/>
      <c r="F18" s="4"/>
      <c r="G18" s="4"/>
      <c r="H18" s="4"/>
      <c r="I18" s="4"/>
      <c r="J18" t="str">
        <f>IFERROR(VLOOKUP($A18,eval!$A$2:$E$21,5,FALSE),"")</f>
        <v>정상</v>
      </c>
      <c r="K18" t="str">
        <f>IFERROR(VLOOKUP($A18,eval!$A$2:$C$21,3,FALSE),"")</f>
        <v>LAW-CIT-19의2</v>
      </c>
      <c r="L18" t="str">
        <f>IFERROR(IF(VLOOKUP($A18,eval!$A$2:$D$21,4,FALSE)="","",VLOOKUP($A18,eval!$A$2:$D$21,4,FALSE)),"")</f>
        <v>HB-34</v>
      </c>
      <c r="M18" s="5">
        <f>IF(J18="함정","",IF(COUNTA(B18:D18)=0,"",IF(COUNTIF(B18:D18,K18)+IF(L18="",0,COUNTIF(B18:D18,L18))&gt;0,1,0)))</f>
        <v/>
      </c>
      <c r="N18" s="5">
        <f>IF(J18="함정","",IF(COUNTA(B18:F18)=0,"",MAX(IFERROR(1/MATCH(K18,B18:F18,0),0),IF(L18="",0,IFERROR(1/MATCH(L18,B18:F18,0),0)))))</f>
        <v/>
      </c>
      <c r="O18" s="5">
        <f>IF(J18="함정","",IF(COUNTA(B18:F18)=0,"",(COUNTIF(B18:B18,K18)+IF(L18="",0,COUNTIF(B18:B18,L18)))/1))</f>
        <v/>
      </c>
      <c r="P18" s="5">
        <f>IF(J18="함정","",IF(COUNTA(B18:F18)=0,"",(COUNTIF(B18:B18,K18)+IF(L18="",0,COUNTIF(B18:B18,L18)))/IF(L18="",1,2)))</f>
        <v/>
      </c>
      <c r="Q18" s="5">
        <f>IF(J18="함정","",IF(COUNTA(B18:F18)=0,"",IF(O18+P18=0,0,2*O18*P18/(O18+P18))))</f>
        <v/>
      </c>
      <c r="R18" s="5">
        <f>IF(J18="함정","",IF(COUNTA(B18:F18)=0,"",(COUNTIF(B18:D18,K18)+IF(L18="",0,COUNTIF(B18:D18,L18)))/3))</f>
        <v/>
      </c>
      <c r="S18" s="5">
        <f>IF(J18="함정","",IF(COUNTA(B18:F18)=0,"",(COUNTIF(B18:D18,K18)+IF(L18="",0,COUNTIF(B18:D18,L18)))/IF(L18="",1,2)))</f>
        <v/>
      </c>
      <c r="T18" s="5">
        <f>IF(J18="함정","",IF(COUNTA(B18:F18)=0,"",IF(R18+S18=0,0,2*R18*S18/(R18+S18))))</f>
        <v/>
      </c>
      <c r="U18" s="5">
        <f>IF(J18="함정","",IF(COUNTA(B18:F18)=0,"",(COUNTIF(B18:F18,K18)+IF(L18="",0,COUNTIF(B18:F18,L18)))/5))</f>
        <v/>
      </c>
      <c r="V18" s="5">
        <f>IF(J18="함정","",IF(COUNTA(B18:F18)=0,"",(COUNTIF(B18:F18,K18)+IF(L18="",0,COUNTIF(B18:F18,L18)))/IF(L18="",1,2)))</f>
        <v/>
      </c>
      <c r="W18" s="5">
        <f>IF(J18="함정","",IF(COUNTA(B18:F18)=0,"",IF(U18+V18=0,0,2*U18*V18/(U18+V18))))</f>
        <v/>
      </c>
    </row>
    <row r="19" spans="1:23">
      <c r="A19" t="s">
        <v>144</v>
      </c>
      <c r="B19" s="4"/>
      <c r="C19" s="4"/>
      <c r="D19" s="4"/>
      <c r="E19" s="4"/>
      <c r="F19" s="4"/>
      <c r="G19" s="4"/>
      <c r="H19" s="4"/>
      <c r="I19" s="4"/>
      <c r="J19" t="str">
        <f>IFERROR(VLOOKUP($A19,eval!$A$2:$E$21,5,FALSE),"")</f>
        <v>정상</v>
      </c>
      <c r="K19" t="str">
        <f>IFERROR(VLOOKUP($A19,eval!$A$2:$C$21,3,FALSE),"")</f>
        <v>LAW-CIT-19의2</v>
      </c>
      <c r="L19" t="str">
        <f>IFERROR(IF(VLOOKUP($A19,eval!$A$2:$D$21,4,FALSE)="","",VLOOKUP($A19,eval!$A$2:$D$21,4,FALSE)),"")</f>
        <v>HB-34</v>
      </c>
      <c r="M19" s="5">
        <f>IF(J19="함정","",IF(COUNTA(B19:D19)=0,"",IF(COUNTIF(B19:D19,K19)+IF(L19="",0,COUNTIF(B19:D19,L19))&gt;0,1,0)))</f>
        <v/>
      </c>
      <c r="N19" s="5">
        <f>IF(J19="함정","",IF(COUNTA(B19:F19)=0,"",MAX(IFERROR(1/MATCH(K19,B19:F19,0),0),IF(L19="",0,IFERROR(1/MATCH(L19,B19:F19,0),0)))))</f>
        <v/>
      </c>
      <c r="O19" s="5">
        <f>IF(J19="함정","",IF(COUNTA(B19:F19)=0,"",(COUNTIF(B19:B19,K19)+IF(L19="",0,COUNTIF(B19:B19,L19)))/1))</f>
        <v/>
      </c>
      <c r="P19" s="5">
        <f>IF(J19="함정","",IF(COUNTA(B19:F19)=0,"",(COUNTIF(B19:B19,K19)+IF(L19="",0,COUNTIF(B19:B19,L19)))/IF(L19="",1,2)))</f>
        <v/>
      </c>
      <c r="Q19" s="5">
        <f>IF(J19="함정","",IF(COUNTA(B19:F19)=0,"",IF(O19+P19=0,0,2*O19*P19/(O19+P19))))</f>
        <v/>
      </c>
      <c r="R19" s="5">
        <f>IF(J19="함정","",IF(COUNTA(B19:F19)=0,"",(COUNTIF(B19:D19,K19)+IF(L19="",0,COUNTIF(B19:D19,L19)))/3))</f>
        <v/>
      </c>
      <c r="S19" s="5">
        <f>IF(J19="함정","",IF(COUNTA(B19:F19)=0,"",(COUNTIF(B19:D19,K19)+IF(L19="",0,COUNTIF(B19:D19,L19)))/IF(L19="",1,2)))</f>
        <v/>
      </c>
      <c r="T19" s="5">
        <f>IF(J19="함정","",IF(COUNTA(B19:F19)=0,"",IF(R19+S19=0,0,2*R19*S19/(R19+S19))))</f>
        <v/>
      </c>
      <c r="U19" s="5">
        <f>IF(J19="함정","",IF(COUNTA(B19:F19)=0,"",(COUNTIF(B19:F19,K19)+IF(L19="",0,COUNTIF(B19:F19,L19)))/5))</f>
        <v/>
      </c>
      <c r="V19" s="5">
        <f>IF(J19="함정","",IF(COUNTA(B19:F19)=0,"",(COUNTIF(B19:F19,K19)+IF(L19="",0,COUNTIF(B19:F19,L19)))/IF(L19="",1,2)))</f>
        <v/>
      </c>
      <c r="W19" s="5">
        <f>IF(J19="함정","",IF(COUNTA(B19:F19)=0,"",IF(U19+V19=0,0,2*U19*V19/(U19+V19))))</f>
        <v/>
      </c>
    </row>
    <row r="20" spans="1:23">
      <c r="A20" t="s">
        <v>150</v>
      </c>
      <c r="B20" s="4"/>
      <c r="C20" s="4"/>
      <c r="D20" s="4"/>
      <c r="E20" s="4"/>
      <c r="F20" s="4"/>
      <c r="G20" s="4"/>
      <c r="H20" s="4"/>
      <c r="I20" s="4"/>
      <c r="J20" t="str">
        <f>IFERROR(VLOOKUP($A20,eval!$A$2:$E$21,5,FALSE),"")</f>
        <v>함정</v>
      </c>
      <c r="K20">
        <f>IFERROR(VLOOKUP($A20,eval!$A$2:$C$21,3,FALSE),"")</f>
        <v/>
      </c>
      <c r="L20">
        <f>IFERROR(IF(VLOOKUP($A20,eval!$A$2:$D$21,4,FALSE)="","",VLOOKUP($A20,eval!$A$2:$D$21,4,FALSE)),"")</f>
        <v/>
      </c>
      <c r="M20" s="5">
        <f>IF(J20="함정","",IF(COUNTA(B20:D20)=0,"",IF(COUNTIF(B20:D20,K20)+IF(L20="",0,COUNTIF(B20:D20,L20))&gt;0,1,0)))</f>
        <v/>
      </c>
      <c r="N20" s="5">
        <f>IF(J20="함정","",IF(COUNTA(B20:F20)=0,"",MAX(IFERROR(1/MATCH(K20,B20:F20,0),0),IF(L20="",0,IFERROR(1/MATCH(L20,B20:F20,0),0)))))</f>
        <v/>
      </c>
      <c r="O20" s="5">
        <f>IF(J20="함정","",IF(COUNTA(B20:F20)=0,"",(COUNTIF(B20:B20,K20)+IF(L20="",0,COUNTIF(B20:B20,L20)))/1))</f>
        <v/>
      </c>
      <c r="P20" s="5">
        <f>IF(J20="함정","",IF(COUNTA(B20:F20)=0,"",(COUNTIF(B20:B20,K20)+IF(L20="",0,COUNTIF(B20:B20,L20)))/IF(L20="",1,2)))</f>
        <v/>
      </c>
      <c r="Q20" s="5">
        <f>IF(J20="함정","",IF(COUNTA(B20:F20)=0,"",IF(O20+P20=0,0,2*O20*P20/(O20+P20))))</f>
        <v/>
      </c>
      <c r="R20" s="5">
        <f>IF(J20="함정","",IF(COUNTA(B20:F20)=0,"",(COUNTIF(B20:D20,K20)+IF(L20="",0,COUNTIF(B20:D20,L20)))/3))</f>
        <v/>
      </c>
      <c r="S20" s="5">
        <f>IF(J20="함정","",IF(COUNTA(B20:F20)=0,"",(COUNTIF(B20:D20,K20)+IF(L20="",0,COUNTIF(B20:D20,L20)))/IF(L20="",1,2)))</f>
        <v/>
      </c>
      <c r="T20" s="5">
        <f>IF(J20="함정","",IF(COUNTA(B20:F20)=0,"",IF(R20+S20=0,0,2*R20*S20/(R20+S20))))</f>
        <v/>
      </c>
      <c r="U20" s="5">
        <f>IF(J20="함정","",IF(COUNTA(B20:F20)=0,"",(COUNTIF(B20:F20,K20)+IF(L20="",0,COUNTIF(B20:F20,L20)))/5))</f>
        <v/>
      </c>
      <c r="V20" s="5">
        <f>IF(J20="함정","",IF(COUNTA(B20:F20)=0,"",(COUNTIF(B20:F20,K20)+IF(L20="",0,COUNTIF(B20:F20,L20)))/IF(L20="",1,2)))</f>
        <v/>
      </c>
      <c r="W20" s="5">
        <f>IF(J20="함정","",IF(COUNTA(B20:F20)=0,"",IF(U20+V20=0,0,2*U20*V20/(U20+V20))))</f>
        <v/>
      </c>
    </row>
    <row r="21" spans="1:23">
      <c r="A21" t="s">
        <v>159</v>
      </c>
      <c r="B21" s="4"/>
      <c r="C21" s="4"/>
      <c r="D21" s="4"/>
      <c r="E21" s="4"/>
      <c r="F21" s="4"/>
      <c r="G21" s="4"/>
      <c r="H21" s="4"/>
      <c r="I21" s="4"/>
      <c r="J21" t="str">
        <f>IFERROR(VLOOKUP($A21,eval!$A$2:$E$21,5,FALSE),"")</f>
        <v>함정</v>
      </c>
      <c r="K21">
        <f>IFERROR(VLOOKUP($A21,eval!$A$2:$C$21,3,FALSE),"")</f>
        <v/>
      </c>
      <c r="L21">
        <f>IFERROR(IF(VLOOKUP($A21,eval!$A$2:$D$21,4,FALSE)="","",VLOOKUP($A21,eval!$A$2:$D$21,4,FALSE)),"")</f>
        <v/>
      </c>
      <c r="M21" s="5">
        <f>IF(J21="함정","",IF(COUNTA(B21:D21)=0,"",IF(COUNTIF(B21:D21,K21)+IF(L21="",0,COUNTIF(B21:D21,L21))&gt;0,1,0)))</f>
        <v/>
      </c>
      <c r="N21" s="5">
        <f>IF(J21="함정","",IF(COUNTA(B21:F21)=0,"",MAX(IFERROR(1/MATCH(K21,B21:F21,0),0),IF(L21="",0,IFERROR(1/MATCH(L21,B21:F21,0),0)))))</f>
        <v/>
      </c>
      <c r="O21" s="5">
        <f>IF(J21="함정","",IF(COUNTA(B21:F21)=0,"",(COUNTIF(B21:B21,K21)+IF(L21="",0,COUNTIF(B21:B21,L21)))/1))</f>
        <v/>
      </c>
      <c r="P21" s="5">
        <f>IF(J21="함정","",IF(COUNTA(B21:F21)=0,"",(COUNTIF(B21:B21,K21)+IF(L21="",0,COUNTIF(B21:B21,L21)))/IF(L21="",1,2)))</f>
        <v/>
      </c>
      <c r="Q21" s="5">
        <f>IF(J21="함정","",IF(COUNTA(B21:F21)=0,"",IF(O21+P21=0,0,2*O21*P21/(O21+P21))))</f>
        <v/>
      </c>
      <c r="R21" s="5">
        <f>IF(J21="함정","",IF(COUNTA(B21:F21)=0,"",(COUNTIF(B21:D21,K21)+IF(L21="",0,COUNTIF(B21:D21,L21)))/3))</f>
        <v/>
      </c>
      <c r="S21" s="5">
        <f>IF(J21="함정","",IF(COUNTA(B21:F21)=0,"",(COUNTIF(B21:D21,K21)+IF(L21="",0,COUNTIF(B21:D21,L21)))/IF(L21="",1,2)))</f>
        <v/>
      </c>
      <c r="T21" s="5">
        <f>IF(J21="함정","",IF(COUNTA(B21:F21)=0,"",IF(R21+S21=0,0,2*R21*S21/(R21+S21))))</f>
        <v/>
      </c>
      <c r="U21" s="5">
        <f>IF(J21="함정","",IF(COUNTA(B21:F21)=0,"",(COUNTIF(B21:F21,K21)+IF(L21="",0,COUNTIF(B21:F21,L21)))/5))</f>
        <v/>
      </c>
      <c r="V21" s="5">
        <f>IF(J21="함정","",IF(COUNTA(B21:F21)=0,"",(COUNTIF(B21:F21,K21)+IF(L21="",0,COUNTIF(B21:F21,L21)))/IF(L21="",1,2)))</f>
        <v/>
      </c>
      <c r="W21" s="5">
        <f>IF(J21="함정","",IF(COUNTA(B21:F21)=0,"",IF(U21+V21=0,0,2*U21*V21/(U21+V21))))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cols>
    <col min="1" max="1" width="14.7109375" customWidth="1"/>
    <col min="2" max="5" width="18.7109375" customWidth="1"/>
    <col min="6" max="6" width="50.7109375" customWidth="1"/>
  </cols>
  <sheetData>
    <row r="1" spans="1:6">
      <c r="A1" s="3" t="s">
        <v>214</v>
      </c>
      <c r="B1" s="3" t="s">
        <v>215</v>
      </c>
      <c r="C1" s="3" t="s">
        <v>216</v>
      </c>
      <c r="D1" s="3" t="s">
        <v>217</v>
      </c>
      <c r="E1" s="3" t="s">
        <v>218</v>
      </c>
      <c r="F1" s="3" t="s">
        <v>219</v>
      </c>
    </row>
    <row r="2" spans="1:6">
      <c r="A2" s="1" t="s">
        <v>209</v>
      </c>
      <c r="B2" s="5">
        <f>IFERROR(AVERAGEIF(eval!$E$2:$E$21,"&lt;&gt;함정",eval!$G$2:$G$21),"")</f>
        <v/>
      </c>
      <c r="C2" s="5">
        <f>IFERROR(AVERAGEIF(eval!$E$2:$E$21,"&lt;&gt;함정",eval!$N$2:$N$21),"")</f>
        <v/>
      </c>
      <c r="D2" t="s">
        <v>156</v>
      </c>
      <c r="E2" s="5">
        <f>IFERROR(AVERAGEIF(run_app!$J$2:$J$21,"&lt;&gt;함정",run_app!$M$2:$M$21),"")</f>
        <v/>
      </c>
      <c r="F2" t="s">
        <v>220</v>
      </c>
    </row>
    <row r="3" spans="1:6">
      <c r="A3" s="1" t="s">
        <v>210</v>
      </c>
      <c r="B3" s="5">
        <f>IFERROR(AVERAGEIF(eval!$E$2:$E$21,"&lt;&gt;함정",eval!$H$2:$H$21),"")</f>
        <v/>
      </c>
      <c r="C3" s="5">
        <f>IFERROR(AVERAGEIF(eval!$E$2:$E$21,"&lt;&gt;함정",eval!$O$2:$O$21),"")</f>
        <v/>
      </c>
      <c r="D3" t="s">
        <v>156</v>
      </c>
      <c r="E3" s="5">
        <f>IFERROR(AVERAGEIF(run_app!$J$2:$J$21,"&lt;&gt;함정",run_app!$N$2:$N$21),"")</f>
        <v/>
      </c>
      <c r="F3" t="s">
        <v>221</v>
      </c>
    </row>
    <row r="4" spans="1:6">
      <c r="A4" s="1" t="s">
        <v>222</v>
      </c>
      <c r="B4" s="5">
        <f>IFERROR(AVERAGEIF(eval!$E$2:$E$21,"&lt;&gt;함정",eval!$P$2:$P$21),"")</f>
        <v/>
      </c>
      <c r="C4" t="s">
        <v>156</v>
      </c>
      <c r="D4" s="5">
        <f>IFERROR(AVERAGEIF(eval!$E$2:$E$21,"&lt;&gt;함정",eval!$S$2:$S$21),"")</f>
        <v/>
      </c>
      <c r="E4" t="s">
        <v>156</v>
      </c>
      <c r="F4" t="s">
        <v>223</v>
      </c>
    </row>
    <row r="5" spans="1:6">
      <c r="A5" s="1" t="s">
        <v>224</v>
      </c>
      <c r="B5" s="5">
        <f>IFERROR(AVERAGEIF(eval!$E$2:$E$21,"&lt;&gt;함정",eval!$Q$2:$Q$21),"")</f>
        <v/>
      </c>
      <c r="C5" t="s">
        <v>156</v>
      </c>
      <c r="D5" s="5">
        <f>IFERROR(AVERAGEIF(eval!$E$2:$E$21,"&lt;&gt;함정",eval!$T$2:$T$21),"")</f>
        <v/>
      </c>
      <c r="E5" t="s">
        <v>156</v>
      </c>
      <c r="F5" t="s">
        <v>225</v>
      </c>
    </row>
    <row r="6" spans="1:6">
      <c r="A6" s="1" t="s">
        <v>226</v>
      </c>
      <c r="B6" s="5">
        <f>IFERROR(AVERAGEIF(eval!$E$2:$E$21,"함정",eval!$R$2:$R$21),"")</f>
        <v/>
      </c>
      <c r="C6" t="s">
        <v>156</v>
      </c>
      <c r="D6" s="5">
        <f>IFERROR(AVERAGEIF(eval!$E$2:$E$21,"함정",eval!$U$2:$U$21),"")</f>
        <v/>
      </c>
      <c r="E6" s="5">
        <f>IFERROR(COUNTIFS(run_app!$J$2:$J$21,"함정",run_app!$G$2:$G$21,"Y")/COUNTIF(run_app!$J$2:$J$21,"함정"),"")</f>
        <v/>
      </c>
      <c r="F6" t="s">
        <v>227</v>
      </c>
    </row>
    <row r="7" spans="1:6">
      <c r="A7" s="1" t="s">
        <v>228</v>
      </c>
      <c r="B7" t="s">
        <v>156</v>
      </c>
      <c r="C7" t="s">
        <v>156</v>
      </c>
      <c r="D7" t="s">
        <v>156</v>
      </c>
      <c r="E7" s="5">
        <f>COUNTIFS(run_app!$J$2:$J$21,"&lt;&gt;함정",run_app!$G$2:$G$21,"Y")</f>
        <v/>
      </c>
      <c r="F7" t="s">
        <v>229</v>
      </c>
    </row>
    <row r="8" spans="1:6">
      <c r="A8" s="1" t="s">
        <v>230</v>
      </c>
      <c r="B8" s="5">
        <f>IFERROR(AVERAGEIF(eval!$E$2:$E$21,"충돌",eval!$P$2:$P$21),"")</f>
        <v/>
      </c>
      <c r="C8" t="s">
        <v>156</v>
      </c>
      <c r="D8" s="5">
        <f>IFERROR(AVERAGEIF(eval!$E$2:$E$21,"충돌",eval!$S$2:$S$21),"")</f>
        <v/>
      </c>
      <c r="E8" t="s">
        <v>156</v>
      </c>
      <c r="F8" t="s">
        <v>231</v>
      </c>
    </row>
    <row r="9" spans="1:6">
      <c r="A9" s="1" t="s">
        <v>232</v>
      </c>
      <c r="B9" s="5">
        <f>COUNT(eval!$F$2:$F$21)</f>
        <v/>
      </c>
      <c r="C9" s="5">
        <f>COUNTA(eval!$I$2:$I$21)</f>
        <v/>
      </c>
      <c r="D9" s="5">
        <f>COUNT(eval!$S$2:$S$21)</f>
        <v/>
      </c>
      <c r="E9" s="5">
        <f>COUNTA(run_app!$B$2:$B$21)</f>
        <v/>
      </c>
      <c r="F9" t="s">
        <v>233</v>
      </c>
    </row>
    <row r="10" spans="1:6">
      <c r="A10" s="1" t="s">
        <v>234</v>
      </c>
      <c r="B10" t="s">
        <v>156</v>
      </c>
      <c r="C10" s="5">
        <f>IFERROR(AVERAGEIF(eval!$E$2:$E$21,"&lt;&gt;함정",eval!$V$2:$V$21),"")</f>
        <v/>
      </c>
      <c r="D10" t="s">
        <v>156</v>
      </c>
      <c r="E10" s="5">
        <f>IFERROR(AVERAGEIF(run_app!$J$2:$J$21,"&lt;&gt;함정",run_app!$O$2:$O$21),"")</f>
        <v/>
      </c>
      <c r="F10" t="s">
        <v>235</v>
      </c>
    </row>
    <row r="11" spans="1:6">
      <c r="A11" s="1" t="s">
        <v>236</v>
      </c>
      <c r="B11" t="s">
        <v>156</v>
      </c>
      <c r="C11" s="5">
        <f>IFERROR(AVERAGEIF(eval!$E$2:$E$21,"&lt;&gt;함정",eval!$W$2:$W$21),"")</f>
        <v/>
      </c>
      <c r="D11" t="s">
        <v>156</v>
      </c>
      <c r="E11" s="5">
        <f>IFERROR(AVERAGEIF(run_app!$J$2:$J$21,"&lt;&gt;함정",run_app!$P$2:$P$21),"")</f>
        <v/>
      </c>
      <c r="F11" t="s">
        <v>237</v>
      </c>
    </row>
    <row r="12" spans="1:6">
      <c r="A12" s="1" t="s">
        <v>238</v>
      </c>
      <c r="B12" t="s">
        <v>156</v>
      </c>
      <c r="C12" s="5">
        <f>IFERROR(AVERAGEIF(eval!$E$2:$E$21,"&lt;&gt;함정",eval!$X$2:$X$21),"")</f>
        <v/>
      </c>
      <c r="D12" t="s">
        <v>156</v>
      </c>
      <c r="E12" s="5">
        <f>IFERROR(AVERAGEIF(run_app!$J$2:$J$21,"&lt;&gt;함정",run_app!$Q$2:$Q$21),"")</f>
        <v/>
      </c>
      <c r="F12" t="s">
        <v>239</v>
      </c>
    </row>
    <row r="13" spans="1:6">
      <c r="A13" s="1" t="s">
        <v>240</v>
      </c>
      <c r="B13" t="s">
        <v>156</v>
      </c>
      <c r="C13" s="5">
        <f>IFERROR(AVERAGEIF(eval!$E$2:$E$21,"&lt;&gt;함정",eval!$Y$2:$Y$21),"")</f>
        <v/>
      </c>
      <c r="D13" t="s">
        <v>156</v>
      </c>
      <c r="E13" s="5">
        <f>IFERROR(AVERAGEIF(run_app!$J$2:$J$21,"&lt;&gt;함정",run_app!$R$2:$R$21),"")</f>
        <v/>
      </c>
      <c r="F13" t="s">
        <v>235</v>
      </c>
    </row>
    <row r="14" spans="1:6">
      <c r="A14" s="1" t="s">
        <v>241</v>
      </c>
      <c r="B14" t="s">
        <v>156</v>
      </c>
      <c r="C14" s="5">
        <f>IFERROR(AVERAGEIF(eval!$E$2:$E$21,"&lt;&gt;함정",eval!$Z$2:$Z$21),"")</f>
        <v/>
      </c>
      <c r="D14" t="s">
        <v>156</v>
      </c>
      <c r="E14" s="5">
        <f>IFERROR(AVERAGEIF(run_app!$J$2:$J$21,"&lt;&gt;함정",run_app!$S$2:$S$21),"")</f>
        <v/>
      </c>
      <c r="F14" t="s">
        <v>237</v>
      </c>
    </row>
    <row r="15" spans="1:6">
      <c r="A15" s="1" t="s">
        <v>242</v>
      </c>
      <c r="B15" t="s">
        <v>156</v>
      </c>
      <c r="C15" s="5">
        <f>IFERROR(AVERAGEIF(eval!$E$2:$E$21,"&lt;&gt;함정",eval!$AA$2:$AA$21),"")</f>
        <v/>
      </c>
      <c r="D15" t="s">
        <v>156</v>
      </c>
      <c r="E15" s="5">
        <f>IFERROR(AVERAGEIF(run_app!$J$2:$J$21,"&lt;&gt;함정",run_app!$T$2:$T$21),"")</f>
        <v/>
      </c>
      <c r="F15" t="s">
        <v>239</v>
      </c>
    </row>
    <row r="16" spans="1:6">
      <c r="A16" s="1" t="s">
        <v>243</v>
      </c>
      <c r="B16" t="s">
        <v>156</v>
      </c>
      <c r="C16" s="5">
        <f>IFERROR(AVERAGEIF(eval!$E$2:$E$21,"&lt;&gt;함정",eval!$AB$2:$AB$21),"")</f>
        <v/>
      </c>
      <c r="D16" t="s">
        <v>156</v>
      </c>
      <c r="E16" s="5">
        <f>IFERROR(AVERAGEIF(run_app!$J$2:$J$21,"&lt;&gt;함정",run_app!$U$2:$U$21),"")</f>
        <v/>
      </c>
      <c r="F16" t="s">
        <v>235</v>
      </c>
    </row>
    <row r="17" spans="1:6">
      <c r="A17" s="1" t="s">
        <v>244</v>
      </c>
      <c r="B17" t="s">
        <v>156</v>
      </c>
      <c r="C17" s="5">
        <f>IFERROR(AVERAGEIF(eval!$E$2:$E$21,"&lt;&gt;함정",eval!$AC$2:$AC$21),"")</f>
        <v/>
      </c>
      <c r="D17" t="s">
        <v>156</v>
      </c>
      <c r="E17" s="5">
        <f>IFERROR(AVERAGEIF(run_app!$J$2:$J$21,"&lt;&gt;함정",run_app!$V$2:$V$21),"")</f>
        <v/>
      </c>
      <c r="F17" t="s">
        <v>237</v>
      </c>
    </row>
    <row r="18" spans="1:6">
      <c r="A18" s="1" t="s">
        <v>245</v>
      </c>
      <c r="B18" t="s">
        <v>156</v>
      </c>
      <c r="C18" s="5">
        <f>IFERROR(AVERAGEIF(eval!$E$2:$E$21,"&lt;&gt;함정",eval!$AD$2:$AD$21),"")</f>
        <v/>
      </c>
      <c r="D18" t="s">
        <v>156</v>
      </c>
      <c r="E18" s="5">
        <f>IFERROR(AVERAGEIF(run_app!$J$2:$J$21,"&lt;&gt;함정",run_app!$W$2:$W$21),"")</f>
        <v/>
      </c>
      <c r="F18" t="s">
        <v>239</v>
      </c>
    </row>
    <row r="19" spans="1:6">
      <c r="A19" s="1" t="s">
        <v>246</v>
      </c>
      <c r="B19" t="s">
        <v>156</v>
      </c>
      <c r="C19" s="5">
        <f>IF(COUNT(C12,C15,C18)=0,"",IF(MAX(C12,C15,C18)=C12,1,IF(MAX(C12,C15,C18)=C15,3,5)))</f>
        <v/>
      </c>
      <c r="D19" t="s">
        <v>156</v>
      </c>
      <c r="E19" s="5">
        <f>IF(COUNT(E12,E15,E18)=0,"",IF(MAX(E12,E15,E18)=E12,1,IF(MAX(E12,E15,E18)=E15,3,5)))</f>
        <v/>
      </c>
      <c r="F19" t="s">
        <v>247</v>
      </c>
    </row>
    <row r="22" spans="1:6">
      <c r="A22" s="1" t="s">
        <v>248</v>
      </c>
    </row>
    <row r="23" spans="1:6">
      <c r="A23" s="3" t="s">
        <v>249</v>
      </c>
      <c r="B23" s="3" t="s">
        <v>250</v>
      </c>
      <c r="C23" s="3" t="s">
        <v>251</v>
      </c>
      <c r="D23" s="3" t="s">
        <v>252</v>
      </c>
      <c r="E23" s="3" t="s">
        <v>253</v>
      </c>
    </row>
    <row r="24" spans="1:6">
      <c r="A24" s="1">
        <v>1</v>
      </c>
      <c r="B24" s="5">
        <f>C10</f>
        <v/>
      </c>
      <c r="C24" s="5">
        <f>C11</f>
        <v/>
      </c>
      <c r="D24" s="5">
        <f>C12</f>
        <v/>
      </c>
      <c r="E24">
        <f>IF(AND(ISNUMBER($C$19),$C$19=A24),"◀ Top-K","")</f>
        <v/>
      </c>
    </row>
    <row r="25" spans="1:6">
      <c r="A25" s="1">
        <v>3</v>
      </c>
      <c r="B25" s="5">
        <f>C13</f>
        <v/>
      </c>
      <c r="C25" s="5">
        <f>C14</f>
        <v/>
      </c>
      <c r="D25" s="5">
        <f>C15</f>
        <v/>
      </c>
      <c r="E25">
        <f>IF(AND(ISNUMBER($C$19),$C$19=A25),"◀ Top-K","")</f>
        <v/>
      </c>
    </row>
    <row r="26" spans="1:6">
      <c r="A26" s="1">
        <v>5</v>
      </c>
      <c r="B26" s="5">
        <f>C16</f>
        <v/>
      </c>
      <c r="C26" s="5">
        <f>C17</f>
        <v/>
      </c>
      <c r="D26" s="5">
        <f>C18</f>
        <v/>
      </c>
      <c r="E26">
        <f>IF(AND(ISNUMBER($C$19),$C$19=A26),"◀ Top-K","")</f>
        <v/>
      </c>
    </row>
    <row r="27" spans="1:6">
      <c r="A27" s="1" t="s">
        <v>254</v>
      </c>
      <c r="D27" s="5">
        <f>C19</f>
        <v/>
      </c>
      <c r="E27" t="s">
        <v>255</v>
      </c>
    </row>
    <row r="29" spans="1:6">
      <c r="A29" s="1" t="s">
        <v>256</v>
      </c>
    </row>
    <row r="30" spans="1:6">
      <c r="A30" s="3" t="s">
        <v>249</v>
      </c>
      <c r="B30" s="3" t="s">
        <v>250</v>
      </c>
      <c r="C30" s="3" t="s">
        <v>251</v>
      </c>
      <c r="D30" s="3" t="s">
        <v>252</v>
      </c>
      <c r="E30" s="3" t="s">
        <v>253</v>
      </c>
    </row>
    <row r="31" spans="1:6">
      <c r="A31" s="1">
        <v>1</v>
      </c>
      <c r="B31" s="5">
        <f>E10</f>
        <v/>
      </c>
      <c r="C31" s="5">
        <f>E11</f>
        <v/>
      </c>
      <c r="D31" s="5">
        <f>E12</f>
        <v/>
      </c>
      <c r="E31">
        <f>IF(AND(ISNUMBER($E$19),$E$19=A31),"◀ Top-K","")</f>
        <v/>
      </c>
    </row>
    <row r="32" spans="1:6">
      <c r="A32" s="1">
        <v>3</v>
      </c>
      <c r="B32" s="5">
        <f>E13</f>
        <v/>
      </c>
      <c r="C32" s="5">
        <f>E14</f>
        <v/>
      </c>
      <c r="D32" s="5">
        <f>E15</f>
        <v/>
      </c>
      <c r="E32">
        <f>IF(AND(ISNUMBER($E$19),$E$19=A32),"◀ Top-K","")</f>
        <v/>
      </c>
    </row>
    <row r="33" spans="1:5">
      <c r="A33" s="1">
        <v>5</v>
      </c>
      <c r="B33" s="5">
        <f>E16</f>
        <v/>
      </c>
      <c r="C33" s="5">
        <f>E17</f>
        <v/>
      </c>
      <c r="D33" s="5">
        <f>E18</f>
        <v/>
      </c>
      <c r="E33">
        <f>IF(AND(ISNUMBER($E$19),$E$19=A33),"◀ Top-K","")</f>
        <v/>
      </c>
    </row>
    <row r="34" spans="1:5">
      <c r="A34" s="1" t="s">
        <v>254</v>
      </c>
      <c r="D34" s="5">
        <f>E19</f>
        <v/>
      </c>
      <c r="E34" t="s">
        <v>257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goldset</vt:lpstr>
      <vt:lpstr>eval</vt:lpstr>
      <vt:lpstr>experiments</vt:lpstr>
      <vt:lpstr>run_app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d5_rag_eval</dc:title>
  <dc:creator>tradefin-ai-2026 tools</dc:creator>
  <dc:description>Day5 RAG 골든셋 평가 시트(P@K·R@K·F1@K, 보조 Hit@3·MRR) — Google Sheets로 열어 쓴다</dc:description>
  <cp:lastModifiedBy>tradefin-ai-2026 tools</cp:lastModifiedBy>
  <dcterms:created xsi:type="dcterms:W3CDTF">2026-10-01T00:00:00Z</dcterms:created>
  <dcterms:modified xsi:type="dcterms:W3CDTF">2026-10-01T00:00:00Z</dcterms:modified>
</cp:coreProperties>
</file>