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아시아" sheetId="2" state="visible" r:id="rId2"/>
    <sheet xmlns:r="http://schemas.openxmlformats.org/officeDocument/2006/relationships" name="유럽·미주" sheetId="3" state="visible" r:id="rId3"/>
    <sheet xmlns:r="http://schemas.openxmlformats.org/officeDocument/2006/relationships" name="중동·아프리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1"/>
    </font>
    <font>
      <name val="맑은 고딕"/>
      <sz val="11"/>
    </font>
    <font>
      <name val="맑은 고딕"/>
      <i val="1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top style="thin">
        <color rgb="00999999"/>
      </top>
      <bottom style="thin">
        <color rgb="00999999"/>
      </bottom>
    </border>
    <border>
      <top style="medium">
        <color rgb="00333333"/>
      </top>
      <bottom style="double">
        <color rgb="00333333"/>
      </bottom>
    </border>
    <border>
      <top style="medium">
        <color rgb="00333333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3" fontId="3" fillId="0" borderId="0" pivotButton="0" quotePrefix="0" xfId="0"/>
    <xf numFmtId="0" fontId="2" fillId="0" borderId="4" pivotButton="0" quotePrefix="0" xfId="0"/>
    <xf numFmtId="3" fontId="2" fillId="0" borderId="4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3" borderId="2" applyAlignment="1" pivotButton="0" quotePrefix="0" xfId="0">
      <alignment vertical="center"/>
    </xf>
    <xf numFmtId="3" fontId="2" fillId="3" borderId="2" applyAlignment="1" pivotButton="0" quotePrefix="0" xfId="0">
      <alignment vertical="center"/>
    </xf>
    <xf numFmtId="0" fontId="2" fillId="0" borderId="3" pivotButton="0" quotePrefix="0" xfId="0"/>
    <xf numFmtId="3" fontId="2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40" customWidth="1" min="4" max="4"/>
  </cols>
  <sheetData>
    <row r="1">
      <c r="A1" s="1" t="inlineStr">
        <is>
          <t>2026년 9월말 미수금 현황 — 지역별 요약 (단위: 천원)</t>
        </is>
      </c>
    </row>
    <row r="2"/>
    <row r="4">
      <c r="A4" s="2" t="inlineStr">
        <is>
          <t>지역</t>
        </is>
      </c>
      <c r="B4" s="2" t="inlineStr">
        <is>
          <t>건수</t>
        </is>
      </c>
      <c r="C4" s="2" t="inlineStr">
        <is>
          <t>원화(천원)</t>
        </is>
      </c>
      <c r="D4" s="2" t="inlineStr">
        <is>
          <t>비고</t>
        </is>
      </c>
    </row>
    <row r="5">
      <c r="A5" s="3" t="inlineStr">
        <is>
          <t>아시아</t>
        </is>
      </c>
      <c r="B5" s="3">
        <f>COUNTIF('아시아'!E5:E177,"INV*")</f>
        <v>160</v>
      </c>
      <c r="C5" s="4">
        <f>'아시아'!H177</f>
        <v>5322816</v>
      </c>
      <c r="D5" s="3" t="inlineStr">
        <is>
          <t>각 시트 합계 줄 기준</t>
        </is>
      </c>
    </row>
    <row r="6">
      <c r="A6" s="3" t="inlineStr">
        <is>
          <t>유럽·미주</t>
        </is>
      </c>
      <c r="B6" s="3">
        <f>COUNTIF('유럽·미주'!E5:E122,"INV*")</f>
        <v>109</v>
      </c>
      <c r="C6" s="4">
        <f>'유럽·미주'!H122</f>
        <v>3916852</v>
      </c>
      <c r="D6" s="3" t="inlineStr">
        <is>
          <t>각 시트 합계 줄 기준</t>
        </is>
      </c>
    </row>
    <row r="7">
      <c r="A7" s="3" t="inlineStr">
        <is>
          <t>중동·아프리카</t>
        </is>
      </c>
      <c r="B7" s="3">
        <f>COUNTIF('중동·아프리카'!E5:E42,"INV*")</f>
        <v>33</v>
      </c>
      <c r="C7" s="4">
        <f>'중동·아프리카'!H42</f>
        <v>850645</v>
      </c>
      <c r="D7" s="3" t="inlineStr">
        <is>
          <t>각 시트 합계 줄 기준</t>
        </is>
      </c>
    </row>
    <row r="8">
      <c r="A8" s="5" t="inlineStr">
        <is>
          <t>합계</t>
        </is>
      </c>
      <c r="B8" s="5">
        <f>SUM(B5:B7)</f>
        <v>302</v>
      </c>
      <c r="C8" s="6">
        <f>SUM(C5:C7)</f>
        <v>10090313</v>
      </c>
      <c r="D8" s="5" t="n"/>
    </row>
    <row r="10">
      <c r="A10" s="7" t="inlineStr">
        <is>
          <t>※ 기준일 2026-09-30 · 영업팀 취합본(시트별 담당자가 직접 입력)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19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6" customWidth="1" min="10" max="10"/>
    <col width="27" customWidth="1" min="11" max="11"/>
  </cols>
  <sheetData>
    <row r="1" ht="22" customHeight="1">
      <c r="A1" s="1" t="inlineStr">
        <is>
          <t>2026년 9월말 미수금 현황 (단위: 천원)</t>
        </is>
      </c>
    </row>
    <row r="2" ht="22" customHeight="1"/>
    <row r="3">
      <c r="A3" s="8" t="inlineStr">
        <is>
          <t>담당</t>
        </is>
      </c>
      <c r="B3" s="8" t="inlineStr">
        <is>
          <t>바이어</t>
        </is>
      </c>
      <c r="C3" s="8" t="inlineStr">
        <is>
          <t>국가</t>
        </is>
      </c>
      <c r="D3" s="8" t="inlineStr">
        <is>
          <t>결제조건</t>
        </is>
      </c>
      <c r="E3" s="8" t="inlineStr">
        <is>
          <t>인보이스 번호</t>
        </is>
      </c>
      <c r="F3" s="8" t="inlineStr">
        <is>
          <t>선적일</t>
        </is>
      </c>
      <c r="G3" s="8" t="inlineStr">
        <is>
          <t>만기일</t>
        </is>
      </c>
      <c r="H3" s="8" t="inlineStr">
        <is>
          <t>금액</t>
        </is>
      </c>
      <c r="I3" s="8" t="n"/>
      <c r="J3" s="8" t="n"/>
      <c r="K3" s="8" t="inlineStr">
        <is>
          <t>메모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inlineStr">
        <is>
          <t>원화(천원)</t>
        </is>
      </c>
      <c r="I4" s="8" t="inlineStr">
        <is>
          <t>외화</t>
        </is>
      </c>
      <c r="J4" s="8" t="inlineStr">
        <is>
          <t>통화</t>
        </is>
      </c>
      <c r="K4" s="8" t="n"/>
    </row>
    <row r="5" ht="19.5" customHeight="1">
      <c r="A5" s="9" t="inlineStr">
        <is>
          <t>영업1팀 A</t>
        </is>
      </c>
      <c r="B5" s="9" t="inlineStr">
        <is>
          <t>Davura Kogyo Co., Ltd.</t>
        </is>
      </c>
      <c r="C5" s="9" t="inlineStr">
        <is>
          <t>Japan</t>
        </is>
      </c>
      <c r="D5" s="9" t="inlineStr">
        <is>
          <t>O/A 90</t>
        </is>
      </c>
      <c r="E5" s="9" t="inlineStr">
        <is>
          <t>INV-2607-0164</t>
        </is>
      </c>
      <c r="F5" s="10" t="n">
        <v>46230</v>
      </c>
      <c r="G5" s="10" t="n">
        <v>46320</v>
      </c>
      <c r="H5" s="11" t="n">
        <v>9897</v>
      </c>
      <c r="I5" s="11" t="n">
        <v>1104000</v>
      </c>
      <c r="J5" s="12" t="inlineStr">
        <is>
          <t>JPY</t>
        </is>
      </c>
      <c r="K5" s="9" t="n"/>
    </row>
    <row r="6" ht="19.5" customHeight="1">
      <c r="A6" s="9" t="inlineStr">
        <is>
          <t>영업1팀 A</t>
        </is>
      </c>
      <c r="B6" s="9" t="inlineStr">
        <is>
          <t>Davura Kogyo Co., Ltd.</t>
        </is>
      </c>
      <c r="C6" s="9" t="inlineStr">
        <is>
          <t>Japan</t>
        </is>
      </c>
      <c r="D6" s="9" t="inlineStr">
        <is>
          <t>사후송금 90일</t>
        </is>
      </c>
      <c r="E6" s="9" t="inlineStr">
        <is>
          <t>INV-2608-0003</t>
        </is>
      </c>
      <c r="F6" s="12" t="inlineStr">
        <is>
          <t>26.8.1</t>
        </is>
      </c>
      <c r="G6" s="10" t="n">
        <v>46325</v>
      </c>
      <c r="H6" s="11" t="n">
        <v>23896</v>
      </c>
      <c r="I6" s="11" t="n">
        <v>2647000</v>
      </c>
      <c r="J6" s="12" t="inlineStr">
        <is>
          <t>JPY</t>
        </is>
      </c>
      <c r="K6" s="9" t="n"/>
    </row>
    <row r="7" ht="19.5" customHeight="1">
      <c r="A7" s="9" t="inlineStr">
        <is>
          <t>영업1팀 A</t>
        </is>
      </c>
      <c r="B7" s="9" t="inlineStr">
        <is>
          <t>Davura Kogyo Co., Ltd.</t>
        </is>
      </c>
      <c r="C7" s="9" t="inlineStr">
        <is>
          <t>Japan</t>
        </is>
      </c>
      <c r="D7" s="9" t="inlineStr">
        <is>
          <t>O/A 90일</t>
        </is>
      </c>
      <c r="E7" s="9" t="inlineStr">
        <is>
          <t>INV-2608-0004</t>
        </is>
      </c>
      <c r="F7" s="10" t="n">
        <v>46235</v>
      </c>
      <c r="G7" s="10" t="n">
        <v>46325</v>
      </c>
      <c r="H7" s="11" t="n">
        <v>16710</v>
      </c>
      <c r="I7" s="11" t="n">
        <v>1851000</v>
      </c>
      <c r="J7" s="12" t="inlineStr">
        <is>
          <t>JPY</t>
        </is>
      </c>
      <c r="K7" s="9" t="n"/>
    </row>
    <row r="8" ht="19.5" customHeight="1">
      <c r="A8" s="9" t="inlineStr">
        <is>
          <t>영업1팀 A</t>
        </is>
      </c>
      <c r="B8" s="9" t="inlineStr">
        <is>
          <t>Davura Kogyo Co., Ltd.</t>
        </is>
      </c>
      <c r="C8" s="9" t="inlineStr">
        <is>
          <t>Japan</t>
        </is>
      </c>
      <c r="D8" s="9" t="inlineStr">
        <is>
          <t>O/A 90</t>
        </is>
      </c>
      <c r="E8" s="9" t="inlineStr">
        <is>
          <t>INV-2608-0027</t>
        </is>
      </c>
      <c r="F8" s="10" t="n">
        <v>46241</v>
      </c>
      <c r="G8" s="12" t="inlineStr">
        <is>
          <t>11월 5일</t>
        </is>
      </c>
      <c r="H8" s="11" t="n">
        <v>131614</v>
      </c>
      <c r="I8" s="11" t="n">
        <v>14706000</v>
      </c>
      <c r="J8" s="12" t="inlineStr">
        <is>
          <t>JPY</t>
        </is>
      </c>
      <c r="K8" s="9" t="n"/>
    </row>
    <row r="9" ht="19.5" customHeight="1">
      <c r="A9" s="9" t="inlineStr">
        <is>
          <t>영업1팀 A</t>
        </is>
      </c>
      <c r="B9" s="9" t="inlineStr">
        <is>
          <t>Davura Kogyo Co., Ltd.</t>
        </is>
      </c>
      <c r="C9" s="9" t="inlineStr">
        <is>
          <t>Japan</t>
        </is>
      </c>
      <c r="D9" s="9" t="inlineStr">
        <is>
          <t>OA 90 DAYS</t>
        </is>
      </c>
      <c r="E9" s="9" t="inlineStr">
        <is>
          <t>INV-2608-0028</t>
        </is>
      </c>
      <c r="F9" s="12" t="inlineStr">
        <is>
          <t>8월 7일</t>
        </is>
      </c>
      <c r="G9" s="10" t="n">
        <v>46331</v>
      </c>
      <c r="H9" s="13" t="inlineStr">
        <is>
          <t>7,679</t>
        </is>
      </c>
      <c r="I9" s="11" t="n">
        <v>858000</v>
      </c>
      <c r="J9" s="12" t="inlineStr">
        <is>
          <t>JPY</t>
        </is>
      </c>
      <c r="K9" s="9" t="n"/>
    </row>
    <row r="10" ht="19.5" customHeight="1">
      <c r="A10" s="9" t="inlineStr">
        <is>
          <t>영업1팀 A</t>
        </is>
      </c>
      <c r="B10" s="9" t="inlineStr">
        <is>
          <t>Davura Kogyo Co., Ltd.</t>
        </is>
      </c>
      <c r="C10" s="9" t="inlineStr">
        <is>
          <t>Japan</t>
        </is>
      </c>
      <c r="D10" s="9" t="inlineStr">
        <is>
          <t>O/A 90일</t>
        </is>
      </c>
      <c r="E10" s="9" t="inlineStr">
        <is>
          <t>INV-2608-0103</t>
        </is>
      </c>
      <c r="F10" s="10" t="n">
        <v>46256</v>
      </c>
      <c r="G10" s="10" t="n">
        <v>46346</v>
      </c>
      <c r="H10" s="11" t="n">
        <v>12768</v>
      </c>
      <c r="I10" s="11" t="n">
        <v>1465000</v>
      </c>
      <c r="J10" s="12" t="inlineStr">
        <is>
          <t>JPY</t>
        </is>
      </c>
      <c r="K10" s="9" t="inlineStr">
        <is>
          <t>9/25 통화, 10월 초 송금 약속</t>
        </is>
      </c>
    </row>
    <row r="11" ht="19.5" customHeight="1">
      <c r="A11" s="9" t="inlineStr">
        <is>
          <t>영업1팀 A</t>
        </is>
      </c>
      <c r="B11" s="9" t="inlineStr">
        <is>
          <t>Davura Kogyo Co., Ltd.</t>
        </is>
      </c>
      <c r="C11" s="9" t="inlineStr">
        <is>
          <t>Japan</t>
        </is>
      </c>
      <c r="D11" s="9" t="inlineStr">
        <is>
          <t>OA90days</t>
        </is>
      </c>
      <c r="E11" s="9" t="inlineStr">
        <is>
          <t>INV-2608-0112</t>
        </is>
      </c>
      <c r="F11" s="10" t="n">
        <v>46257</v>
      </c>
      <c r="G11" s="12" t="inlineStr">
        <is>
          <t>26.11.21</t>
        </is>
      </c>
      <c r="H11" s="11" t="n">
        <v>40092</v>
      </c>
      <c r="I11" s="11" t="n">
        <v>4600000</v>
      </c>
      <c r="J11" s="12" t="inlineStr">
        <is>
          <t>JPY</t>
        </is>
      </c>
      <c r="K11" s="9" t="n"/>
    </row>
    <row r="12" ht="19.5" customHeight="1">
      <c r="A12" s="9" t="inlineStr">
        <is>
          <t>영업1팀 A</t>
        </is>
      </c>
      <c r="B12" s="9" t="inlineStr">
        <is>
          <t>Davura Kogyo Co., Ltd.</t>
        </is>
      </c>
      <c r="C12" s="9" t="inlineStr">
        <is>
          <t>Japan</t>
        </is>
      </c>
      <c r="D12" s="9" t="inlineStr">
        <is>
          <t>OA 90 DAYS</t>
        </is>
      </c>
      <c r="E12" s="9" t="inlineStr">
        <is>
          <t>INV-2608-0118</t>
        </is>
      </c>
      <c r="F12" s="10" t="n">
        <v>46258</v>
      </c>
      <c r="G12" s="12" t="inlineStr">
        <is>
          <t>26.11.22</t>
        </is>
      </c>
      <c r="H12" s="11" t="n">
        <v>7204</v>
      </c>
      <c r="I12" s="11" t="n">
        <v>829000</v>
      </c>
      <c r="J12" s="12" t="inlineStr">
        <is>
          <t>JPY</t>
        </is>
      </c>
      <c r="K12" s="9" t="n"/>
    </row>
    <row r="13" ht="19.5" customHeight="1">
      <c r="A13" s="9" t="inlineStr">
        <is>
          <t>영업1팀 A</t>
        </is>
      </c>
      <c r="B13" s="9" t="inlineStr">
        <is>
          <t>Davura Kogyo Co., Ltd.</t>
        </is>
      </c>
      <c r="C13" s="9" t="inlineStr">
        <is>
          <t>Japan</t>
        </is>
      </c>
      <c r="D13" s="9" t="inlineStr">
        <is>
          <t>사후송금 90일</t>
        </is>
      </c>
      <c r="E13" s="9" t="inlineStr">
        <is>
          <t>INV-2609-0041</t>
        </is>
      </c>
      <c r="F13" s="10" t="n">
        <v>46272</v>
      </c>
      <c r="G13" s="10" t="n">
        <v>46362</v>
      </c>
      <c r="H13" s="11" t="n">
        <v>28343</v>
      </c>
      <c r="I13" s="11" t="n">
        <v>3286000</v>
      </c>
      <c r="J13" s="12" t="inlineStr">
        <is>
          <t>JPY</t>
        </is>
      </c>
      <c r="K13" s="9" t="n"/>
    </row>
    <row r="14" ht="19.5" customHeight="1">
      <c r="A14" s="9" t="inlineStr">
        <is>
          <t>영업1팀 A</t>
        </is>
      </c>
      <c r="B14" s="9" t="inlineStr">
        <is>
          <t>Davura Kogyo Co., Ltd.</t>
        </is>
      </c>
      <c r="C14" s="9" t="inlineStr">
        <is>
          <t>Japan</t>
        </is>
      </c>
      <c r="D14" s="9" t="inlineStr">
        <is>
          <t>OA90days</t>
        </is>
      </c>
      <c r="E14" s="9" t="inlineStr">
        <is>
          <t>INV-2609-0050</t>
        </is>
      </c>
      <c r="F14" s="12" t="inlineStr">
        <is>
          <t>9월 9일</t>
        </is>
      </c>
      <c r="G14" s="10" t="n">
        <v>46364</v>
      </c>
      <c r="H14" s="11" t="n">
        <v>15100</v>
      </c>
      <c r="I14" s="11" t="n">
        <v>1730000</v>
      </c>
      <c r="J14" s="12" t="inlineStr">
        <is>
          <t>JPY</t>
        </is>
      </c>
      <c r="K14" s="9" t="inlineStr">
        <is>
          <t>품질 클레임 협의 중</t>
        </is>
      </c>
    </row>
    <row r="15" ht="19.5" customHeight="1">
      <c r="A15" s="9" t="inlineStr">
        <is>
          <t>영업1팀 A</t>
        </is>
      </c>
      <c r="B15" s="9" t="inlineStr">
        <is>
          <t>Davura Kogyo Co., Ltd.</t>
        </is>
      </c>
      <c r="C15" s="9" t="inlineStr">
        <is>
          <t>Japan</t>
        </is>
      </c>
      <c r="D15" s="9" t="inlineStr">
        <is>
          <t>O/A 90</t>
        </is>
      </c>
      <c r="E15" s="9" t="inlineStr">
        <is>
          <t>INV-2609-0069</t>
        </is>
      </c>
      <c r="F15" s="10" t="n">
        <v>46278</v>
      </c>
      <c r="G15" s="10" t="n">
        <v>46368</v>
      </c>
      <c r="H15" s="11" t="n">
        <v>12931</v>
      </c>
      <c r="I15" s="11" t="n">
        <v>1483000</v>
      </c>
      <c r="J15" s="12" t="inlineStr">
        <is>
          <t>JPY</t>
        </is>
      </c>
      <c r="K15" s="9" t="n"/>
    </row>
    <row r="16" ht="19.5" customHeight="1">
      <c r="A16" s="9" t="inlineStr">
        <is>
          <t>영업1팀 A</t>
        </is>
      </c>
      <c r="B16" s="9" t="inlineStr">
        <is>
          <t>Davura Kogyo Co., Ltd.</t>
        </is>
      </c>
      <c r="C16" s="9" t="inlineStr">
        <is>
          <t>Japan</t>
        </is>
      </c>
      <c r="D16" s="9" t="inlineStr">
        <is>
          <t>OA 90 DAYS</t>
        </is>
      </c>
      <c r="E16" s="9" t="inlineStr">
        <is>
          <t>INV-2609-0093</t>
        </is>
      </c>
      <c r="F16" s="10" t="n">
        <v>46283</v>
      </c>
      <c r="G16" s="12" t="inlineStr">
        <is>
          <t>12월 17일</t>
        </is>
      </c>
      <c r="H16" s="11" t="n">
        <v>8246</v>
      </c>
      <c r="I16" s="11" t="n">
        <v>932000</v>
      </c>
      <c r="J16" s="12" t="inlineStr">
        <is>
          <t>JPY</t>
        </is>
      </c>
      <c r="K16" s="9" t="n"/>
    </row>
    <row r="17" ht="19.5" customHeight="1">
      <c r="A17" s="9" t="inlineStr">
        <is>
          <t>영업1팀 A</t>
        </is>
      </c>
      <c r="B17" s="9" t="inlineStr">
        <is>
          <t>PT Sarida Sarana Industri</t>
        </is>
      </c>
      <c r="C17" s="9" t="inlineStr">
        <is>
          <t>Indonesia</t>
        </is>
      </c>
      <c r="D17" s="9" t="inlineStr">
        <is>
          <t>OA 30 DAYS</t>
        </is>
      </c>
      <c r="E17" s="9" t="inlineStr">
        <is>
          <t>INV-2606-0101</t>
        </is>
      </c>
      <c r="F17" s="10" t="n">
        <v>46195</v>
      </c>
      <c r="G17" s="10" t="n">
        <v>46225</v>
      </c>
      <c r="H17" s="11" t="n">
        <v>7166</v>
      </c>
      <c r="I17" s="11" t="n">
        <v>4660</v>
      </c>
      <c r="J17" s="12" t="inlineStr">
        <is>
          <t>USD</t>
        </is>
      </c>
      <c r="K17" s="9" t="n"/>
    </row>
    <row r="18" ht="19.5" customHeight="1">
      <c r="A18" s="9" t="inlineStr">
        <is>
          <t>영업1팀 A</t>
        </is>
      </c>
      <c r="B18" s="9" t="inlineStr">
        <is>
          <t>PT Sarida Sarana Industri</t>
        </is>
      </c>
      <c r="C18" s="9" t="inlineStr">
        <is>
          <t>Indonesia</t>
        </is>
      </c>
      <c r="D18" s="9" t="inlineStr">
        <is>
          <t>O/A 30</t>
        </is>
      </c>
      <c r="E18" s="9" t="inlineStr">
        <is>
          <t>INV-2607-0035</t>
        </is>
      </c>
      <c r="F18" s="12" t="inlineStr">
        <is>
          <t>26.7.7</t>
        </is>
      </c>
      <c r="G18" s="10" t="n">
        <v>46240</v>
      </c>
      <c r="H18" s="11" t="n">
        <v>2120</v>
      </c>
      <c r="I18" s="11" t="n">
        <v>1400</v>
      </c>
      <c r="J18" s="12" t="inlineStr">
        <is>
          <t>usd</t>
        </is>
      </c>
      <c r="K18" s="9" t="n"/>
    </row>
    <row r="19" ht="19.5" customHeight="1">
      <c r="A19" s="9" t="inlineStr">
        <is>
          <t>영업1팀 A</t>
        </is>
      </c>
      <c r="B19" s="9" t="inlineStr">
        <is>
          <t>PT Sarida Sarana Industri</t>
        </is>
      </c>
      <c r="C19" s="9" t="inlineStr">
        <is>
          <t>Indonesia</t>
        </is>
      </c>
      <c r="D19" s="9" t="inlineStr">
        <is>
          <t>OA 30 DAYS</t>
        </is>
      </c>
      <c r="E19" s="9" t="inlineStr">
        <is>
          <t>INV-2609-0008</t>
        </is>
      </c>
      <c r="F19" s="10" t="n">
        <v>46267</v>
      </c>
      <c r="G19" s="10" t="n">
        <v>46297</v>
      </c>
      <c r="H19" s="11" t="n">
        <v>14934</v>
      </c>
      <c r="I19" s="11" t="n">
        <v>10990</v>
      </c>
      <c r="J19" s="12" t="inlineStr">
        <is>
          <t>USD</t>
        </is>
      </c>
      <c r="K19" s="9" t="n"/>
    </row>
    <row r="20" ht="19.5" customHeight="1">
      <c r="A20" s="9" t="inlineStr">
        <is>
          <t>영업1팀 A</t>
        </is>
      </c>
      <c r="B20" s="9" t="inlineStr">
        <is>
          <t>PT Sarida Sarana Industri</t>
        </is>
      </c>
      <c r="C20" s="9" t="inlineStr">
        <is>
          <t>Indonesia</t>
        </is>
      </c>
      <c r="D20" s="9" t="inlineStr">
        <is>
          <t>OA30days</t>
        </is>
      </c>
      <c r="E20" s="9" t="inlineStr">
        <is>
          <t>INV-2609-0054</t>
        </is>
      </c>
      <c r="F20" s="10" t="n">
        <v>46275</v>
      </c>
      <c r="G20" s="10" t="n">
        <v>46305</v>
      </c>
      <c r="H20" s="11" t="n">
        <v>8101</v>
      </c>
      <c r="I20" s="11" t="n">
        <v>6020</v>
      </c>
      <c r="J20" s="12" t="inlineStr">
        <is>
          <t>US$</t>
        </is>
      </c>
      <c r="K20" s="9" t="n"/>
    </row>
    <row r="21" ht="19.5" customHeight="1">
      <c r="A21" s="9" t="inlineStr">
        <is>
          <t>영업1팀 A</t>
        </is>
      </c>
      <c r="B21" s="9" t="inlineStr">
        <is>
          <t>PT Sarida Sarana Industri</t>
        </is>
      </c>
      <c r="C21" s="9" t="inlineStr">
        <is>
          <t>Indonesia</t>
        </is>
      </c>
      <c r="D21" s="9" t="inlineStr">
        <is>
          <t>OA30days</t>
        </is>
      </c>
      <c r="E21" s="9" t="inlineStr">
        <is>
          <t>INV-2609-0120</t>
        </is>
      </c>
      <c r="F21" s="10" t="n">
        <v>46288</v>
      </c>
      <c r="G21" s="10" t="n">
        <v>46318</v>
      </c>
      <c r="H21" s="11" t="n">
        <v>25385</v>
      </c>
      <c r="I21" s="11" t="n">
        <v>18570</v>
      </c>
      <c r="J21" s="12" t="inlineStr">
        <is>
          <t>USD</t>
        </is>
      </c>
      <c r="K21" s="9" t="n"/>
    </row>
    <row r="22" ht="19.5" customHeight="1">
      <c r="A22" s="9" t="inlineStr">
        <is>
          <t>영업1팀 A</t>
        </is>
      </c>
      <c r="B22" s="9" t="inlineStr">
        <is>
          <t>Pelant Automation Co., Ltd.</t>
        </is>
      </c>
      <c r="C22" s="9" t="inlineStr">
        <is>
          <t>Taiwan</t>
        </is>
      </c>
      <c r="D22" s="9" t="inlineStr">
        <is>
          <t>D/A 90</t>
        </is>
      </c>
      <c r="E22" s="9" t="inlineStr">
        <is>
          <t>INV-2608-0002</t>
        </is>
      </c>
      <c r="F22" s="10" t="n">
        <v>46235</v>
      </c>
      <c r="G22" s="10" t="n">
        <v>46325</v>
      </c>
      <c r="H22" s="11" t="n">
        <v>11035</v>
      </c>
      <c r="I22" s="11" t="n">
        <v>7680</v>
      </c>
      <c r="J22" s="12" t="inlineStr">
        <is>
          <t>USD</t>
        </is>
      </c>
      <c r="K22" s="9" t="n"/>
    </row>
    <row r="23" ht="19.5" customHeight="1">
      <c r="A23" s="14" t="inlineStr">
        <is>
          <t>영업1팀 A 소계</t>
        </is>
      </c>
      <c r="B23" s="14" t="n"/>
      <c r="C23" s="14" t="n"/>
      <c r="D23" s="14" t="n"/>
      <c r="E23" s="14" t="n"/>
      <c r="F23" s="14" t="n"/>
      <c r="G23" s="14" t="n"/>
      <c r="H23" s="15">
        <f>SUM(H5:H22)</f>
        <v>375542</v>
      </c>
      <c r="I23" s="14" t="n"/>
      <c r="J23" s="14" t="n"/>
      <c r="K23" s="14" t="n"/>
    </row>
    <row r="24" ht="19.5" customHeight="1"/>
    <row r="25" ht="19.5" customHeight="1">
      <c r="A25" s="9" t="inlineStr">
        <is>
          <t>영업1팀 B</t>
        </is>
      </c>
      <c r="B25" s="9" t="inlineStr">
        <is>
          <t>Galost Automation Ltd.</t>
        </is>
      </c>
      <c r="C25" s="9" t="inlineStr">
        <is>
          <t>India</t>
        </is>
      </c>
      <c r="D25" s="9" t="inlineStr">
        <is>
          <t>DA90days</t>
        </is>
      </c>
      <c r="E25" s="9" t="inlineStr">
        <is>
          <t>INV-2607-0026</t>
        </is>
      </c>
      <c r="F25" s="12" t="inlineStr">
        <is>
          <t>26.7.5</t>
        </is>
      </c>
      <c r="G25" s="12" t="inlineStr">
        <is>
          <t>26.10.3</t>
        </is>
      </c>
      <c r="H25" s="11" t="n">
        <v>20148</v>
      </c>
      <c r="I25" s="11" t="n">
        <v>13100</v>
      </c>
      <c r="J25" s="12" t="inlineStr">
        <is>
          <t>USD</t>
        </is>
      </c>
      <c r="K25" s="9" t="n"/>
    </row>
    <row r="26" ht="19.5" customHeight="1">
      <c r="A26" s="9" t="inlineStr">
        <is>
          <t>영업1팀 B</t>
        </is>
      </c>
      <c r="B26" s="9" t="inlineStr">
        <is>
          <t>Galost Automation Ltd.</t>
        </is>
      </c>
      <c r="C26" s="9" t="inlineStr">
        <is>
          <t>India</t>
        </is>
      </c>
      <c r="D26" s="9" t="inlineStr">
        <is>
          <t>DA90days</t>
        </is>
      </c>
      <c r="E26" s="9" t="inlineStr">
        <is>
          <t>INV-2608-0030</t>
        </is>
      </c>
      <c r="F26" s="12" t="inlineStr">
        <is>
          <t>26.8.7</t>
        </is>
      </c>
      <c r="G26" s="12" t="inlineStr">
        <is>
          <t>26.11.5</t>
        </is>
      </c>
      <c r="H26" s="11" t="n">
        <v>13705</v>
      </c>
      <c r="I26" s="11" t="n">
        <v>9720</v>
      </c>
      <c r="J26" s="12" t="inlineStr">
        <is>
          <t>USD</t>
        </is>
      </c>
      <c r="K26" s="9" t="n"/>
    </row>
    <row r="27" ht="19.5" customHeight="1">
      <c r="A27" s="9" t="inlineStr">
        <is>
          <t>영업1팀 B</t>
        </is>
      </c>
      <c r="B27" s="9" t="inlineStr">
        <is>
          <t>Galost Automation Ltd.</t>
        </is>
      </c>
      <c r="C27" s="9" t="inlineStr">
        <is>
          <t>India</t>
        </is>
      </c>
      <c r="D27" s="9" t="inlineStr">
        <is>
          <t>OA30days</t>
        </is>
      </c>
      <c r="E27" s="9" t="inlineStr">
        <is>
          <t>INV-2608-0101</t>
        </is>
      </c>
      <c r="F27" s="10" t="n">
        <v>46255</v>
      </c>
      <c r="G27" s="12" t="inlineStr">
        <is>
          <t>26.9.20</t>
        </is>
      </c>
      <c r="H27" s="11" t="n">
        <v>30346</v>
      </c>
      <c r="I27" s="11" t="n">
        <v>21910</v>
      </c>
      <c r="J27" s="12" t="inlineStr">
        <is>
          <t>USD</t>
        </is>
      </c>
      <c r="K27" s="9" t="n"/>
    </row>
    <row r="28" ht="19.5" customHeight="1">
      <c r="A28" s="9" t="inlineStr">
        <is>
          <t>영업1팀 B</t>
        </is>
      </c>
      <c r="B28" s="9" t="inlineStr">
        <is>
          <t>Galost Automation Ltd.</t>
        </is>
      </c>
      <c r="C28" s="9" t="inlineStr">
        <is>
          <t>India</t>
        </is>
      </c>
      <c r="D28" s="9" t="inlineStr">
        <is>
          <t>D/A 90</t>
        </is>
      </c>
      <c r="E28" s="9" t="inlineStr">
        <is>
          <t>INV-2609-0122</t>
        </is>
      </c>
      <c r="F28" s="12" t="inlineStr">
        <is>
          <t>26.9.23</t>
        </is>
      </c>
      <c r="G28" s="12" t="inlineStr">
        <is>
          <t>26.12.22</t>
        </is>
      </c>
      <c r="H28" s="11" t="n">
        <v>5536</v>
      </c>
      <c r="I28" s="11" t="n">
        <v>4050</v>
      </c>
      <c r="J28" s="12" t="inlineStr">
        <is>
          <t>USD</t>
        </is>
      </c>
      <c r="K28" s="9" t="n"/>
    </row>
    <row r="29" ht="19.5" customHeight="1">
      <c r="A29" s="9" t="inlineStr">
        <is>
          <t>영업1팀 B</t>
        </is>
      </c>
      <c r="B29" s="9" t="inlineStr">
        <is>
          <t>Nelera Kogyo Co., Ltd.</t>
        </is>
      </c>
      <c r="C29" s="9" t="inlineStr">
        <is>
          <t>Japan</t>
        </is>
      </c>
      <c r="D29" s="9" t="inlineStr">
        <is>
          <t>OA 60 DAYS</t>
        </is>
      </c>
      <c r="E29" s="9" t="inlineStr">
        <is>
          <t>INV-2608-0035</t>
        </is>
      </c>
      <c r="F29" s="12" t="inlineStr">
        <is>
          <t>26.8.8</t>
        </is>
      </c>
      <c r="G29" s="12" t="inlineStr">
        <is>
          <t>26.10.7</t>
        </is>
      </c>
      <c r="H29" s="11" t="n">
        <v>8690</v>
      </c>
      <c r="I29" s="11" t="n">
        <v>971000</v>
      </c>
      <c r="J29" s="12" t="inlineStr">
        <is>
          <t>JPY</t>
        </is>
      </c>
      <c r="K29" s="9" t="n"/>
    </row>
    <row r="30" ht="19.5" customHeight="1">
      <c r="A30" s="9" t="inlineStr">
        <is>
          <t>영업1팀 B</t>
        </is>
      </c>
      <c r="B30" s="9" t="inlineStr">
        <is>
          <t>Nelera Kogyo Co., Ltd.</t>
        </is>
      </c>
      <c r="C30" s="9" t="inlineStr">
        <is>
          <t>Japan</t>
        </is>
      </c>
      <c r="D30" s="9" t="inlineStr">
        <is>
          <t>O/A 60일</t>
        </is>
      </c>
      <c r="E30" s="9" t="inlineStr">
        <is>
          <t>INV-2609-0139</t>
        </is>
      </c>
      <c r="F30" s="12" t="inlineStr">
        <is>
          <t>26.9.26</t>
        </is>
      </c>
      <c r="G30" s="12" t="inlineStr">
        <is>
          <t>26.11.25</t>
        </is>
      </c>
      <c r="H30" s="11" t="n">
        <v>50435</v>
      </c>
      <c r="I30" s="11" t="n">
        <v>5844000</v>
      </c>
      <c r="J30" s="12" t="inlineStr">
        <is>
          <t>JPY</t>
        </is>
      </c>
      <c r="K30" s="9" t="n"/>
    </row>
    <row r="31" ht="19.5" customHeight="1">
      <c r="A31" s="9" t="inlineStr">
        <is>
          <t>영업1팀 B</t>
        </is>
      </c>
      <c r="B31" s="9" t="inlineStr">
        <is>
          <t>Oroora Sangyo K.K.</t>
        </is>
      </c>
      <c r="C31" s="9" t="inlineStr">
        <is>
          <t>Japan</t>
        </is>
      </c>
      <c r="D31" s="9" t="inlineStr">
        <is>
          <t>OA60days</t>
        </is>
      </c>
      <c r="E31" s="9" t="inlineStr">
        <is>
          <t>INV-2608-0109</t>
        </is>
      </c>
      <c r="F31" s="10" t="n">
        <v>46256</v>
      </c>
      <c r="G31" s="12" t="inlineStr">
        <is>
          <t>26.10.21</t>
        </is>
      </c>
      <c r="H31" s="11" t="n">
        <v>11932</v>
      </c>
      <c r="I31" s="11" t="n">
        <v>1369000</v>
      </c>
      <c r="J31" s="12" t="inlineStr">
        <is>
          <t>JPY</t>
        </is>
      </c>
      <c r="K31" s="9" t="n"/>
    </row>
    <row r="32" ht="19.5" customHeight="1">
      <c r="A32" s="9" t="inlineStr">
        <is>
          <t>영업1팀 B</t>
        </is>
      </c>
      <c r="B32" s="9" t="inlineStr">
        <is>
          <t>Oroora Sangyo K.K.</t>
        </is>
      </c>
      <c r="C32" s="9" t="inlineStr">
        <is>
          <t>Japan</t>
        </is>
      </c>
      <c r="D32" s="9" t="inlineStr">
        <is>
          <t>O/A 60</t>
        </is>
      </c>
      <c r="E32" s="9" t="inlineStr">
        <is>
          <t>INV-2609-0066</t>
        </is>
      </c>
      <c r="F32" s="12" t="inlineStr">
        <is>
          <t>26.9.12</t>
        </is>
      </c>
      <c r="G32" s="12" t="inlineStr">
        <is>
          <t>26.11.11</t>
        </is>
      </c>
      <c r="H32" s="11" t="n">
        <v>3802</v>
      </c>
      <c r="I32" s="11" t="n">
        <v>436000</v>
      </c>
      <c r="J32" s="12" t="inlineStr">
        <is>
          <t>JPY</t>
        </is>
      </c>
      <c r="K32" s="9" t="n"/>
    </row>
    <row r="33" ht="19.5" customHeight="1">
      <c r="A33" s="9" t="inlineStr">
        <is>
          <t>영업1팀 B</t>
        </is>
      </c>
      <c r="B33" s="9" t="inlineStr">
        <is>
          <t>PT Quineon Instrumen Nusantara</t>
        </is>
      </c>
      <c r="C33" s="9" t="inlineStr">
        <is>
          <t>Indonesia</t>
        </is>
      </c>
      <c r="D33" s="9" t="inlineStr">
        <is>
          <t>O/A 60일</t>
        </is>
      </c>
      <c r="E33" s="9" t="inlineStr">
        <is>
          <t>INV-2608-0023</t>
        </is>
      </c>
      <c r="F33" s="12" t="inlineStr">
        <is>
          <t>26.8.5</t>
        </is>
      </c>
      <c r="G33" s="12" t="inlineStr">
        <is>
          <t>26.10.4</t>
        </is>
      </c>
      <c r="H33" s="11" t="n">
        <v>11435</v>
      </c>
      <c r="I33" s="11" t="n">
        <v>8030</v>
      </c>
      <c r="J33" s="12" t="inlineStr">
        <is>
          <t>USD</t>
        </is>
      </c>
      <c r="K33" s="9" t="n"/>
    </row>
    <row r="34" ht="19.5" customHeight="1">
      <c r="A34" s="9" t="inlineStr">
        <is>
          <t>영업1팀 B</t>
        </is>
      </c>
      <c r="B34" s="9" t="inlineStr">
        <is>
          <t>PT Quineon Instrumen Nusantara</t>
        </is>
      </c>
      <c r="C34" s="9" t="inlineStr">
        <is>
          <t>Indonesia</t>
        </is>
      </c>
      <c r="D34" s="9" t="inlineStr">
        <is>
          <t>OA60days</t>
        </is>
      </c>
      <c r="E34" s="9" t="inlineStr">
        <is>
          <t>INV-2609-0085</t>
        </is>
      </c>
      <c r="F34" s="12" t="inlineStr">
        <is>
          <t>26.9.15</t>
        </is>
      </c>
      <c r="G34" s="12" t="inlineStr">
        <is>
          <t>26.11.14</t>
        </is>
      </c>
      <c r="H34" s="11" t="n">
        <v>4508</v>
      </c>
      <c r="I34" s="11" t="n">
        <v>3310</v>
      </c>
      <c r="J34" s="12" t="inlineStr">
        <is>
          <t>USD</t>
        </is>
      </c>
      <c r="K34" s="9" t="n"/>
    </row>
    <row r="35" ht="19.5" customHeight="1">
      <c r="A35" s="9" t="inlineStr">
        <is>
          <t>영업1팀 B</t>
        </is>
      </c>
      <c r="B35" s="9" t="inlineStr">
        <is>
          <t>PT Quineon Instrumen Nusantara</t>
        </is>
      </c>
      <c r="C35" s="9" t="inlineStr">
        <is>
          <t>Indonesia</t>
        </is>
      </c>
      <c r="D35" s="9" t="inlineStr">
        <is>
          <t>O/A 60일</t>
        </is>
      </c>
      <c r="E35" s="9" t="inlineStr">
        <is>
          <t>INV-2609-0134</t>
        </is>
      </c>
      <c r="F35" s="12" t="inlineStr">
        <is>
          <t>26.9.25</t>
        </is>
      </c>
      <c r="G35" s="12" t="inlineStr">
        <is>
          <t>26.11.24</t>
        </is>
      </c>
      <c r="H35" s="11" t="n">
        <v>9726</v>
      </c>
      <c r="I35" s="11" t="n">
        <v>7170</v>
      </c>
      <c r="J35" s="12" t="inlineStr">
        <is>
          <t>USD</t>
        </is>
      </c>
      <c r="K35" s="9" t="n"/>
    </row>
    <row r="36" ht="19.5" customHeight="1">
      <c r="A36" s="9" t="inlineStr">
        <is>
          <t>영업1팀 B</t>
        </is>
      </c>
      <c r="B36" s="9" t="inlineStr">
        <is>
          <t>PT Quineon Instrumen Nusantara</t>
        </is>
      </c>
      <c r="C36" s="9" t="inlineStr">
        <is>
          <t>Indonesia</t>
        </is>
      </c>
      <c r="D36" s="9" t="inlineStr">
        <is>
          <t>O/A 60일</t>
        </is>
      </c>
      <c r="E36" s="9" t="inlineStr">
        <is>
          <t>INV-2609-0148</t>
        </is>
      </c>
      <c r="F36" s="12" t="inlineStr">
        <is>
          <t>26.9.27</t>
        </is>
      </c>
      <c r="G36" s="12" t="inlineStr">
        <is>
          <t>26.11.26</t>
        </is>
      </c>
      <c r="H36" s="11" t="n">
        <v>1980505</v>
      </c>
      <c r="I36" s="11" t="n">
        <v>1460</v>
      </c>
      <c r="J36" s="12" t="inlineStr">
        <is>
          <t>USD</t>
        </is>
      </c>
      <c r="K36" s="9" t="n"/>
    </row>
    <row r="37" ht="19.5" customHeight="1">
      <c r="A37" s="9" t="inlineStr">
        <is>
          <t>영업1팀 B</t>
        </is>
      </c>
      <c r="B37" s="9" t="inlineStr">
        <is>
          <t>Ralora Kogyo K.K.</t>
        </is>
      </c>
      <c r="C37" s="9" t="inlineStr">
        <is>
          <t>Japan</t>
        </is>
      </c>
      <c r="D37" s="9" t="inlineStr">
        <is>
          <t>OA90days</t>
        </is>
      </c>
      <c r="E37" s="9" t="inlineStr">
        <is>
          <t>INV-2607-0011</t>
        </is>
      </c>
      <c r="F37" s="12" t="inlineStr">
        <is>
          <t>26.7.3</t>
        </is>
      </c>
      <c r="G37" s="12" t="inlineStr">
        <is>
          <t>26.10.1</t>
        </is>
      </c>
      <c r="H37" s="11" t="n">
        <v>11499</v>
      </c>
      <c r="I37" s="11" t="n">
        <v>1203000</v>
      </c>
      <c r="J37" s="12" t="inlineStr">
        <is>
          <t>JPY</t>
        </is>
      </c>
      <c r="K37" s="9" t="n"/>
    </row>
    <row r="38" ht="19.5" customHeight="1">
      <c r="A38" s="9" t="inlineStr">
        <is>
          <t>영업1팀 B</t>
        </is>
      </c>
      <c r="B38" s="9" t="inlineStr">
        <is>
          <t>Ralora Kogyo K.K.</t>
        </is>
      </c>
      <c r="C38" s="9" t="inlineStr">
        <is>
          <t>Japan</t>
        </is>
      </c>
      <c r="D38" s="9" t="inlineStr">
        <is>
          <t>O/A 90일</t>
        </is>
      </c>
      <c r="E38" s="9" t="inlineStr">
        <is>
          <t>INV-2607-0104</t>
        </is>
      </c>
      <c r="F38" s="12" t="inlineStr">
        <is>
          <t>26.7.18</t>
        </is>
      </c>
      <c r="G38" s="10" t="n">
        <v>46311</v>
      </c>
      <c r="H38" s="11" t="n">
        <v>1962</v>
      </c>
      <c r="I38" s="11" t="n">
        <v>214000</v>
      </c>
      <c r="J38" s="12" t="inlineStr">
        <is>
          <t>JPY</t>
        </is>
      </c>
      <c r="K38" s="9" t="n"/>
    </row>
    <row r="39" ht="19.5" customHeight="1">
      <c r="A39" s="9" t="inlineStr">
        <is>
          <t>영업1팀 B</t>
        </is>
      </c>
      <c r="B39" s="9" t="inlineStr">
        <is>
          <t>Rinella Distribution Co., Ltd.</t>
        </is>
      </c>
      <c r="C39" s="9" t="inlineStr">
        <is>
          <t>Taiwan</t>
        </is>
      </c>
      <c r="D39" s="9" t="inlineStr">
        <is>
          <t>사후송금 60일</t>
        </is>
      </c>
      <c r="E39" s="9" t="inlineStr">
        <is>
          <t>INV-2609-0109</t>
        </is>
      </c>
      <c r="F39" s="12" t="inlineStr">
        <is>
          <t>26.9.21</t>
        </is>
      </c>
      <c r="G39" s="12" t="inlineStr">
        <is>
          <t>26.11.20</t>
        </is>
      </c>
      <c r="H39" s="11" t="n">
        <v>24472</v>
      </c>
      <c r="I39" s="11" t="n">
        <v>17800</v>
      </c>
      <c r="J39" s="12" t="inlineStr">
        <is>
          <t>USD</t>
        </is>
      </c>
      <c r="K39" s="9" t="n"/>
    </row>
    <row r="40" ht="19.5" customHeight="1">
      <c r="A40" s="9" t="inlineStr">
        <is>
          <t>영업1팀 B</t>
        </is>
      </c>
      <c r="B40" s="9" t="inlineStr">
        <is>
          <t>Velova Keisoku K.K.</t>
        </is>
      </c>
      <c r="C40" s="9" t="inlineStr">
        <is>
          <t>Japan</t>
        </is>
      </c>
      <c r="D40" s="9" t="inlineStr">
        <is>
          <t>D/A 60</t>
        </is>
      </c>
      <c r="E40" s="9" t="inlineStr">
        <is>
          <t>INV-2609-0027</t>
        </is>
      </c>
      <c r="F40" s="12" t="inlineStr">
        <is>
          <t>26.9.4</t>
        </is>
      </c>
      <c r="G40" s="12" t="inlineStr">
        <is>
          <t>26.11.3</t>
        </is>
      </c>
      <c r="H40" s="11" t="n">
        <v>17760</v>
      </c>
      <c r="I40" s="11" t="n">
        <v>2059000</v>
      </c>
      <c r="J40" s="12" t="inlineStr">
        <is>
          <t>JPY</t>
        </is>
      </c>
      <c r="K40" s="9" t="n"/>
    </row>
    <row r="41" ht="19.5" customHeight="1">
      <c r="A41" s="9" t="inlineStr">
        <is>
          <t>영업1팀 B</t>
        </is>
      </c>
      <c r="B41" s="9" t="inlineStr">
        <is>
          <t>Xiamen Rinant Engineering Co., Ltd.</t>
        </is>
      </c>
      <c r="C41" s="9" t="inlineStr">
        <is>
          <t>China</t>
        </is>
      </c>
      <c r="D41" s="9" t="inlineStr">
        <is>
          <t>사후송금 60일</t>
        </is>
      </c>
      <c r="E41" s="9" t="inlineStr">
        <is>
          <t>INV-2608-0033</t>
        </is>
      </c>
      <c r="F41" s="12" t="inlineStr">
        <is>
          <t>26.8.8</t>
        </is>
      </c>
      <c r="G41" s="12" t="inlineStr">
        <is>
          <t>26.10.7</t>
        </is>
      </c>
      <c r="H41" s="11" t="n">
        <v>81348</v>
      </c>
      <c r="I41" s="11" t="n">
        <v>389300</v>
      </c>
      <c r="J41" s="12" t="inlineStr">
        <is>
          <t>CNY</t>
        </is>
      </c>
      <c r="K41" s="9" t="n"/>
    </row>
    <row r="42" ht="19.5" customHeight="1">
      <c r="A42" s="9" t="inlineStr">
        <is>
          <t>영업1팀 B</t>
        </is>
      </c>
      <c r="B42" s="9" t="inlineStr">
        <is>
          <t>Xiamen Rinant Engineering Co., Ltd.</t>
        </is>
      </c>
      <c r="C42" s="9" t="inlineStr">
        <is>
          <t>China</t>
        </is>
      </c>
      <c r="D42" s="9" t="inlineStr">
        <is>
          <t>OA 60 DAYS</t>
        </is>
      </c>
      <c r="E42" s="9" t="inlineStr">
        <is>
          <t>INV-2608-0071</t>
        </is>
      </c>
      <c r="F42" s="12" t="inlineStr">
        <is>
          <t>26.8.16</t>
        </is>
      </c>
      <c r="G42" s="12" t="inlineStr">
        <is>
          <t>26.10.15</t>
        </is>
      </c>
      <c r="H42" s="11" t="n">
        <v>7930</v>
      </c>
      <c r="I42" s="11" t="n">
        <v>37800</v>
      </c>
      <c r="J42" s="12" t="inlineStr">
        <is>
          <t>CNY</t>
        </is>
      </c>
      <c r="K42" s="9" t="n"/>
    </row>
    <row r="43" ht="19.5" customHeight="1">
      <c r="A43" s="9" t="inlineStr">
        <is>
          <t>영업1팀 B</t>
        </is>
      </c>
      <c r="B43" s="9" t="inlineStr">
        <is>
          <t>Xiamen Rinant Engineering Co., Ltd.</t>
        </is>
      </c>
      <c r="C43" s="9" t="inlineStr">
        <is>
          <t>China</t>
        </is>
      </c>
      <c r="D43" s="9" t="inlineStr">
        <is>
          <t>O/A 60</t>
        </is>
      </c>
      <c r="E43" s="9" t="inlineStr">
        <is>
          <t>INV-2609-0078</t>
        </is>
      </c>
      <c r="F43" s="10" t="n">
        <v>46280</v>
      </c>
      <c r="G43" s="12" t="inlineStr">
        <is>
          <t>11월 14일</t>
        </is>
      </c>
      <c r="H43" s="11" t="n">
        <v>22565</v>
      </c>
      <c r="I43" s="11" t="n">
        <v>111200</v>
      </c>
      <c r="J43" s="12" t="inlineStr">
        <is>
          <t>CNY</t>
        </is>
      </c>
      <c r="K43" s="9" t="n"/>
    </row>
    <row r="44" ht="19.5" customHeight="1">
      <c r="A44" s="9" t="inlineStr">
        <is>
          <t>영업1팀 B</t>
        </is>
      </c>
      <c r="B44" s="9" t="inlineStr">
        <is>
          <t>Zenano Shoji K.K.</t>
        </is>
      </c>
      <c r="C44" s="9" t="inlineStr">
        <is>
          <t>Japan</t>
        </is>
      </c>
      <c r="D44" s="9" t="inlineStr">
        <is>
          <t>OA60days</t>
        </is>
      </c>
      <c r="E44" s="9" t="inlineStr">
        <is>
          <t>INV-2608-0058</t>
        </is>
      </c>
      <c r="F44" s="12" t="inlineStr">
        <is>
          <t>26.8.13</t>
        </is>
      </c>
      <c r="G44" s="12" t="inlineStr">
        <is>
          <t>26.10.12</t>
        </is>
      </c>
      <c r="H44" s="11" t="n">
        <v>11195</v>
      </c>
      <c r="I44" s="11" t="n">
        <v>1258000</v>
      </c>
      <c r="J44" s="12" t="inlineStr">
        <is>
          <t>JPY</t>
        </is>
      </c>
      <c r="K44" s="9" t="n"/>
    </row>
    <row r="45" ht="19.5" customHeight="1">
      <c r="A45" s="9" t="inlineStr">
        <is>
          <t>영업1팀 B</t>
        </is>
      </c>
      <c r="B45" s="9" t="inlineStr">
        <is>
          <t>Zenano Shoji K.K.</t>
        </is>
      </c>
      <c r="C45" s="9" t="inlineStr">
        <is>
          <t>Japan</t>
        </is>
      </c>
      <c r="D45" s="9" t="inlineStr">
        <is>
          <t>OA60days</t>
        </is>
      </c>
      <c r="E45" s="9" t="inlineStr">
        <is>
          <t>INV-2608-0069</t>
        </is>
      </c>
      <c r="F45" s="12" t="inlineStr">
        <is>
          <t>26.8.15</t>
        </is>
      </c>
      <c r="G45" s="12" t="inlineStr">
        <is>
          <t>26.10.14</t>
        </is>
      </c>
      <c r="H45" s="11" t="n">
        <v>16159</v>
      </c>
      <c r="I45" s="11" t="n">
        <v>1819000</v>
      </c>
      <c r="J45" s="12" t="inlineStr">
        <is>
          <t>JPY</t>
        </is>
      </c>
      <c r="K45" s="9" t="n"/>
    </row>
    <row r="46" ht="19.5" customHeight="1">
      <c r="A46" s="9" t="inlineStr">
        <is>
          <t>영업1팀 B</t>
        </is>
      </c>
      <c r="B46" s="9" t="inlineStr">
        <is>
          <t>Zenano Shoji K.K.</t>
        </is>
      </c>
      <c r="C46" s="9" t="inlineStr">
        <is>
          <t>Japan</t>
        </is>
      </c>
      <c r="D46" s="9" t="inlineStr">
        <is>
          <t>O/A 60일</t>
        </is>
      </c>
      <c r="E46" s="9" t="inlineStr">
        <is>
          <t>INV-2608-0091</t>
        </is>
      </c>
      <c r="F46" s="12" t="inlineStr">
        <is>
          <t>26.8.19</t>
        </is>
      </c>
      <c r="G46" s="12" t="inlineStr">
        <is>
          <t>26.10.18</t>
        </is>
      </c>
      <c r="H46" s="11" t="n">
        <v>5266</v>
      </c>
      <c r="I46" s="11" t="n">
        <v>601000</v>
      </c>
      <c r="J46" s="12" t="inlineStr">
        <is>
          <t>JPY</t>
        </is>
      </c>
      <c r="K46" s="9" t="n"/>
    </row>
    <row r="47" ht="19.5" customHeight="1">
      <c r="A47" s="9" t="inlineStr">
        <is>
          <t>영업1팀 B</t>
        </is>
      </c>
      <c r="B47" s="9" t="inlineStr">
        <is>
          <t>Zenyn Outlets Ltd.</t>
        </is>
      </c>
      <c r="C47" s="9" t="inlineStr">
        <is>
          <t>India</t>
        </is>
      </c>
      <c r="D47" s="9" t="inlineStr">
        <is>
          <t>O/A 30</t>
        </is>
      </c>
      <c r="E47" s="9" t="inlineStr">
        <is>
          <t>INV-2609-0018</t>
        </is>
      </c>
      <c r="F47" s="12" t="inlineStr">
        <is>
          <t>26.9.3</t>
        </is>
      </c>
      <c r="G47" s="12" t="inlineStr">
        <is>
          <t>26.10.3</t>
        </is>
      </c>
      <c r="H47" s="11" t="n">
        <v>18671</v>
      </c>
      <c r="I47" s="11" t="n">
        <v>13760</v>
      </c>
      <c r="J47" s="12" t="inlineStr">
        <is>
          <t>USD</t>
        </is>
      </c>
      <c r="K47" s="9" t="n"/>
    </row>
    <row r="48" ht="19.5" customHeight="1">
      <c r="A48" s="9" t="inlineStr">
        <is>
          <t>영업1팀 B</t>
        </is>
      </c>
      <c r="B48" s="9" t="inlineStr">
        <is>
          <t>Zenyn Outlets Ltd.</t>
        </is>
      </c>
      <c r="C48" s="9" t="inlineStr">
        <is>
          <t>India</t>
        </is>
      </c>
      <c r="D48" s="9" t="inlineStr">
        <is>
          <t>OA 30 DAYS</t>
        </is>
      </c>
      <c r="E48" s="9" t="inlineStr">
        <is>
          <t>INV-2609-0056</t>
        </is>
      </c>
      <c r="F48" s="12" t="inlineStr">
        <is>
          <t>26.9.10</t>
        </is>
      </c>
      <c r="G48" s="12" t="inlineStr">
        <is>
          <t>26.10.10</t>
        </is>
      </c>
      <c r="H48" s="11" t="n">
        <v>39454</v>
      </c>
      <c r="I48" s="11" t="n">
        <v>29320</v>
      </c>
      <c r="J48" s="12" t="inlineStr">
        <is>
          <t>USD</t>
        </is>
      </c>
      <c r="K48" s="9" t="n"/>
    </row>
    <row r="49" ht="19.5" customHeight="1">
      <c r="A49" s="9" t="inlineStr">
        <is>
          <t>영업1팀 B</t>
        </is>
      </c>
      <c r="B49" s="9" t="inlineStr">
        <is>
          <t>Zenyn Outlets Ltd.</t>
        </is>
      </c>
      <c r="C49" s="9" t="inlineStr">
        <is>
          <t>India</t>
        </is>
      </c>
      <c r="D49" s="9" t="inlineStr">
        <is>
          <t>사후송금 30일</t>
        </is>
      </c>
      <c r="E49" s="9" t="inlineStr">
        <is>
          <t>INV-2609-0064</t>
        </is>
      </c>
      <c r="F49" s="12" t="inlineStr">
        <is>
          <t>26.9.12</t>
        </is>
      </c>
      <c r="G49" s="12" t="inlineStr">
        <is>
          <t>26.10.12</t>
        </is>
      </c>
      <c r="H49" s="11" t="n">
        <v>32623</v>
      </c>
      <c r="I49" s="11" t="n">
        <v>24340</v>
      </c>
      <c r="J49" s="12" t="inlineStr">
        <is>
          <t>USD</t>
        </is>
      </c>
      <c r="K49" s="9" t="n"/>
    </row>
    <row r="50" ht="19.5" customHeight="1">
      <c r="A50" s="9" t="inlineStr">
        <is>
          <t>영업1팀 B</t>
        </is>
      </c>
      <c r="B50" s="9" t="inlineStr">
        <is>
          <t>Zenyn Outlets Ltd.</t>
        </is>
      </c>
      <c r="C50" s="9" t="inlineStr">
        <is>
          <t>India</t>
        </is>
      </c>
      <c r="D50" s="9" t="inlineStr">
        <is>
          <t>O/A 30일</t>
        </is>
      </c>
      <c r="E50" s="9" t="inlineStr">
        <is>
          <t>INV-2609-0107</t>
        </is>
      </c>
      <c r="F50" s="12" t="inlineStr">
        <is>
          <t>26.9.20</t>
        </is>
      </c>
      <c r="G50" s="12" t="inlineStr">
        <is>
          <t>10월 20일</t>
        </is>
      </c>
      <c r="H50" s="11" t="n">
        <v>9397</v>
      </c>
      <c r="I50" s="11" t="n">
        <v>6770</v>
      </c>
      <c r="J50" s="12" t="inlineStr">
        <is>
          <t>USD</t>
        </is>
      </c>
      <c r="K50" s="9" t="n"/>
    </row>
    <row r="51" ht="19.5" customHeight="1">
      <c r="A51" s="14" t="inlineStr">
        <is>
          <t>영업1팀 B 소계</t>
        </is>
      </c>
      <c r="B51" s="14" t="n"/>
      <c r="C51" s="14" t="n"/>
      <c r="D51" s="14" t="n"/>
      <c r="E51" s="14" t="n"/>
      <c r="F51" s="14" t="n"/>
      <c r="G51" s="14" t="n"/>
      <c r="H51" s="15">
        <f>SUM(H25:H50)</f>
        <v>2451069</v>
      </c>
      <c r="I51" s="14" t="n"/>
      <c r="J51" s="14" t="n"/>
      <c r="K51" s="14" t="n"/>
    </row>
    <row r="52" ht="19.5" customHeight="1"/>
    <row r="53" ht="19.5" customHeight="1">
      <c r="A53" s="9" t="inlineStr">
        <is>
          <t>영업1팀 C</t>
        </is>
      </c>
      <c r="B53" s="9" t="inlineStr">
        <is>
          <t>Dongguan Wenura Automation Co., Ltd.</t>
        </is>
      </c>
      <c r="C53" s="9" t="inlineStr">
        <is>
          <t>China</t>
        </is>
      </c>
      <c r="D53" s="9" t="inlineStr">
        <is>
          <t>O/A 60</t>
        </is>
      </c>
      <c r="E53" s="9" t="inlineStr">
        <is>
          <t>INV-2609-0116</t>
        </is>
      </c>
      <c r="F53" s="10" t="n">
        <v>46286</v>
      </c>
      <c r="G53" s="12" t="inlineStr">
        <is>
          <t>11월 20일</t>
        </is>
      </c>
      <c r="H53" s="11" t="n">
        <v>23657</v>
      </c>
      <c r="I53" s="11" t="n">
        <v>115200</v>
      </c>
      <c r="J53" s="12" t="inlineStr">
        <is>
          <t>CNY</t>
        </is>
      </c>
      <c r="K53" s="9" t="n"/>
    </row>
    <row r="54" ht="19.5" customHeight="1">
      <c r="A54" s="9" t="inlineStr">
        <is>
          <t>영업1팀 C</t>
        </is>
      </c>
      <c r="B54" s="9" t="inlineStr">
        <is>
          <t>Falia Home &amp; Lab Stores (Thailand) Co., Ltd.</t>
        </is>
      </c>
      <c r="C54" s="9" t="inlineStr">
        <is>
          <t>Thailand</t>
        </is>
      </c>
      <c r="D54" s="9" t="inlineStr">
        <is>
          <t>D/A 60</t>
        </is>
      </c>
      <c r="E54" s="9" t="inlineStr">
        <is>
          <t>INV-2507-0065</t>
        </is>
      </c>
      <c r="F54" s="10" t="n">
        <v>45854</v>
      </c>
      <c r="G54" s="10" t="n">
        <v>45914</v>
      </c>
      <c r="H54" s="11" t="n">
        <v>29555</v>
      </c>
      <c r="I54" s="11" t="n">
        <v>21250</v>
      </c>
      <c r="J54" s="12" t="inlineStr">
        <is>
          <t>USD</t>
        </is>
      </c>
      <c r="K54" s="9" t="inlineStr">
        <is>
          <t>부도 — 법무팀 검토 중</t>
        </is>
      </c>
    </row>
    <row r="55" ht="19.5" customHeight="1">
      <c r="A55" s="9" t="inlineStr">
        <is>
          <t>영업1팀 C</t>
        </is>
      </c>
      <c r="B55" s="9" t="inlineStr">
        <is>
          <t>Falia Home &amp; Lab Stores (Thailand) Co., Ltd.</t>
        </is>
      </c>
      <c r="C55" s="9" t="inlineStr">
        <is>
          <t>Thailand</t>
        </is>
      </c>
      <c r="D55" s="9" t="inlineStr">
        <is>
          <t>D/A 60일</t>
        </is>
      </c>
      <c r="E55" s="9" t="inlineStr">
        <is>
          <t>INV-2507-0073</t>
        </is>
      </c>
      <c r="F55" s="10" t="n">
        <v>45856</v>
      </c>
      <c r="G55" s="10" t="n">
        <v>45916</v>
      </c>
      <c r="H55" s="11" t="n">
        <v>12916</v>
      </c>
      <c r="I55" s="11" t="n">
        <v>9290</v>
      </c>
      <c r="J55" s="12" t="inlineStr">
        <is>
          <t>USD</t>
        </is>
      </c>
      <c r="K55" s="9" t="inlineStr">
        <is>
          <t>바이어 부도 통보 접수</t>
        </is>
      </c>
    </row>
    <row r="56" ht="19.5" customHeight="1">
      <c r="A56" s="9" t="inlineStr">
        <is>
          <t>영업1팀 C</t>
        </is>
      </c>
      <c r="B56" s="9" t="inlineStr">
        <is>
          <t>Falia Home &amp; Lab Stores (Thailand) Co., Ltd.</t>
        </is>
      </c>
      <c r="C56" s="9" t="inlineStr">
        <is>
          <t>Thailand</t>
        </is>
      </c>
      <c r="D56" s="9" t="inlineStr">
        <is>
          <t>DA60days</t>
        </is>
      </c>
      <c r="E56" s="9" t="inlineStr">
        <is>
          <t>INV-2509-0005</t>
        </is>
      </c>
      <c r="F56" s="10" t="n">
        <v>45901</v>
      </c>
      <c r="G56" s="10" t="n">
        <v>45961</v>
      </c>
      <c r="H56" s="11" t="n">
        <v>4141</v>
      </c>
      <c r="I56" s="11" t="n">
        <v>2980</v>
      </c>
      <c r="J56" s="12" t="inlineStr">
        <is>
          <t>USD</t>
        </is>
      </c>
      <c r="K56" s="9" t="inlineStr">
        <is>
          <t>부도 처리 — 회수 협의 중</t>
        </is>
      </c>
    </row>
    <row r="57" ht="19.5" customHeight="1">
      <c r="A57" s="9" t="inlineStr">
        <is>
          <t>영업1팀 C</t>
        </is>
      </c>
      <c r="B57" s="9" t="inlineStr">
        <is>
          <t>Kervuvar Retail Co., Ltd.</t>
        </is>
      </c>
      <c r="C57" s="9" t="inlineStr">
        <is>
          <t>Taiwan</t>
        </is>
      </c>
      <c r="D57" s="9" t="inlineStr">
        <is>
          <t>D/A 90</t>
        </is>
      </c>
      <c r="E57" s="9" t="inlineStr">
        <is>
          <t>INV-2607-0010</t>
        </is>
      </c>
      <c r="F57" s="10" t="n">
        <v>46206</v>
      </c>
      <c r="G57" s="10" t="n">
        <v>46296</v>
      </c>
      <c r="H57" s="11" t="n">
        <v>6614</v>
      </c>
      <c r="I57" s="11" t="n">
        <v>4300</v>
      </c>
      <c r="J57" s="12" t="inlineStr">
        <is>
          <t>USD</t>
        </is>
      </c>
      <c r="K57" s="9" t="n"/>
    </row>
    <row r="58" ht="19.5" customHeight="1">
      <c r="A58" s="9" t="inlineStr">
        <is>
          <t>영업1팀 C</t>
        </is>
      </c>
      <c r="B58" s="9" t="inlineStr">
        <is>
          <t>Kervuvar Retail Co., Ltd.</t>
        </is>
      </c>
      <c r="C58" s="9" t="inlineStr">
        <is>
          <t>Taiwan</t>
        </is>
      </c>
      <c r="D58" s="9" t="inlineStr">
        <is>
          <t>D/A 90일</t>
        </is>
      </c>
      <c r="E58" s="9" t="inlineStr">
        <is>
          <t>INV-2607-0130</t>
        </is>
      </c>
      <c r="F58" s="10" t="n">
        <v>46224</v>
      </c>
      <c r="G58" s="10" t="n">
        <v>46314</v>
      </c>
      <c r="H58" s="11" t="n">
        <v>11853</v>
      </c>
      <c r="I58" s="11" t="n">
        <v>8010</v>
      </c>
      <c r="J58" s="12" t="inlineStr">
        <is>
          <t>USD</t>
        </is>
      </c>
      <c r="K58" s="9" t="n"/>
    </row>
    <row r="59" ht="19.5" customHeight="1">
      <c r="A59" s="9" t="inlineStr">
        <is>
          <t>영업1팀 C</t>
        </is>
      </c>
      <c r="B59" s="9" t="inlineStr">
        <is>
          <t>Kervuvar Retail Co., Ltd.</t>
        </is>
      </c>
      <c r="C59" s="9" t="inlineStr">
        <is>
          <t>Taiwan</t>
        </is>
      </c>
      <c r="D59" s="9" t="inlineStr">
        <is>
          <t>D/A 90</t>
        </is>
      </c>
      <c r="E59" s="9" t="inlineStr">
        <is>
          <t>INV-2608-0056</t>
        </is>
      </c>
      <c r="F59" s="10" t="n">
        <v>46246</v>
      </c>
      <c r="G59" s="10" t="n">
        <v>46336</v>
      </c>
      <c r="H59" s="11" t="n">
        <v>26910</v>
      </c>
      <c r="I59" s="11" t="n">
        <v>19000</v>
      </c>
      <c r="J59" s="12" t="inlineStr">
        <is>
          <t>USD</t>
        </is>
      </c>
      <c r="K59" s="9" t="n"/>
    </row>
    <row r="60" ht="19.5" customHeight="1">
      <c r="A60" s="9" t="inlineStr">
        <is>
          <t>영업1팀 C</t>
        </is>
      </c>
      <c r="B60" s="9" t="inlineStr">
        <is>
          <t>Kervuvar Retail Co., Ltd.</t>
        </is>
      </c>
      <c r="C60" s="9" t="inlineStr">
        <is>
          <t>Taiwan</t>
        </is>
      </c>
      <c r="D60" s="9" t="inlineStr">
        <is>
          <t>D/A 90</t>
        </is>
      </c>
      <c r="E60" s="9" t="inlineStr">
        <is>
          <t>INV-2609-0020</t>
        </is>
      </c>
      <c r="F60" s="10" t="n">
        <v>46268</v>
      </c>
      <c r="G60" s="10" t="n">
        <v>46358</v>
      </c>
      <c r="H60" s="11" t="n">
        <v>1574</v>
      </c>
      <c r="I60" s="11" t="n">
        <v>1160</v>
      </c>
      <c r="J60" s="12" t="inlineStr">
        <is>
          <t>USD</t>
        </is>
      </c>
      <c r="K60" s="9" t="n"/>
    </row>
    <row r="61" ht="19.5" customHeight="1">
      <c r="A61" s="9" t="inlineStr">
        <is>
          <t>영업1팀 C</t>
        </is>
      </c>
      <c r="B61" s="9" t="inlineStr">
        <is>
          <t>Lorida Shoji K.K.</t>
        </is>
      </c>
      <c r="C61" s="9" t="inlineStr">
        <is>
          <t>Japan</t>
        </is>
      </c>
      <c r="D61" s="9" t="inlineStr">
        <is>
          <t>OA60days</t>
        </is>
      </c>
      <c r="E61" s="9" t="inlineStr">
        <is>
          <t>INV-2608-0080</t>
        </is>
      </c>
      <c r="F61" s="10" t="n">
        <v>46251</v>
      </c>
      <c r="G61" s="10" t="n">
        <v>46311</v>
      </c>
      <c r="H61" s="11" t="n">
        <v>27921</v>
      </c>
      <c r="I61" s="11" t="n">
        <v>3149000</v>
      </c>
      <c r="J61" s="12" t="inlineStr">
        <is>
          <t>JPY</t>
        </is>
      </c>
      <c r="K61" s="9" t="n"/>
    </row>
    <row r="62" ht="19.5" customHeight="1">
      <c r="A62" s="9" t="inlineStr">
        <is>
          <t>영업1팀 C</t>
        </is>
      </c>
      <c r="B62" s="9" t="inlineStr">
        <is>
          <t>PT Morora Teknik Indonesia</t>
        </is>
      </c>
      <c r="C62" s="9" t="inlineStr">
        <is>
          <t>Indonesia</t>
        </is>
      </c>
      <c r="D62" s="9" t="inlineStr">
        <is>
          <t>D/A 90</t>
        </is>
      </c>
      <c r="E62" s="9" t="inlineStr">
        <is>
          <t>INV-2607-0037</t>
        </is>
      </c>
      <c r="F62" s="10" t="n">
        <v>46211</v>
      </c>
      <c r="G62" s="10" t="n">
        <v>46301</v>
      </c>
      <c r="H62" s="11" t="n">
        <v>17439</v>
      </c>
      <c r="I62" s="11" t="n">
        <v>11540</v>
      </c>
      <c r="J62" s="12" t="inlineStr">
        <is>
          <t>USD</t>
        </is>
      </c>
      <c r="K62" s="9" t="n"/>
    </row>
    <row r="63" ht="19.5" customHeight="1">
      <c r="A63" s="9" t="inlineStr">
        <is>
          <t>영업1팀 C</t>
        </is>
      </c>
      <c r="B63" s="9" t="inlineStr">
        <is>
          <t>PT Morora Teknik Indonesia</t>
        </is>
      </c>
      <c r="C63" s="9" t="inlineStr">
        <is>
          <t>Indonesia</t>
        </is>
      </c>
      <c r="D63" s="9" t="inlineStr">
        <is>
          <t>D/A 90</t>
        </is>
      </c>
      <c r="E63" s="9" t="inlineStr">
        <is>
          <t>INV-2607-0142</t>
        </is>
      </c>
      <c r="F63" s="10" t="n">
        <v>46226</v>
      </c>
      <c r="G63" s="10" t="n">
        <v>46316</v>
      </c>
      <c r="H63" s="13" t="inlineStr">
        <is>
          <t>9,218</t>
        </is>
      </c>
      <c r="I63" s="11" t="n">
        <v>6250</v>
      </c>
      <c r="J63" s="12" t="inlineStr">
        <is>
          <t>USD</t>
        </is>
      </c>
      <c r="K63" s="9" t="n"/>
    </row>
    <row r="64" ht="19.5" customHeight="1">
      <c r="A64" s="9" t="inlineStr">
        <is>
          <t>영업1팀 C</t>
        </is>
      </c>
      <c r="B64" s="9" t="inlineStr">
        <is>
          <t>PT Morora Teknik Indonesia</t>
        </is>
      </c>
      <c r="C64" s="9" t="inlineStr">
        <is>
          <t>Indonesia</t>
        </is>
      </c>
      <c r="D64" s="9" t="inlineStr">
        <is>
          <t>DA90days</t>
        </is>
      </c>
      <c r="E64" s="9" t="inlineStr">
        <is>
          <t>INV-2607-0168</t>
        </is>
      </c>
      <c r="F64" s="10" t="n">
        <v>46231</v>
      </c>
      <c r="G64" s="10" t="n">
        <v>46321</v>
      </c>
      <c r="H64" s="11" t="n">
        <v>6714</v>
      </c>
      <c r="I64" s="11" t="n">
        <v>4620</v>
      </c>
      <c r="J64" s="12" t="inlineStr">
        <is>
          <t>USD</t>
        </is>
      </c>
      <c r="K64" s="9" t="n"/>
    </row>
    <row r="65" ht="19.5" customHeight="1">
      <c r="A65" s="9" t="inlineStr">
        <is>
          <t>영업1팀 C</t>
        </is>
      </c>
      <c r="B65" s="9" t="inlineStr">
        <is>
          <t>Shenzhen Gulvresko Contracting Co., Ltd.</t>
        </is>
      </c>
      <c r="C65" s="9" t="inlineStr">
        <is>
          <t>China</t>
        </is>
      </c>
      <c r="D65" s="9" t="inlineStr">
        <is>
          <t>OA90days</t>
        </is>
      </c>
      <c r="E65" s="9" t="inlineStr">
        <is>
          <t>INV-2607-0167</t>
        </is>
      </c>
      <c r="F65" s="12" t="inlineStr">
        <is>
          <t>26.7.27</t>
        </is>
      </c>
      <c r="G65" s="10" t="n">
        <v>46320</v>
      </c>
      <c r="H65" s="11" t="n">
        <v>7744</v>
      </c>
      <c r="I65" s="11" t="n">
        <v>35700</v>
      </c>
      <c r="J65" s="12" t="inlineStr">
        <is>
          <t>CNY</t>
        </is>
      </c>
      <c r="K65" s="9" t="n"/>
    </row>
    <row r="66" ht="19.5" customHeight="1">
      <c r="A66" s="9" t="inlineStr">
        <is>
          <t>영업1팀 C</t>
        </is>
      </c>
      <c r="B66" s="9" t="inlineStr">
        <is>
          <t>Shenzhen Gulvresko Contracting Co., Ltd.</t>
        </is>
      </c>
      <c r="C66" s="9" t="inlineStr">
        <is>
          <t>China</t>
        </is>
      </c>
      <c r="D66" s="9" t="inlineStr">
        <is>
          <t>O/A 90</t>
        </is>
      </c>
      <c r="E66" s="9" t="inlineStr">
        <is>
          <t>INV-2609-0022</t>
        </is>
      </c>
      <c r="F66" s="10" t="n">
        <v>46268</v>
      </c>
      <c r="G66" s="10" t="n">
        <v>46358</v>
      </c>
      <c r="H66" s="11" t="n">
        <v>4868</v>
      </c>
      <c r="I66" s="11" t="n">
        <v>24100</v>
      </c>
      <c r="J66" s="12" t="inlineStr">
        <is>
          <t>CNY</t>
        </is>
      </c>
      <c r="K66" s="9" t="n"/>
    </row>
    <row r="67" ht="19.5" customHeight="1">
      <c r="A67" s="9" t="inlineStr">
        <is>
          <t>영업1팀 C</t>
        </is>
      </c>
      <c r="B67" s="9" t="inlineStr">
        <is>
          <t>Shenzhen Velari Machinery Co., Ltd.</t>
        </is>
      </c>
      <c r="C67" s="9" t="inlineStr">
        <is>
          <t>China</t>
        </is>
      </c>
      <c r="D67" s="9" t="inlineStr">
        <is>
          <t>OA 30 DAYS</t>
        </is>
      </c>
      <c r="E67" s="9" t="inlineStr">
        <is>
          <t>INV-2609-0021</t>
        </is>
      </c>
      <c r="F67" s="10" t="n">
        <v>46268</v>
      </c>
      <c r="G67" s="10" t="n">
        <v>46298</v>
      </c>
      <c r="H67" s="11" t="n">
        <v>17707</v>
      </c>
      <c r="I67" s="11" t="n">
        <v>13050</v>
      </c>
      <c r="J67" s="12" t="inlineStr">
        <is>
          <t>USD</t>
        </is>
      </c>
      <c r="K67" s="9" t="n"/>
    </row>
    <row r="68" ht="19.5" customHeight="1">
      <c r="A68" s="9" t="inlineStr">
        <is>
          <t>영업1팀 C</t>
        </is>
      </c>
      <c r="B68" s="9" t="inlineStr">
        <is>
          <t>Tesvirel Keisoku K.K.</t>
        </is>
      </c>
      <c r="C68" s="9" t="inlineStr">
        <is>
          <t>Japan</t>
        </is>
      </c>
      <c r="D68" s="9" t="inlineStr">
        <is>
          <t>사후송금 60일</t>
        </is>
      </c>
      <c r="E68" s="9" t="inlineStr">
        <is>
          <t>INV-2608-0060</t>
        </is>
      </c>
      <c r="F68" s="10" t="n">
        <v>46248</v>
      </c>
      <c r="G68" s="10" t="n">
        <v>46308</v>
      </c>
      <c r="H68" s="11" t="n">
        <v>16514</v>
      </c>
      <c r="I68" s="11" t="n">
        <v>1859000</v>
      </c>
      <c r="J68" s="12" t="inlineStr">
        <is>
          <t>JPY</t>
        </is>
      </c>
      <c r="K68" s="9" t="n"/>
    </row>
    <row r="69" ht="19.5" customHeight="1">
      <c r="A69" s="9" t="inlineStr">
        <is>
          <t>영업1팀 C</t>
        </is>
      </c>
      <c r="B69" s="9" t="inlineStr">
        <is>
          <t>Tesvirel Keisoku K.K.</t>
        </is>
      </c>
      <c r="C69" s="9" t="inlineStr">
        <is>
          <t>Japan</t>
        </is>
      </c>
      <c r="D69" s="9" t="inlineStr">
        <is>
          <t>O/A 60일</t>
        </is>
      </c>
      <c r="E69" s="9" t="inlineStr">
        <is>
          <t>INV-2608-0081</t>
        </is>
      </c>
      <c r="F69" s="10" t="n">
        <v>46251</v>
      </c>
      <c r="G69" s="10" t="n">
        <v>46311</v>
      </c>
      <c r="H69" s="11" t="n">
        <v>5506</v>
      </c>
      <c r="I69" s="11" t="n">
        <v>621000</v>
      </c>
      <c r="J69" s="12" t="inlineStr">
        <is>
          <t>JPY</t>
        </is>
      </c>
      <c r="K69" s="9" t="n"/>
    </row>
    <row r="70" ht="19.5" customHeight="1">
      <c r="A70" s="9" t="inlineStr">
        <is>
          <t>영업1팀 C</t>
        </is>
      </c>
      <c r="B70" s="9" t="inlineStr">
        <is>
          <t>Tesvirel Keisoku K.K.</t>
        </is>
      </c>
      <c r="C70" s="9" t="inlineStr">
        <is>
          <t>Japan</t>
        </is>
      </c>
      <c r="D70" s="9" t="inlineStr">
        <is>
          <t>사후송금 60일</t>
        </is>
      </c>
      <c r="E70" s="9" t="inlineStr">
        <is>
          <t>INV-2609-0082</t>
        </is>
      </c>
      <c r="F70" s="10" t="n">
        <v>46280</v>
      </c>
      <c r="G70" s="10" t="n">
        <v>46340</v>
      </c>
      <c r="H70" s="11" t="n">
        <v>23583</v>
      </c>
      <c r="I70" s="11" t="n">
        <v>2686000</v>
      </c>
      <c r="J70" s="12" t="inlineStr">
        <is>
          <t>JPY</t>
        </is>
      </c>
      <c r="K70" s="9" t="n"/>
    </row>
    <row r="71" ht="19.5" customHeight="1">
      <c r="A71" s="9" t="inlineStr">
        <is>
          <t>영업1팀 C</t>
        </is>
      </c>
      <c r="B71" s="9" t="inlineStr">
        <is>
          <t>Tesvirel Keisoku K.K.</t>
        </is>
      </c>
      <c r="C71" s="9" t="inlineStr">
        <is>
          <t>Japan</t>
        </is>
      </c>
      <c r="D71" s="9" t="inlineStr">
        <is>
          <t>O/A 60</t>
        </is>
      </c>
      <c r="E71" s="9" t="inlineStr">
        <is>
          <t>INV-2609-0133</t>
        </is>
      </c>
      <c r="F71" s="10" t="n">
        <v>46290</v>
      </c>
      <c r="G71" s="12" t="inlineStr">
        <is>
          <t>11월 24일</t>
        </is>
      </c>
      <c r="H71" s="11" t="n">
        <v>11901</v>
      </c>
      <c r="I71" s="11" t="n">
        <v>1379000</v>
      </c>
      <c r="J71" s="12" t="inlineStr">
        <is>
          <t>JPY</t>
        </is>
      </c>
      <c r="K71" s="9" t="n"/>
    </row>
    <row r="72" ht="19.5" customHeight="1">
      <c r="A72" s="9" t="inlineStr">
        <is>
          <t>영업1팀 C</t>
        </is>
      </c>
      <c r="B72" s="9" t="inlineStr">
        <is>
          <t>Xanolin Distribution Co., Ltd.</t>
        </is>
      </c>
      <c r="C72" s="9" t="inlineStr">
        <is>
          <t>Vietnam</t>
        </is>
      </c>
      <c r="D72" s="9" t="inlineStr">
        <is>
          <t>OA 90 DAYS</t>
        </is>
      </c>
      <c r="E72" s="9" t="inlineStr">
        <is>
          <t>INV-2606-0085</t>
        </is>
      </c>
      <c r="F72" s="10" t="n">
        <v>46192</v>
      </c>
      <c r="G72" s="10" t="n">
        <v>46282</v>
      </c>
      <c r="H72" s="11" t="n">
        <v>32538</v>
      </c>
      <c r="I72" s="11" t="n">
        <v>21120</v>
      </c>
      <c r="J72" s="12" t="inlineStr">
        <is>
          <t>usd</t>
        </is>
      </c>
      <c r="K72" s="9" t="n"/>
    </row>
    <row r="73" ht="19.5" customHeight="1">
      <c r="A73" s="9" t="inlineStr">
        <is>
          <t>영업1팀 C</t>
        </is>
      </c>
      <c r="B73" s="9" t="inlineStr">
        <is>
          <t>Xanolin Distribution Co., Ltd.</t>
        </is>
      </c>
      <c r="C73" s="9" t="inlineStr">
        <is>
          <t>Vietnam</t>
        </is>
      </c>
      <c r="D73" s="9" t="inlineStr">
        <is>
          <t>사후송금 90일</t>
        </is>
      </c>
      <c r="E73" s="9" t="inlineStr">
        <is>
          <t>INV-2607-0014</t>
        </is>
      </c>
      <c r="F73" s="10" t="n">
        <v>46207</v>
      </c>
      <c r="G73" s="10" t="n">
        <v>46297</v>
      </c>
      <c r="H73" s="11" t="n">
        <v>35529</v>
      </c>
      <c r="I73" s="11" t="n">
        <v>23100</v>
      </c>
      <c r="J73" s="12" t="inlineStr">
        <is>
          <t>USD</t>
        </is>
      </c>
      <c r="K73" s="9" t="n"/>
    </row>
    <row r="74" ht="19.5" customHeight="1">
      <c r="A74" s="9" t="inlineStr">
        <is>
          <t>영업1팀 C</t>
        </is>
      </c>
      <c r="B74" s="9" t="inlineStr">
        <is>
          <t>Xanolin Distribution Co., Ltd.</t>
        </is>
      </c>
      <c r="C74" s="9" t="inlineStr">
        <is>
          <t>Vietnam</t>
        </is>
      </c>
      <c r="D74" s="9" t="inlineStr">
        <is>
          <t>O/A 90일</t>
        </is>
      </c>
      <c r="E74" s="9" t="inlineStr">
        <is>
          <t>INV-2607-0043</t>
        </is>
      </c>
      <c r="F74" s="10" t="n">
        <v>46212</v>
      </c>
      <c r="G74" s="10" t="n">
        <v>46302</v>
      </c>
      <c r="H74" s="11" t="n">
        <v>13775</v>
      </c>
      <c r="I74" s="11" t="n">
        <v>9130</v>
      </c>
      <c r="J74" s="12" t="inlineStr">
        <is>
          <t>USD</t>
        </is>
      </c>
      <c r="K74" s="9" t="n"/>
    </row>
    <row r="75" ht="19.5" customHeight="1">
      <c r="A75" s="9" t="inlineStr">
        <is>
          <t>영업1팀 C</t>
        </is>
      </c>
      <c r="B75" s="9" t="inlineStr">
        <is>
          <t>Xanolin Distribution Co., Ltd.</t>
        </is>
      </c>
      <c r="C75" s="9" t="inlineStr">
        <is>
          <t>Vietnam</t>
        </is>
      </c>
      <c r="D75" s="9" t="inlineStr">
        <is>
          <t>O/A 90</t>
        </is>
      </c>
      <c r="E75" s="9" t="inlineStr">
        <is>
          <t>INV-2607-0085</t>
        </is>
      </c>
      <c r="F75" s="10" t="n">
        <v>46219</v>
      </c>
      <c r="G75" s="10" t="n">
        <v>46309</v>
      </c>
      <c r="H75" s="11" t="n">
        <v>56246</v>
      </c>
      <c r="I75" s="11" t="n">
        <v>38050</v>
      </c>
      <c r="J75" s="12" t="inlineStr">
        <is>
          <t>USD</t>
        </is>
      </c>
      <c r="K75" s="9" t="n"/>
    </row>
    <row r="76" ht="19.5" customHeight="1">
      <c r="A76" s="9" t="inlineStr">
        <is>
          <t>영업1팀 C</t>
        </is>
      </c>
      <c r="B76" s="9" t="inlineStr">
        <is>
          <t>Xanolin Distribution Co., Ltd.</t>
        </is>
      </c>
      <c r="C76" s="9" t="inlineStr">
        <is>
          <t>Vietnam</t>
        </is>
      </c>
      <c r="D76" s="9" t="inlineStr">
        <is>
          <t>사후송금 90일</t>
        </is>
      </c>
      <c r="E76" s="9" t="inlineStr">
        <is>
          <t>INV-2607-0133</t>
        </is>
      </c>
      <c r="F76" s="10" t="n">
        <v>46225</v>
      </c>
      <c r="G76" s="10" t="n">
        <v>46315</v>
      </c>
      <c r="H76" s="11" t="n">
        <v>19432</v>
      </c>
      <c r="I76" s="11" t="n">
        <v>13160</v>
      </c>
      <c r="J76" s="12" t="inlineStr">
        <is>
          <t>USD</t>
        </is>
      </c>
      <c r="K76" s="9" t="n"/>
    </row>
    <row r="77" ht="19.5" customHeight="1">
      <c r="A77" s="9" t="inlineStr">
        <is>
          <t>영업1팀 C</t>
        </is>
      </c>
      <c r="B77" s="9" t="inlineStr">
        <is>
          <t>Xanolin Distribution Co., Ltd.</t>
        </is>
      </c>
      <c r="C77" s="9" t="inlineStr">
        <is>
          <t>Vietnam</t>
        </is>
      </c>
      <c r="D77" s="9" t="inlineStr">
        <is>
          <t>O/A 90</t>
        </is>
      </c>
      <c r="E77" s="9" t="inlineStr">
        <is>
          <t>INV-2608-0066</t>
        </is>
      </c>
      <c r="F77" s="10" t="n">
        <v>46249</v>
      </c>
      <c r="G77" s="10" t="n">
        <v>46339</v>
      </c>
      <c r="H77" s="11" t="n">
        <v>10961</v>
      </c>
      <c r="I77" s="11" t="n">
        <v>7750</v>
      </c>
      <c r="J77" s="12" t="inlineStr">
        <is>
          <t>USD</t>
        </is>
      </c>
      <c r="K77" s="9" t="inlineStr">
        <is>
          <t>8/28 약속했으나 미입금</t>
        </is>
      </c>
    </row>
    <row r="78" ht="19.5" customHeight="1">
      <c r="A78" s="9" t="inlineStr">
        <is>
          <t>영업1팀 C</t>
        </is>
      </c>
      <c r="B78" s="9" t="inlineStr">
        <is>
          <t>Xanolin Distribution Co., Ltd.</t>
        </is>
      </c>
      <c r="C78" s="9" t="inlineStr">
        <is>
          <t>Vietnam</t>
        </is>
      </c>
      <c r="D78" s="9" t="inlineStr">
        <is>
          <t>O/A 90</t>
        </is>
      </c>
      <c r="E78" s="9" t="inlineStr">
        <is>
          <t>INV-2609-0102</t>
        </is>
      </c>
      <c r="F78" s="10" t="n">
        <v>46285</v>
      </c>
      <c r="G78" s="10" t="n">
        <v>46375</v>
      </c>
      <c r="H78" s="11" t="n">
        <v>316582</v>
      </c>
      <c r="I78" s="11" t="n">
        <v>228090</v>
      </c>
      <c r="J78" s="12" t="inlineStr">
        <is>
          <t>USD</t>
        </is>
      </c>
      <c r="K78" s="9" t="n"/>
    </row>
    <row r="79" ht="19.5" customHeight="1">
      <c r="A79" s="9" t="inlineStr">
        <is>
          <t>영업1팀 C</t>
        </is>
      </c>
      <c r="B79" s="9" t="inlineStr">
        <is>
          <t>Xanolin Distribution Co., Ltd.</t>
        </is>
      </c>
      <c r="C79" s="9" t="inlineStr">
        <is>
          <t>Vietnam</t>
        </is>
      </c>
      <c r="D79" s="9" t="inlineStr">
        <is>
          <t>O/A 90일</t>
        </is>
      </c>
      <c r="E79" s="9" t="inlineStr">
        <is>
          <t>INV-2609-0150</t>
        </is>
      </c>
      <c r="F79" s="10" t="n">
        <v>46293</v>
      </c>
      <c r="G79" s="10" t="n">
        <v>46383</v>
      </c>
      <c r="H79" s="11" t="n">
        <v>9713</v>
      </c>
      <c r="I79" s="11" t="n">
        <v>7160</v>
      </c>
      <c r="J79" s="12" t="inlineStr">
        <is>
          <t>USD</t>
        </is>
      </c>
      <c r="K79" s="9" t="n"/>
    </row>
    <row r="80" ht="19.5" customHeight="1">
      <c r="A80" s="14" t="inlineStr">
        <is>
          <t>영업1팀 C 소계</t>
        </is>
      </c>
      <c r="B80" s="14" t="n"/>
      <c r="C80" s="14" t="n"/>
      <c r="D80" s="14" t="n"/>
      <c r="E80" s="14" t="n"/>
      <c r="F80" s="14" t="n"/>
      <c r="G80" s="14" t="n"/>
      <c r="H80" s="15">
        <f>SUM(H53:H79)</f>
        <v>751893</v>
      </c>
      <c r="I80" s="14" t="n"/>
      <c r="J80" s="14" t="n"/>
      <c r="K80" s="14" t="n"/>
    </row>
    <row r="81" ht="19.5" customHeight="1"/>
    <row r="82" ht="19.5" customHeight="1">
      <c r="A82" s="9" t="inlineStr">
        <is>
          <t>영업1팀 D</t>
        </is>
      </c>
      <c r="B82" s="9" t="inlineStr">
        <is>
          <t>Changzhou Bexum Environmental Services Co., Ltd.</t>
        </is>
      </c>
      <c r="C82" s="9" t="inlineStr">
        <is>
          <t>China</t>
        </is>
      </c>
      <c r="D82" s="9" t="inlineStr">
        <is>
          <t>OA 90 DAYS</t>
        </is>
      </c>
      <c r="E82" s="9" t="inlineStr">
        <is>
          <t>INV-2608-0133</t>
        </is>
      </c>
      <c r="F82" s="12" t="inlineStr">
        <is>
          <t>8월 27일</t>
        </is>
      </c>
      <c r="G82" s="12" t="inlineStr">
        <is>
          <t>11월 25일</t>
        </is>
      </c>
      <c r="H82" s="11" t="n">
        <v>31901</v>
      </c>
      <c r="I82" s="11" t="n">
        <v>155200</v>
      </c>
      <c r="J82" s="12" t="inlineStr">
        <is>
          <t>CNY</t>
        </is>
      </c>
      <c r="K82" s="9" t="inlineStr">
        <is>
          <t>선적 지연으로 결제 연기 요청</t>
        </is>
      </c>
    </row>
    <row r="83" ht="19.5" customHeight="1">
      <c r="A83" s="9" t="inlineStr">
        <is>
          <t>영업1팀 D</t>
        </is>
      </c>
      <c r="B83" s="9" t="inlineStr">
        <is>
          <t>Changzhou Bexum Environmental Services Co., Ltd.</t>
        </is>
      </c>
      <c r="C83" s="9" t="inlineStr">
        <is>
          <t>China</t>
        </is>
      </c>
      <c r="D83" s="9" t="inlineStr">
        <is>
          <t>O/A 90</t>
        </is>
      </c>
      <c r="E83" s="9" t="inlineStr">
        <is>
          <t>INV-2609-0144</t>
        </is>
      </c>
      <c r="F83" s="12" t="inlineStr">
        <is>
          <t>9월 27일</t>
        </is>
      </c>
      <c r="G83" s="12" t="inlineStr">
        <is>
          <t>12월 26일</t>
        </is>
      </c>
      <c r="H83" s="11" t="n">
        <v>2709</v>
      </c>
      <c r="I83" s="11" t="n">
        <v>13400</v>
      </c>
      <c r="J83" s="12" t="inlineStr">
        <is>
          <t>CNY</t>
        </is>
      </c>
      <c r="K83" s="9" t="n"/>
    </row>
    <row r="84" ht="19.5" customHeight="1">
      <c r="A84" s="9" t="inlineStr">
        <is>
          <t>영업1팀 D</t>
        </is>
      </c>
      <c r="B84" s="9" t="inlineStr">
        <is>
          <t>Changzhou Wenant Engineering Co., Ltd.</t>
        </is>
      </c>
      <c r="C84" s="9" t="inlineStr">
        <is>
          <t>China</t>
        </is>
      </c>
      <c r="D84" s="9" t="inlineStr">
        <is>
          <t>OA30days</t>
        </is>
      </c>
      <c r="E84" s="9" t="inlineStr">
        <is>
          <t>INV-2606-0003</t>
        </is>
      </c>
      <c r="F84" s="12" t="inlineStr">
        <is>
          <t>6월 2일</t>
        </is>
      </c>
      <c r="G84" s="12" t="inlineStr">
        <is>
          <t>7월 2일</t>
        </is>
      </c>
      <c r="H84" s="11" t="n">
        <v>13232</v>
      </c>
      <c r="I84" s="11" t="n">
        <v>8720</v>
      </c>
      <c r="J84" s="12" t="inlineStr">
        <is>
          <t>USD</t>
        </is>
      </c>
      <c r="K84" s="9" t="inlineStr">
        <is>
          <t>부도 — 법무팀 검토 중</t>
        </is>
      </c>
    </row>
    <row r="85" ht="19.5" customHeight="1">
      <c r="A85" s="9" t="inlineStr">
        <is>
          <t>영업1팀 D</t>
        </is>
      </c>
      <c r="B85" s="9" t="inlineStr">
        <is>
          <t>Changzhou Wenant Engineering Co., Ltd.</t>
        </is>
      </c>
      <c r="C85" s="9" t="inlineStr">
        <is>
          <t>China</t>
        </is>
      </c>
      <c r="D85" s="9" t="inlineStr">
        <is>
          <t>O/A 30</t>
        </is>
      </c>
      <c r="E85" s="9" t="inlineStr">
        <is>
          <t>INV-2607-0074</t>
        </is>
      </c>
      <c r="F85" s="12" t="inlineStr">
        <is>
          <t>7월 14일</t>
        </is>
      </c>
      <c r="G85" s="12" t="inlineStr">
        <is>
          <t>8월 13일</t>
        </is>
      </c>
      <c r="H85" s="11" t="n">
        <v>23561</v>
      </c>
      <c r="I85" s="11" t="n">
        <v>15810</v>
      </c>
      <c r="J85" s="12" t="inlineStr">
        <is>
          <t>USD</t>
        </is>
      </c>
      <c r="K85" s="9" t="inlineStr">
        <is>
          <t>부도 — 법무팀 검토 중</t>
        </is>
      </c>
    </row>
    <row r="86" ht="19.5" customHeight="1">
      <c r="A86" s="9" t="inlineStr">
        <is>
          <t>영업1팀 D</t>
        </is>
      </c>
      <c r="B86" s="9" t="inlineStr">
        <is>
          <t>Hefei Belum Machinery Co., Ltd.</t>
        </is>
      </c>
      <c r="C86" s="9" t="inlineStr">
        <is>
          <t>China</t>
        </is>
      </c>
      <c r="D86" s="9" t="inlineStr">
        <is>
          <t>O/A 90일</t>
        </is>
      </c>
      <c r="E86" s="9" t="inlineStr">
        <is>
          <t>INV-2607-0171</t>
        </is>
      </c>
      <c r="F86" s="12" t="inlineStr">
        <is>
          <t>7월 29일</t>
        </is>
      </c>
      <c r="G86" s="12" t="inlineStr">
        <is>
          <t>10월 27일</t>
        </is>
      </c>
      <c r="H86" s="11" t="n">
        <v>13263</v>
      </c>
      <c r="I86" s="11" t="n">
        <v>9170</v>
      </c>
      <c r="J86" s="12" t="inlineStr">
        <is>
          <t>USD</t>
        </is>
      </c>
      <c r="K86" s="9" t="inlineStr">
        <is>
          <t>B/L 사본 대기</t>
        </is>
      </c>
    </row>
    <row r="87" ht="19.5" customHeight="1">
      <c r="A87" s="9" t="inlineStr">
        <is>
          <t>영업1팀 D</t>
        </is>
      </c>
      <c r="B87" s="9" t="inlineStr">
        <is>
          <t>Hefei Belum Machinery Co., Ltd.</t>
        </is>
      </c>
      <c r="C87" s="9" t="inlineStr">
        <is>
          <t>China</t>
        </is>
      </c>
      <c r="D87" s="9" t="inlineStr">
        <is>
          <t>O/A 90</t>
        </is>
      </c>
      <c r="E87" s="9" t="inlineStr">
        <is>
          <t>INV-2609-0033</t>
        </is>
      </c>
      <c r="F87" s="12" t="inlineStr">
        <is>
          <t>9월 6일</t>
        </is>
      </c>
      <c r="G87" s="12" t="inlineStr">
        <is>
          <t>12월 5일</t>
        </is>
      </c>
      <c r="H87" s="11" t="n">
        <v>1212</v>
      </c>
      <c r="I87" s="11" t="n">
        <v>900</v>
      </c>
      <c r="J87" s="12" t="inlineStr">
        <is>
          <t>USD</t>
        </is>
      </c>
      <c r="K87" s="9" t="n"/>
    </row>
    <row r="88" ht="19.5" customHeight="1">
      <c r="A88" s="9" t="inlineStr">
        <is>
          <t>영업1팀 D</t>
        </is>
      </c>
      <c r="B88" s="9" t="inlineStr">
        <is>
          <t>Korora Manufacturing Co., Ltd.</t>
        </is>
      </c>
      <c r="C88" s="9" t="inlineStr">
        <is>
          <t>Vietnam</t>
        </is>
      </c>
      <c r="D88" s="9" t="inlineStr">
        <is>
          <t>O/A 90</t>
        </is>
      </c>
      <c r="E88" s="9" t="inlineStr">
        <is>
          <t>INV-2608-0046</t>
        </is>
      </c>
      <c r="F88" s="12" t="inlineStr">
        <is>
          <t>8월 10일</t>
        </is>
      </c>
      <c r="G88" s="12" t="inlineStr">
        <is>
          <t>11월 8일</t>
        </is>
      </c>
      <c r="H88" s="11" t="n">
        <v>13169</v>
      </c>
      <c r="I88" s="11" t="n">
        <v>9290</v>
      </c>
      <c r="J88" s="12" t="inlineStr">
        <is>
          <t>USD</t>
        </is>
      </c>
      <c r="K88" s="9" t="n"/>
    </row>
    <row r="89" ht="19.5" customHeight="1">
      <c r="A89" s="9" t="inlineStr">
        <is>
          <t>영업1팀 D</t>
        </is>
      </c>
      <c r="B89" s="9" t="inlineStr">
        <is>
          <t>Korora Manufacturing Co., Ltd.</t>
        </is>
      </c>
      <c r="C89" s="9" t="inlineStr">
        <is>
          <t>Viet Nam</t>
        </is>
      </c>
      <c r="D89" s="9" t="inlineStr">
        <is>
          <t>O/A 90</t>
        </is>
      </c>
      <c r="E89" s="9" t="inlineStr">
        <is>
          <t>INV-2608-0124</t>
        </is>
      </c>
      <c r="F89" s="12" t="inlineStr">
        <is>
          <t>8월 25일</t>
        </is>
      </c>
      <c r="G89" s="12" t="inlineStr">
        <is>
          <t>11월 23일</t>
        </is>
      </c>
      <c r="H89" s="11" t="n">
        <v>5175</v>
      </c>
      <c r="I89" s="11" t="n">
        <v>3740</v>
      </c>
      <c r="J89" s="12" t="inlineStr">
        <is>
          <t>USD</t>
        </is>
      </c>
      <c r="K89" s="9" t="n"/>
    </row>
    <row r="90" ht="19.5" customHeight="1">
      <c r="A90" s="9" t="inlineStr">
        <is>
          <t>영업1팀 D</t>
        </is>
      </c>
      <c r="B90" s="9" t="inlineStr">
        <is>
          <t>Loreth Environmental Services Ltd.</t>
        </is>
      </c>
      <c r="C90" s="9" t="inlineStr">
        <is>
          <t>India</t>
        </is>
      </c>
      <c r="D90" s="9" t="inlineStr">
        <is>
          <t>L/C 기한부 90일</t>
        </is>
      </c>
      <c r="E90" s="9" t="inlineStr">
        <is>
          <t>INV-2607-0089</t>
        </is>
      </c>
      <c r="F90" s="12" t="inlineStr">
        <is>
          <t>7월 17일</t>
        </is>
      </c>
      <c r="G90" s="12" t="inlineStr">
        <is>
          <t>10월 15일</t>
        </is>
      </c>
      <c r="H90" s="11" t="n">
        <v>22863</v>
      </c>
      <c r="I90" s="11" t="n">
        <v>15350</v>
      </c>
      <c r="J90" s="12" t="inlineStr">
        <is>
          <t>USD</t>
        </is>
      </c>
      <c r="K90" s="9" t="n"/>
    </row>
    <row r="91" ht="19.5" customHeight="1">
      <c r="A91" s="9" t="inlineStr">
        <is>
          <t>영업1팀 D</t>
        </is>
      </c>
      <c r="B91" s="9" t="inlineStr">
        <is>
          <t>Loreth Environmental Services Ltd.</t>
        </is>
      </c>
      <c r="C91" s="9" t="inlineStr">
        <is>
          <t>India</t>
        </is>
      </c>
      <c r="D91" s="9" t="inlineStr">
        <is>
          <t>L/C 기한부 90일</t>
        </is>
      </c>
      <c r="E91" s="9" t="inlineStr">
        <is>
          <t>INV-2608-0034</t>
        </is>
      </c>
      <c r="F91" s="12" t="inlineStr">
        <is>
          <t>8월 8일</t>
        </is>
      </c>
      <c r="G91" s="12" t="inlineStr">
        <is>
          <t>11월 6일</t>
        </is>
      </c>
      <c r="H91" s="11" t="n">
        <v>2735</v>
      </c>
      <c r="I91" s="11" t="n">
        <v>1940</v>
      </c>
      <c r="J91" s="12" t="inlineStr">
        <is>
          <t>USD</t>
        </is>
      </c>
      <c r="K91" s="9" t="n"/>
    </row>
    <row r="92" ht="19.5" customHeight="1">
      <c r="A92" s="9" t="inlineStr">
        <is>
          <t>영업1팀 D</t>
        </is>
      </c>
      <c r="B92" s="9" t="inlineStr">
        <is>
          <t>Loreth Environmental Services Ltd.</t>
        </is>
      </c>
      <c r="C92" s="9" t="inlineStr">
        <is>
          <t>India</t>
        </is>
      </c>
      <c r="D92" s="9" t="inlineStr">
        <is>
          <t>LC Usance 90</t>
        </is>
      </c>
      <c r="E92" s="9" t="inlineStr">
        <is>
          <t>INV-2608-0038</t>
        </is>
      </c>
      <c r="F92" s="12" t="inlineStr">
        <is>
          <t>8월 9일</t>
        </is>
      </c>
      <c r="G92" s="12" t="inlineStr">
        <is>
          <t>11월 7일</t>
        </is>
      </c>
      <c r="H92" s="11" t="n">
        <v>22954</v>
      </c>
      <c r="I92" s="11" t="n">
        <v>16280</v>
      </c>
      <c r="J92" s="12" t="inlineStr">
        <is>
          <t>USD</t>
        </is>
      </c>
      <c r="K92" s="9" t="n"/>
    </row>
    <row r="93" ht="19.5" customHeight="1">
      <c r="A93" s="9" t="inlineStr">
        <is>
          <t>영업1팀 D</t>
        </is>
      </c>
      <c r="B93" s="9" t="inlineStr">
        <is>
          <t>Loreth Environmental Services Ltd.</t>
        </is>
      </c>
      <c r="C93" s="9" t="inlineStr">
        <is>
          <t>India</t>
        </is>
      </c>
      <c r="D93" s="9" t="inlineStr">
        <is>
          <t>L/C 기한부 90일</t>
        </is>
      </c>
      <c r="E93" s="9" t="inlineStr">
        <is>
          <t>INV-2608-0131</t>
        </is>
      </c>
      <c r="F93" s="12" t="inlineStr">
        <is>
          <t>8월 27일</t>
        </is>
      </c>
      <c r="G93" s="12" t="inlineStr">
        <is>
          <t>11월 25일</t>
        </is>
      </c>
      <c r="H93" s="11" t="n">
        <v>4613</v>
      </c>
      <c r="I93" s="11" t="n">
        <v>3340</v>
      </c>
      <c r="J93" s="12" t="inlineStr">
        <is>
          <t>USD</t>
        </is>
      </c>
      <c r="K93" s="9" t="n"/>
    </row>
    <row r="94" ht="19.5" customHeight="1">
      <c r="A94" s="9" t="inlineStr">
        <is>
          <t>영업1팀 D</t>
        </is>
      </c>
      <c r="B94" s="9" t="inlineStr">
        <is>
          <t>Loreth Environmental Services Ltd.</t>
        </is>
      </c>
      <c r="C94" s="9" t="inlineStr">
        <is>
          <t>India</t>
        </is>
      </c>
      <c r="D94" s="9" t="inlineStr">
        <is>
          <t>L/C 기한부 90일</t>
        </is>
      </c>
      <c r="E94" s="9" t="inlineStr">
        <is>
          <t>INV-2608-0150</t>
        </is>
      </c>
      <c r="F94" s="12" t="inlineStr">
        <is>
          <t>8월 31일</t>
        </is>
      </c>
      <c r="G94" s="12" t="inlineStr">
        <is>
          <t>11월 29일</t>
        </is>
      </c>
      <c r="H94" s="11" t="n">
        <v>5979</v>
      </c>
      <c r="I94" s="11" t="n">
        <v>4370</v>
      </c>
      <c r="J94" s="12" t="inlineStr">
        <is>
          <t>USD</t>
        </is>
      </c>
      <c r="K94" s="9" t="n"/>
    </row>
    <row r="95" ht="19.5" customHeight="1">
      <c r="A95" s="9" t="inlineStr">
        <is>
          <t>영업1팀 D</t>
        </is>
      </c>
      <c r="B95" s="9" t="inlineStr">
        <is>
          <t>Loreth Environmental Services Ltd.</t>
        </is>
      </c>
      <c r="C95" s="9" t="inlineStr">
        <is>
          <t>India</t>
        </is>
      </c>
      <c r="D95" s="9" t="inlineStr">
        <is>
          <t>L/C 기한부 90일</t>
        </is>
      </c>
      <c r="E95" s="9" t="inlineStr">
        <is>
          <t>INV-2609-0117</t>
        </is>
      </c>
      <c r="F95" s="12" t="inlineStr">
        <is>
          <t>9월 22일</t>
        </is>
      </c>
      <c r="G95" s="12" t="inlineStr">
        <is>
          <t>12월 21일</t>
        </is>
      </c>
      <c r="H95" s="11" t="n">
        <v>10791</v>
      </c>
      <c r="I95" s="11" t="n">
        <v>7940</v>
      </c>
      <c r="J95" s="12" t="inlineStr">
        <is>
          <t>USD</t>
        </is>
      </c>
      <c r="K95" s="9" t="n"/>
    </row>
    <row r="96" ht="19.5" customHeight="1">
      <c r="A96" s="9" t="inlineStr">
        <is>
          <t>영업1팀 D</t>
        </is>
      </c>
      <c r="B96" s="9" t="inlineStr">
        <is>
          <t>Shenzhen Quinida Contracting Co., Ltd.</t>
        </is>
      </c>
      <c r="C96" s="9" t="inlineStr">
        <is>
          <t>China</t>
        </is>
      </c>
      <c r="D96" s="9" t="inlineStr">
        <is>
          <t>D/A 60</t>
        </is>
      </c>
      <c r="E96" s="9" t="inlineStr">
        <is>
          <t>INV-2609-0115</t>
        </is>
      </c>
      <c r="F96" s="12" t="inlineStr">
        <is>
          <t>9월 21일</t>
        </is>
      </c>
      <c r="G96" s="12" t="inlineStr">
        <is>
          <t>11월 20일</t>
        </is>
      </c>
      <c r="H96" s="11" t="n">
        <v>15998</v>
      </c>
      <c r="I96" s="11" t="n">
        <v>77900</v>
      </c>
      <c r="J96" s="12" t="inlineStr">
        <is>
          <t>CNY</t>
        </is>
      </c>
      <c r="K96" s="9" t="n"/>
    </row>
    <row r="97" ht="19.5" customHeight="1">
      <c r="A97" s="9" t="inlineStr">
        <is>
          <t>영업1팀 D</t>
        </is>
      </c>
      <c r="B97" s="9" t="inlineStr">
        <is>
          <t>Tevella Automation Co., Ltd.</t>
        </is>
      </c>
      <c r="C97" s="9" t="inlineStr">
        <is>
          <t>Viet Nam</t>
        </is>
      </c>
      <c r="D97" s="9" t="inlineStr">
        <is>
          <t>D/P 일람불</t>
        </is>
      </c>
      <c r="E97" s="9" t="inlineStr">
        <is>
          <t>INV-2609-0125</t>
        </is>
      </c>
      <c r="F97" s="12" t="inlineStr">
        <is>
          <t>9월 23일</t>
        </is>
      </c>
      <c r="G97" s="12" t="inlineStr">
        <is>
          <t>10월 8일</t>
        </is>
      </c>
      <c r="H97" s="13" t="inlineStr">
        <is>
          <t>5,646</t>
        </is>
      </c>
      <c r="I97" s="11" t="n">
        <v>4130</v>
      </c>
      <c r="J97" s="12" t="inlineStr">
        <is>
          <t>USD</t>
        </is>
      </c>
      <c r="K97" s="9" t="n"/>
    </row>
    <row r="98" ht="19.5" customHeight="1">
      <c r="A98" s="9" t="inlineStr">
        <is>
          <t>영업1팀 D</t>
        </is>
      </c>
      <c r="B98" s="9" t="inlineStr">
        <is>
          <t>Tevella Automation Co., Ltd.</t>
        </is>
      </c>
      <c r="C98" s="9" t="inlineStr">
        <is>
          <t>Vietnam</t>
        </is>
      </c>
      <c r="D98" s="9" t="inlineStr">
        <is>
          <t>D/P at sight</t>
        </is>
      </c>
      <c r="E98" s="9" t="inlineStr">
        <is>
          <t>INV-2609-0143</t>
        </is>
      </c>
      <c r="F98" s="12" t="inlineStr">
        <is>
          <t>9월 26일</t>
        </is>
      </c>
      <c r="G98" s="12" t="inlineStr">
        <is>
          <t>10월 6일</t>
        </is>
      </c>
      <c r="H98" s="11" t="n">
        <v>103108</v>
      </c>
      <c r="I98" s="11" t="n">
        <v>76010</v>
      </c>
      <c r="J98" s="12" t="inlineStr">
        <is>
          <t>USD</t>
        </is>
      </c>
      <c r="K98" s="9" t="inlineStr">
        <is>
          <t>B/L 사본 대기</t>
        </is>
      </c>
    </row>
    <row r="99" ht="19.5" customHeight="1">
      <c r="A99" s="9" t="inlineStr">
        <is>
          <t>영업1팀 D</t>
        </is>
      </c>
      <c r="B99" s="9" t="inlineStr">
        <is>
          <t>Yorura Outlets Corp.</t>
        </is>
      </c>
      <c r="C99" s="9" t="inlineStr">
        <is>
          <t>Taiwan</t>
        </is>
      </c>
      <c r="D99" s="9" t="inlineStr">
        <is>
          <t>선수금 30% + 잔금 70% (선적 후 30일)</t>
        </is>
      </c>
      <c r="E99" s="9" t="inlineStr">
        <is>
          <t>INV-2607-0179</t>
        </is>
      </c>
      <c r="F99" s="12" t="inlineStr">
        <is>
          <t>7월 30일</t>
        </is>
      </c>
      <c r="G99" s="12" t="inlineStr">
        <is>
          <t>8월 29일</t>
        </is>
      </c>
      <c r="H99" s="11" t="n">
        <v>71288</v>
      </c>
      <c r="I99" s="11" t="n">
        <v>50060</v>
      </c>
      <c r="J99" s="12" t="inlineStr">
        <is>
          <t>USD</t>
        </is>
      </c>
      <c r="K99" s="9" t="n"/>
    </row>
    <row r="100" ht="19.5" customHeight="1">
      <c r="A100" s="9" t="inlineStr">
        <is>
          <t>영업1팀 D</t>
        </is>
      </c>
      <c r="B100" s="9" t="inlineStr">
        <is>
          <t>Yorura Outlets Corp.</t>
        </is>
      </c>
      <c r="C100" s="9" t="inlineStr">
        <is>
          <t>Taiwan</t>
        </is>
      </c>
      <c r="D100" s="9" t="inlineStr">
        <is>
          <t>TT 30/70</t>
        </is>
      </c>
      <c r="E100" s="9" t="inlineStr">
        <is>
          <t>INV-2608-0011</t>
        </is>
      </c>
      <c r="F100" s="12" t="inlineStr">
        <is>
          <t>8월 2일</t>
        </is>
      </c>
      <c r="G100" s="12" t="inlineStr">
        <is>
          <t>9월 1일</t>
        </is>
      </c>
      <c r="H100" s="11" t="n">
        <v>12385</v>
      </c>
      <c r="I100" s="11" t="n">
        <v>8620</v>
      </c>
      <c r="J100" s="12" t="inlineStr">
        <is>
          <t>USD</t>
        </is>
      </c>
      <c r="K100" s="9" t="n"/>
    </row>
    <row r="101" ht="19.5" customHeight="1">
      <c r="A101" s="9" t="inlineStr">
        <is>
          <t>영업1팀 D</t>
        </is>
      </c>
      <c r="B101" s="9" t="inlineStr">
        <is>
          <t>Yorura Outlets Corp.</t>
        </is>
      </c>
      <c r="C101" s="9" t="inlineStr">
        <is>
          <t>Taiwan</t>
        </is>
      </c>
      <c r="D101" s="9" t="inlineStr">
        <is>
          <t>T/T 30% 선수 70% 선적후</t>
        </is>
      </c>
      <c r="E101" s="9" t="inlineStr">
        <is>
          <t>INV-2608-0036</t>
        </is>
      </c>
      <c r="F101" s="12" t="inlineStr">
        <is>
          <t>8월 8일</t>
        </is>
      </c>
      <c r="G101" s="12" t="inlineStr">
        <is>
          <t>9월 7일</t>
        </is>
      </c>
      <c r="H101" s="11" t="n">
        <v>6246</v>
      </c>
      <c r="I101" s="11" t="n">
        <v>4430</v>
      </c>
      <c r="J101" s="12" t="inlineStr">
        <is>
          <t>USD</t>
        </is>
      </c>
      <c r="K101" s="9" t="n"/>
    </row>
    <row r="102" ht="19.5" customHeight="1">
      <c r="A102" s="9" t="inlineStr">
        <is>
          <t>영업1팀 D</t>
        </is>
      </c>
      <c r="B102" s="9" t="inlineStr">
        <is>
          <t>Yorura Outlets Corp.</t>
        </is>
      </c>
      <c r="C102" s="9" t="inlineStr">
        <is>
          <t>Taiwan</t>
        </is>
      </c>
      <c r="D102" s="9" t="inlineStr">
        <is>
          <t>TT 30/70</t>
        </is>
      </c>
      <c r="E102" s="9" t="inlineStr">
        <is>
          <t>INV-2608-0039</t>
        </is>
      </c>
      <c r="F102" s="12" t="inlineStr">
        <is>
          <t>8월 9일</t>
        </is>
      </c>
      <c r="G102" s="10" t="n">
        <v>46273</v>
      </c>
      <c r="H102" s="11" t="n">
        <v>8319</v>
      </c>
      <c r="I102" s="11" t="n">
        <v>5900</v>
      </c>
      <c r="J102" s="12" t="inlineStr">
        <is>
          <t>USD</t>
        </is>
      </c>
      <c r="K102" s="9" t="n"/>
    </row>
    <row r="103" ht="19.5" customHeight="1">
      <c r="A103" s="9" t="inlineStr">
        <is>
          <t>영업1팀 D</t>
        </is>
      </c>
      <c r="B103" s="9" t="inlineStr">
        <is>
          <t>Yorura Outlets Corp.</t>
        </is>
      </c>
      <c r="C103" s="9" t="inlineStr">
        <is>
          <t>Taiwan</t>
        </is>
      </c>
      <c r="D103" s="9" t="inlineStr">
        <is>
          <t>T/T 30% 선수 70% 선적후</t>
        </is>
      </c>
      <c r="E103" s="9" t="inlineStr">
        <is>
          <t>INV-2608-0073</t>
        </is>
      </c>
      <c r="F103" s="12" t="inlineStr">
        <is>
          <t>8월 16일</t>
        </is>
      </c>
      <c r="G103" s="12" t="inlineStr">
        <is>
          <t>9월 15일</t>
        </is>
      </c>
      <c r="H103" s="11" t="n">
        <v>9660</v>
      </c>
      <c r="I103" s="11" t="n">
        <v>6830</v>
      </c>
      <c r="J103" s="12" t="inlineStr">
        <is>
          <t>USD</t>
        </is>
      </c>
      <c r="K103" s="9" t="n"/>
    </row>
    <row r="104" ht="19.5" customHeight="1">
      <c r="A104" s="9" t="inlineStr">
        <is>
          <t>영업1팀 D</t>
        </is>
      </c>
      <c r="B104" s="9" t="inlineStr">
        <is>
          <t>Yorura Outlets Corp.</t>
        </is>
      </c>
      <c r="C104" s="9" t="inlineStr">
        <is>
          <t>Taiwan</t>
        </is>
      </c>
      <c r="D104" s="9" t="inlineStr">
        <is>
          <t>T/T 30% 선수 70% 선적후</t>
        </is>
      </c>
      <c r="E104" s="9" t="inlineStr">
        <is>
          <t>INV-2608-0082</t>
        </is>
      </c>
      <c r="F104" s="12" t="inlineStr">
        <is>
          <t>8월 17일</t>
        </is>
      </c>
      <c r="G104" s="12" t="inlineStr">
        <is>
          <t>9월 16일</t>
        </is>
      </c>
      <c r="H104" s="11" t="n">
        <v>14213</v>
      </c>
      <c r="I104" s="11" t="n">
        <v>10060</v>
      </c>
      <c r="J104" s="12" t="inlineStr">
        <is>
          <t>USD</t>
        </is>
      </c>
      <c r="K104" s="9" t="n"/>
    </row>
    <row r="105" ht="19.5" customHeight="1">
      <c r="A105" s="9" t="inlineStr">
        <is>
          <t>영업1팀 D</t>
        </is>
      </c>
      <c r="B105" s="9" t="inlineStr">
        <is>
          <t>Yorura Outlets Corp.</t>
        </is>
      </c>
      <c r="C105" s="9" t="inlineStr">
        <is>
          <t>Taiwan</t>
        </is>
      </c>
      <c r="D105" s="9" t="inlineStr">
        <is>
          <t>TT 30/70</t>
        </is>
      </c>
      <c r="E105" s="9" t="inlineStr">
        <is>
          <t>INV-2608-0083</t>
        </is>
      </c>
      <c r="F105" s="12" t="inlineStr">
        <is>
          <t>8월 17일</t>
        </is>
      </c>
      <c r="G105" s="12" t="inlineStr">
        <is>
          <t>9월 16일</t>
        </is>
      </c>
      <c r="H105" s="11" t="n">
        <v>7064</v>
      </c>
      <c r="I105" s="11" t="n">
        <v>5000</v>
      </c>
      <c r="J105" s="12" t="inlineStr">
        <is>
          <t>USD</t>
        </is>
      </c>
      <c r="K105" s="9" t="n"/>
    </row>
    <row r="106" ht="19.5" customHeight="1">
      <c r="A106" s="9" t="inlineStr">
        <is>
          <t>영업1팀 D</t>
        </is>
      </c>
      <c r="B106" s="9" t="inlineStr">
        <is>
          <t>Yorura Outlets Corp.</t>
        </is>
      </c>
      <c r="C106" s="9" t="inlineStr">
        <is>
          <t>Taiwan</t>
        </is>
      </c>
      <c r="D106" s="9" t="inlineStr">
        <is>
          <t>OA 30 DAYS</t>
        </is>
      </c>
      <c r="E106" s="9" t="inlineStr">
        <is>
          <t>INV-2608-0096</t>
        </is>
      </c>
      <c r="F106" s="12" t="inlineStr">
        <is>
          <t>8월 20일</t>
        </is>
      </c>
      <c r="G106" s="12" t="inlineStr">
        <is>
          <t>9월 19일</t>
        </is>
      </c>
      <c r="H106" s="11" t="n">
        <v>3428</v>
      </c>
      <c r="I106" s="11" t="n">
        <v>2460</v>
      </c>
      <c r="J106" s="12" t="inlineStr">
        <is>
          <t>USD</t>
        </is>
      </c>
      <c r="K106" s="9" t="n"/>
    </row>
    <row r="107" ht="19.5" customHeight="1">
      <c r="A107" s="9" t="inlineStr">
        <is>
          <t>영업1팀 D</t>
        </is>
      </c>
      <c r="B107" s="9" t="inlineStr">
        <is>
          <t>Yorura Outlets Corp.</t>
        </is>
      </c>
      <c r="C107" s="9" t="inlineStr">
        <is>
          <t>Taiwan</t>
        </is>
      </c>
      <c r="D107" s="9" t="inlineStr">
        <is>
          <t>선수금 30% + 잔금 70% (선적 후 30일)</t>
        </is>
      </c>
      <c r="E107" s="9" t="inlineStr">
        <is>
          <t>INV-2609-0004</t>
        </is>
      </c>
      <c r="F107" s="12" t="inlineStr">
        <is>
          <t>9월 1일</t>
        </is>
      </c>
      <c r="G107" s="12" t="inlineStr">
        <is>
          <t>10월 1일</t>
        </is>
      </c>
      <c r="H107" s="11" t="n">
        <v>10343</v>
      </c>
      <c r="I107" s="11" t="n">
        <v>7540</v>
      </c>
      <c r="J107" s="12" t="inlineStr">
        <is>
          <t>USD</t>
        </is>
      </c>
      <c r="K107" s="9" t="n"/>
    </row>
    <row r="108" ht="19.5" customHeight="1">
      <c r="A108" s="9" t="inlineStr">
        <is>
          <t>영업1팀 D</t>
        </is>
      </c>
      <c r="B108" s="9" t="inlineStr">
        <is>
          <t>Yorura Outlets Corp.</t>
        </is>
      </c>
      <c r="C108" s="9" t="inlineStr">
        <is>
          <t>Taiwan</t>
        </is>
      </c>
      <c r="D108" s="9" t="inlineStr">
        <is>
          <t>TT 30/70</t>
        </is>
      </c>
      <c r="E108" s="9" t="inlineStr">
        <is>
          <t>INV-2609-0087</t>
        </is>
      </c>
      <c r="F108" s="12" t="inlineStr">
        <is>
          <t>9월 16일</t>
        </is>
      </c>
      <c r="G108" s="12" t="inlineStr">
        <is>
          <t>10월 16일</t>
        </is>
      </c>
      <c r="H108" s="11" t="n">
        <v>8370</v>
      </c>
      <c r="I108" s="11" t="n">
        <v>6120</v>
      </c>
      <c r="J108" s="12" t="inlineStr">
        <is>
          <t>USD</t>
        </is>
      </c>
      <c r="K108" s="9" t="n"/>
    </row>
    <row r="109" ht="19.5" customHeight="1">
      <c r="A109" s="9" t="inlineStr">
        <is>
          <t>영업1팀 D</t>
        </is>
      </c>
      <c r="B109" s="9" t="inlineStr">
        <is>
          <t>Yorura Outlets Corp.</t>
        </is>
      </c>
      <c r="C109" s="9" t="inlineStr">
        <is>
          <t>Taiwan</t>
        </is>
      </c>
      <c r="D109" s="9" t="inlineStr">
        <is>
          <t>T/T 30% 선수 70% 선적후</t>
        </is>
      </c>
      <c r="E109" s="9" t="inlineStr">
        <is>
          <t>INV-2609-0088</t>
        </is>
      </c>
      <c r="F109" s="12" t="inlineStr">
        <is>
          <t>9월 16일</t>
        </is>
      </c>
      <c r="G109" s="12" t="inlineStr">
        <is>
          <t>10월 16일</t>
        </is>
      </c>
      <c r="H109" s="11" t="n">
        <v>62242</v>
      </c>
      <c r="I109" s="11" t="n">
        <v>45510</v>
      </c>
      <c r="J109" s="12" t="inlineStr">
        <is>
          <t>USD</t>
        </is>
      </c>
      <c r="K109" s="9" t="n"/>
    </row>
    <row r="110" ht="19.5" customHeight="1">
      <c r="A110" s="9" t="inlineStr">
        <is>
          <t>영업1팀 D</t>
        </is>
      </c>
      <c r="B110" s="9" t="inlineStr">
        <is>
          <t>Yorura Outlets Corp.</t>
        </is>
      </c>
      <c r="C110" s="9" t="inlineStr">
        <is>
          <t>Taiwan</t>
        </is>
      </c>
      <c r="D110" s="9" t="inlineStr">
        <is>
          <t>T/T 30% 선수 70% 선적후</t>
        </is>
      </c>
      <c r="E110" s="9" t="inlineStr">
        <is>
          <t>INV-2609-0089</t>
        </is>
      </c>
      <c r="F110" s="12" t="inlineStr">
        <is>
          <t>9월 16일</t>
        </is>
      </c>
      <c r="G110" s="12" t="inlineStr">
        <is>
          <t>10월 16일</t>
        </is>
      </c>
      <c r="H110" s="11" t="n">
        <v>42589</v>
      </c>
      <c r="I110" s="11" t="n">
        <v>31140</v>
      </c>
      <c r="J110" s="12" t="inlineStr">
        <is>
          <t>USD</t>
        </is>
      </c>
      <c r="K110" s="9" t="n"/>
    </row>
    <row r="111" ht="19.5" customHeight="1">
      <c r="A111" s="14" t="inlineStr">
        <is>
          <t>영업1팀 D 소계</t>
        </is>
      </c>
      <c r="B111" s="14" t="n"/>
      <c r="C111" s="14" t="n"/>
      <c r="D111" s="14" t="n"/>
      <c r="E111" s="14" t="n"/>
      <c r="F111" s="14" t="n"/>
      <c r="G111" s="14" t="n"/>
      <c r="H111" s="15">
        <f>SUM(H82:H110)</f>
        <v>549410</v>
      </c>
      <c r="I111" s="14" t="n"/>
      <c r="J111" s="14" t="n"/>
      <c r="K111" s="14" t="n"/>
    </row>
    <row r="112" ht="19.5" customHeight="1"/>
    <row r="113" ht="19.5" customHeight="1">
      <c r="A113" s="9" t="inlineStr">
        <is>
          <t>영업1팀 E</t>
        </is>
      </c>
      <c r="B113" s="9" t="inlineStr">
        <is>
          <t>Belion Automation (Thailand) Co., Ltd.</t>
        </is>
      </c>
      <c r="C113" s="9" t="inlineStr">
        <is>
          <t>Thailand</t>
        </is>
      </c>
      <c r="D113" s="9" t="inlineStr">
        <is>
          <t>O/A 60일</t>
        </is>
      </c>
      <c r="E113" s="9" t="inlineStr">
        <is>
          <t>INV-2608-0005</t>
        </is>
      </c>
      <c r="F113" s="10" t="n">
        <v>46235</v>
      </c>
      <c r="G113" s="10" t="n">
        <v>46295</v>
      </c>
      <c r="H113" s="11" t="n">
        <v>81927</v>
      </c>
      <c r="I113" s="11" t="n">
        <v>57020</v>
      </c>
      <c r="J113" s="12" t="inlineStr">
        <is>
          <t>USD</t>
        </is>
      </c>
      <c r="K113" s="9" t="n"/>
    </row>
    <row r="114" ht="19.5" customHeight="1">
      <c r="A114" s="9" t="inlineStr">
        <is>
          <t>영업1팀 E</t>
        </is>
      </c>
      <c r="B114" s="9" t="inlineStr">
        <is>
          <t>Belion Automation (Thailand) Co., Ltd.</t>
        </is>
      </c>
      <c r="C114" s="9" t="inlineStr">
        <is>
          <t>Thailand</t>
        </is>
      </c>
      <c r="D114" s="9" t="inlineStr">
        <is>
          <t>사후송금 60일</t>
        </is>
      </c>
      <c r="E114" s="9" t="inlineStr">
        <is>
          <t>INV-2608-0099</t>
        </is>
      </c>
      <c r="F114" s="10" t="n">
        <v>46255</v>
      </c>
      <c r="G114" s="10" t="n">
        <v>46315</v>
      </c>
      <c r="H114" s="11" t="n">
        <v>21800</v>
      </c>
      <c r="I114" s="11" t="n">
        <v>15740</v>
      </c>
      <c r="J114" s="12" t="inlineStr">
        <is>
          <t>USD</t>
        </is>
      </c>
      <c r="K114" s="9" t="n"/>
    </row>
    <row r="115" ht="19.5" customHeight="1">
      <c r="A115" s="9" t="inlineStr">
        <is>
          <t>영업1팀 E</t>
        </is>
      </c>
      <c r="B115" s="9" t="inlineStr">
        <is>
          <t>Belion Automation (Thailand) Co., Ltd.</t>
        </is>
      </c>
      <c r="C115" s="9" t="inlineStr">
        <is>
          <t>Thailand</t>
        </is>
      </c>
      <c r="D115" s="9" t="inlineStr">
        <is>
          <t>O/A 60일</t>
        </is>
      </c>
      <c r="E115" s="9" t="inlineStr">
        <is>
          <t>INV-2608-0107</t>
        </is>
      </c>
      <c r="F115" s="10" t="n">
        <v>46256</v>
      </c>
      <c r="G115" s="10" t="n">
        <v>46316</v>
      </c>
      <c r="H115" s="11" t="n">
        <v>21371</v>
      </c>
      <c r="I115" s="11" t="n">
        <v>15430</v>
      </c>
      <c r="J115" s="12" t="inlineStr">
        <is>
          <t>USD</t>
        </is>
      </c>
      <c r="K115" s="9" t="n"/>
    </row>
    <row r="116" ht="19.5" customHeight="1">
      <c r="A116" s="9" t="inlineStr">
        <is>
          <t>영업1팀 E</t>
        </is>
      </c>
      <c r="B116" s="9" t="inlineStr">
        <is>
          <t>Belion Automation (Thailand) Co., Ltd.</t>
        </is>
      </c>
      <c r="C116" s="9" t="inlineStr">
        <is>
          <t>Thailand</t>
        </is>
      </c>
      <c r="D116" s="9" t="inlineStr">
        <is>
          <t>O/A 60일</t>
        </is>
      </c>
      <c r="E116" s="9" t="inlineStr">
        <is>
          <t>INV-2608-0142</t>
        </is>
      </c>
      <c r="F116" s="10" t="n">
        <v>46263</v>
      </c>
      <c r="G116" s="10" t="n">
        <v>46323</v>
      </c>
      <c r="H116" s="11" t="n">
        <v>3255</v>
      </c>
      <c r="I116" s="11" t="n">
        <v>2360</v>
      </c>
      <c r="J116" s="12" t="inlineStr">
        <is>
          <t>USD</t>
        </is>
      </c>
      <c r="K116" s="9" t="n"/>
    </row>
    <row r="117" ht="19.5" customHeight="1">
      <c r="A117" s="9" t="inlineStr">
        <is>
          <t>영업1팀 E</t>
        </is>
      </c>
      <c r="B117" s="9" t="inlineStr">
        <is>
          <t>Belion Automation (Thailand) Co., Ltd.</t>
        </is>
      </c>
      <c r="C117" s="9" t="inlineStr">
        <is>
          <t>Thailand</t>
        </is>
      </c>
      <c r="D117" s="9" t="inlineStr">
        <is>
          <t>OA60days</t>
        </is>
      </c>
      <c r="E117" s="9" t="inlineStr">
        <is>
          <t>INV-2609-0017</t>
        </is>
      </c>
      <c r="F117" s="10" t="n">
        <v>46268</v>
      </c>
      <c r="G117" s="10" t="n">
        <v>46328</v>
      </c>
      <c r="H117" s="11" t="n">
        <v>19783</v>
      </c>
      <c r="I117" s="11" t="n">
        <v>14580</v>
      </c>
      <c r="J117" s="12" t="inlineStr">
        <is>
          <t>USD</t>
        </is>
      </c>
      <c r="K117" s="9" t="n"/>
    </row>
    <row r="118" ht="19.5" customHeight="1">
      <c r="A118" s="9" t="inlineStr">
        <is>
          <t>영업1팀 E</t>
        </is>
      </c>
      <c r="B118" s="9" t="inlineStr">
        <is>
          <t>Belion Automation (Thailand) Co., Ltd.</t>
        </is>
      </c>
      <c r="C118" s="9" t="inlineStr">
        <is>
          <t>Thailand</t>
        </is>
      </c>
      <c r="D118" s="9" t="inlineStr">
        <is>
          <t>O/A 60일</t>
        </is>
      </c>
      <c r="E118" s="9" t="inlineStr">
        <is>
          <t>INV-2609-0034</t>
        </is>
      </c>
      <c r="F118" s="10" t="n">
        <v>46271</v>
      </c>
      <c r="G118" s="10" t="n">
        <v>46331</v>
      </c>
      <c r="H118" s="11" t="n">
        <v>20171</v>
      </c>
      <c r="I118" s="11" t="n">
        <v>14980</v>
      </c>
      <c r="J118" s="12" t="inlineStr">
        <is>
          <t>USD</t>
        </is>
      </c>
      <c r="K118" s="9" t="n"/>
    </row>
    <row r="119" ht="19.5" customHeight="1">
      <c r="A119" s="9" t="inlineStr">
        <is>
          <t>영업1팀 E</t>
        </is>
      </c>
      <c r="B119" s="9" t="inlineStr">
        <is>
          <t>Changzhou Briasta Distribution Co., Ltd.</t>
        </is>
      </c>
      <c r="C119" s="9" t="inlineStr">
        <is>
          <t>China</t>
        </is>
      </c>
      <c r="D119" s="9" t="inlineStr">
        <is>
          <t>OA 90 DAYS</t>
        </is>
      </c>
      <c r="E119" s="9" t="inlineStr">
        <is>
          <t>INV-2609-0052</t>
        </is>
      </c>
      <c r="F119" s="10" t="n">
        <v>46274</v>
      </c>
      <c r="G119" s="10" t="n">
        <v>46364</v>
      </c>
      <c r="H119" s="11" t="n">
        <v>6458</v>
      </c>
      <c r="I119" s="11" t="n">
        <v>4820</v>
      </c>
      <c r="J119" s="12" t="inlineStr">
        <is>
          <t>USD</t>
        </is>
      </c>
      <c r="K119" s="9" t="n"/>
    </row>
    <row r="120" ht="19.5" customHeight="1">
      <c r="A120" s="9" t="inlineStr">
        <is>
          <t>영업1팀 E</t>
        </is>
      </c>
      <c r="B120" s="9" t="inlineStr">
        <is>
          <t>Changzhou Briasta Distribution Co., Ltd.</t>
        </is>
      </c>
      <c r="C120" s="9" t="inlineStr">
        <is>
          <t>China</t>
        </is>
      </c>
      <c r="D120" s="9" t="inlineStr">
        <is>
          <t>T/T 30% 선수 70% 선적후</t>
        </is>
      </c>
      <c r="E120" s="9" t="inlineStr">
        <is>
          <t>INV-2609-0127</t>
        </is>
      </c>
      <c r="F120" s="10" t="n">
        <v>46288</v>
      </c>
      <c r="G120" s="12" t="inlineStr">
        <is>
          <t>10월 23일</t>
        </is>
      </c>
      <c r="H120" s="11" t="n">
        <v>12002</v>
      </c>
      <c r="I120" s="11" t="n">
        <v>8780</v>
      </c>
      <c r="J120" s="12" t="inlineStr">
        <is>
          <t>USD</t>
        </is>
      </c>
      <c r="K120" s="9" t="n"/>
    </row>
    <row r="121" ht="19.5" customHeight="1">
      <c r="A121" s="9" t="inlineStr">
        <is>
          <t>영업1팀 E</t>
        </is>
      </c>
      <c r="B121" s="9" t="inlineStr">
        <is>
          <t>Goraro Engineering Pvt. Ltd.</t>
        </is>
      </c>
      <c r="C121" s="9" t="inlineStr">
        <is>
          <t>India</t>
        </is>
      </c>
      <c r="D121" s="9" t="inlineStr">
        <is>
          <t>DA60days</t>
        </is>
      </c>
      <c r="E121" s="9" t="inlineStr">
        <is>
          <t>INV-2608-0125</t>
        </is>
      </c>
      <c r="F121" s="10" t="n">
        <v>46259</v>
      </c>
      <c r="G121" s="10" t="n">
        <v>46319</v>
      </c>
      <c r="H121" s="11" t="n">
        <v>24449</v>
      </c>
      <c r="I121" s="11" t="n">
        <v>17670</v>
      </c>
      <c r="J121" s="12" t="inlineStr">
        <is>
          <t>USD</t>
        </is>
      </c>
      <c r="K121" s="9" t="n"/>
    </row>
    <row r="122" ht="19.5" customHeight="1">
      <c r="A122" s="9" t="inlineStr">
        <is>
          <t>영업1팀 E</t>
        </is>
      </c>
      <c r="B122" s="9" t="inlineStr">
        <is>
          <t>Goraro Engineering Pvt. Ltd.</t>
        </is>
      </c>
      <c r="C122" s="9" t="inlineStr">
        <is>
          <t>India</t>
        </is>
      </c>
      <c r="D122" s="9" t="inlineStr">
        <is>
          <t>D/A 60일</t>
        </is>
      </c>
      <c r="E122" s="9" t="inlineStr">
        <is>
          <t>INV-2609-0019</t>
        </is>
      </c>
      <c r="F122" s="10" t="n">
        <v>46268</v>
      </c>
      <c r="G122" s="10" t="n">
        <v>46328</v>
      </c>
      <c r="H122" s="11" t="n">
        <v>2551</v>
      </c>
      <c r="I122" s="11" t="n">
        <v>1880</v>
      </c>
      <c r="J122" s="12" t="inlineStr">
        <is>
          <t>USD</t>
        </is>
      </c>
      <c r="K122" s="9" t="n"/>
    </row>
    <row r="123" ht="19.5" customHeight="1">
      <c r="A123" s="9" t="inlineStr">
        <is>
          <t>영업1팀 E</t>
        </is>
      </c>
      <c r="B123" s="9" t="inlineStr">
        <is>
          <t>Goraro Engineering Pvt. Ltd.</t>
        </is>
      </c>
      <c r="C123" s="9" t="inlineStr">
        <is>
          <t>India</t>
        </is>
      </c>
      <c r="D123" s="9" t="inlineStr">
        <is>
          <t>D/A 60</t>
        </is>
      </c>
      <c r="E123" s="9" t="inlineStr">
        <is>
          <t>INV-2609-0026</t>
        </is>
      </c>
      <c r="F123" s="10" t="n">
        <v>46269</v>
      </c>
      <c r="G123" s="10" t="n">
        <v>46329</v>
      </c>
      <c r="H123" s="11" t="n">
        <v>3811</v>
      </c>
      <c r="I123" s="11" t="n">
        <v>2830</v>
      </c>
      <c r="J123" s="12" t="inlineStr">
        <is>
          <t>USD</t>
        </is>
      </c>
      <c r="K123" s="9" t="n"/>
    </row>
    <row r="124" ht="19.5" customHeight="1">
      <c r="A124" s="9" t="inlineStr">
        <is>
          <t>영업1팀 E</t>
        </is>
      </c>
      <c r="B124" s="9" t="inlineStr">
        <is>
          <t>Goraro Engineering Pvt. Ltd.</t>
        </is>
      </c>
      <c r="C124" s="9" t="inlineStr">
        <is>
          <t>India</t>
        </is>
      </c>
      <c r="D124" s="9" t="inlineStr">
        <is>
          <t>D/A at 60 days</t>
        </is>
      </c>
      <c r="E124" s="9" t="inlineStr">
        <is>
          <t>INV-2609-0051</t>
        </is>
      </c>
      <c r="F124" s="10" t="n">
        <v>46274</v>
      </c>
      <c r="G124" s="10" t="n">
        <v>46334</v>
      </c>
      <c r="H124" s="11" t="n">
        <v>12742</v>
      </c>
      <c r="I124" s="11" t="n">
        <v>9510</v>
      </c>
      <c r="J124" s="12" t="inlineStr">
        <is>
          <t>USD</t>
        </is>
      </c>
      <c r="K124" s="9" t="n"/>
    </row>
    <row r="125" ht="19.5" customHeight="1">
      <c r="A125" s="9" t="inlineStr">
        <is>
          <t>영업1팀 E</t>
        </is>
      </c>
      <c r="B125" s="9" t="inlineStr">
        <is>
          <t>Goraro Engineering Pvt. Ltd.</t>
        </is>
      </c>
      <c r="C125" s="9" t="inlineStr">
        <is>
          <t>India</t>
        </is>
      </c>
      <c r="D125" s="9" t="inlineStr">
        <is>
          <t>D/A at 60 days</t>
        </is>
      </c>
      <c r="E125" s="9" t="inlineStr">
        <is>
          <t>INV-2609-0074</t>
        </is>
      </c>
      <c r="F125" s="10" t="n">
        <v>46278</v>
      </c>
      <c r="G125" s="10" t="n">
        <v>46338</v>
      </c>
      <c r="H125" s="11" t="n">
        <v>25345</v>
      </c>
      <c r="I125" s="11" t="n">
        <v>18910</v>
      </c>
      <c r="J125" s="12" t="inlineStr">
        <is>
          <t>USD</t>
        </is>
      </c>
      <c r="K125" s="9" t="n"/>
    </row>
    <row r="126" ht="19.5" customHeight="1">
      <c r="A126" s="9" t="inlineStr">
        <is>
          <t>영업1팀 E</t>
        </is>
      </c>
      <c r="B126" s="9" t="inlineStr">
        <is>
          <t>Kalost Manufacturing Co., Ltd.</t>
        </is>
      </c>
      <c r="C126" s="9" t="inlineStr">
        <is>
          <t>Viet Nam</t>
        </is>
      </c>
      <c r="D126" s="9" t="inlineStr">
        <is>
          <t>선수금 30% + 잔금 70% (선적 후 30일)</t>
        </is>
      </c>
      <c r="E126" s="9" t="inlineStr">
        <is>
          <t>INV-2609-0106</t>
        </is>
      </c>
      <c r="F126" s="10" t="n">
        <v>46285</v>
      </c>
      <c r="G126" s="10" t="n">
        <v>46315</v>
      </c>
      <c r="H126" s="11" t="n">
        <v>5816</v>
      </c>
      <c r="I126" s="11" t="n">
        <v>4190</v>
      </c>
      <c r="J126" s="12" t="inlineStr">
        <is>
          <t>USD</t>
        </is>
      </c>
      <c r="K126" s="9" t="n"/>
    </row>
    <row r="127" ht="19.5" customHeight="1">
      <c r="A127" s="9" t="inlineStr">
        <is>
          <t>영업1팀 E</t>
        </is>
      </c>
      <c r="B127" s="9" t="inlineStr">
        <is>
          <t>Kalost Manufacturing Co., Ltd.</t>
        </is>
      </c>
      <c r="C127" s="9" t="inlineStr">
        <is>
          <t>Vietnam</t>
        </is>
      </c>
      <c r="D127" s="9" t="inlineStr">
        <is>
          <t>선수금 30% + 잔금 70% (선적 후 30일)</t>
        </is>
      </c>
      <c r="E127" s="9" t="inlineStr">
        <is>
          <t>INV-2609-0156</t>
        </is>
      </c>
      <c r="F127" s="10" t="n">
        <v>46294</v>
      </c>
      <c r="G127" s="10" t="n">
        <v>46324</v>
      </c>
      <c r="H127" s="11" t="n">
        <v>9591</v>
      </c>
      <c r="I127" s="11" t="n">
        <v>7070</v>
      </c>
      <c r="J127" s="12" t="inlineStr">
        <is>
          <t>USD</t>
        </is>
      </c>
      <c r="K127" s="9" t="n"/>
    </row>
    <row r="128" ht="19.5" customHeight="1">
      <c r="A128" s="9" t="inlineStr">
        <is>
          <t>영업1팀 E</t>
        </is>
      </c>
      <c r="B128" s="9" t="inlineStr">
        <is>
          <t>Nelova Engineering (Thailand) Co., Ltd.</t>
        </is>
      </c>
      <c r="C128" s="9" t="inlineStr">
        <is>
          <t>Thailand</t>
        </is>
      </c>
      <c r="D128" s="9" t="inlineStr">
        <is>
          <t>O/A 60</t>
        </is>
      </c>
      <c r="E128" s="9" t="inlineStr">
        <is>
          <t>INV-2608-0067</t>
        </is>
      </c>
      <c r="F128" s="10" t="n">
        <v>46249</v>
      </c>
      <c r="G128" s="10" t="n">
        <v>46309</v>
      </c>
      <c r="H128" s="11" t="n">
        <v>13393</v>
      </c>
      <c r="I128" s="11" t="n">
        <v>9470</v>
      </c>
      <c r="J128" s="12" t="inlineStr">
        <is>
          <t>USD</t>
        </is>
      </c>
      <c r="K128" s="9" t="n"/>
    </row>
    <row r="129" ht="19.5" customHeight="1">
      <c r="A129" s="9" t="inlineStr">
        <is>
          <t>영업1팀 E</t>
        </is>
      </c>
      <c r="B129" s="9" t="inlineStr">
        <is>
          <t>Nelova Engineering (Thailand) Co., Ltd.</t>
        </is>
      </c>
      <c r="C129" s="9" t="inlineStr">
        <is>
          <t>Thailand</t>
        </is>
      </c>
      <c r="D129" s="9" t="inlineStr">
        <is>
          <t>OA60days</t>
        </is>
      </c>
      <c r="E129" s="9" t="inlineStr">
        <is>
          <t>INV-2608-0144</t>
        </is>
      </c>
      <c r="F129" s="10" t="n">
        <v>46264</v>
      </c>
      <c r="G129" s="10" t="n">
        <v>46324</v>
      </c>
      <c r="H129" s="11" t="n">
        <v>4055</v>
      </c>
      <c r="I129" s="11" t="n">
        <v>2940</v>
      </c>
      <c r="J129" s="12" t="inlineStr">
        <is>
          <t>USD</t>
        </is>
      </c>
      <c r="K129" s="9" t="n"/>
    </row>
    <row r="130" ht="19.5" customHeight="1">
      <c r="A130" s="9" t="inlineStr">
        <is>
          <t>영업1팀 E</t>
        </is>
      </c>
      <c r="B130" s="9" t="inlineStr">
        <is>
          <t>PT Kavrendo Instrumen Nusantara</t>
        </is>
      </c>
      <c r="C130" s="9" t="inlineStr">
        <is>
          <t>Indonesia</t>
        </is>
      </c>
      <c r="D130" s="9" t="inlineStr">
        <is>
          <t>OA90days</t>
        </is>
      </c>
      <c r="E130" s="9" t="inlineStr">
        <is>
          <t>INV-2606-0131</t>
        </is>
      </c>
      <c r="F130" s="10" t="n">
        <v>46202</v>
      </c>
      <c r="G130" s="10" t="n">
        <v>46292</v>
      </c>
      <c r="H130" s="11" t="n">
        <v>31073</v>
      </c>
      <c r="I130" s="11" t="n">
        <v>20150</v>
      </c>
      <c r="J130" s="12" t="inlineStr">
        <is>
          <t>USD</t>
        </is>
      </c>
      <c r="K130" s="9" t="n"/>
    </row>
    <row r="131" ht="19.5" customHeight="1">
      <c r="A131" s="9" t="inlineStr">
        <is>
          <t>영업1팀 E</t>
        </is>
      </c>
      <c r="B131" s="9" t="inlineStr">
        <is>
          <t>PT Kavrendo Instrumen Nusantara</t>
        </is>
      </c>
      <c r="C131" s="9" t="inlineStr">
        <is>
          <t>Indonesia</t>
        </is>
      </c>
      <c r="D131" s="9" t="inlineStr">
        <is>
          <t>OA90days</t>
        </is>
      </c>
      <c r="E131" s="9" t="inlineStr">
        <is>
          <t>INV-2607-0072</t>
        </is>
      </c>
      <c r="F131" s="10" t="n">
        <v>46217</v>
      </c>
      <c r="G131" s="10" t="n">
        <v>46307</v>
      </c>
      <c r="H131" s="11" t="n">
        <v>27510</v>
      </c>
      <c r="I131" s="11" t="n">
        <v>18460</v>
      </c>
      <c r="J131" s="12" t="inlineStr">
        <is>
          <t>USD</t>
        </is>
      </c>
      <c r="K131" s="9" t="n"/>
    </row>
    <row r="132" ht="19.5" customHeight="1">
      <c r="A132" s="9" t="inlineStr">
        <is>
          <t>영업1팀 E</t>
        </is>
      </c>
      <c r="B132" s="9" t="inlineStr">
        <is>
          <t>PT Kavrendo Instrumen Nusantara</t>
        </is>
      </c>
      <c r="C132" s="9" t="inlineStr">
        <is>
          <t>Indonesia</t>
        </is>
      </c>
      <c r="D132" s="9" t="inlineStr">
        <is>
          <t>OA90days</t>
        </is>
      </c>
      <c r="E132" s="9" t="inlineStr">
        <is>
          <t>INV-2607-0096</t>
        </is>
      </c>
      <c r="F132" s="10" t="n">
        <v>46221</v>
      </c>
      <c r="G132" s="10" t="n">
        <v>46311</v>
      </c>
      <c r="H132" s="11" t="n">
        <v>14165</v>
      </c>
      <c r="I132" s="11" t="n">
        <v>9510</v>
      </c>
      <c r="J132" s="12" t="inlineStr">
        <is>
          <t>USD</t>
        </is>
      </c>
      <c r="K132" s="9" t="n"/>
    </row>
    <row r="133" ht="19.5" customHeight="1">
      <c r="A133" s="9" t="inlineStr">
        <is>
          <t>영업1팀 E</t>
        </is>
      </c>
      <c r="B133" s="9" t="inlineStr">
        <is>
          <t>PT Kavrendo Instrumen Nusantara</t>
        </is>
      </c>
      <c r="C133" s="9" t="inlineStr">
        <is>
          <t>Indonesia</t>
        </is>
      </c>
      <c r="D133" s="9" t="inlineStr">
        <is>
          <t>OA 90 DAYS</t>
        </is>
      </c>
      <c r="E133" s="9" t="inlineStr">
        <is>
          <t>INV-2607-0117</t>
        </is>
      </c>
      <c r="F133" s="10" t="n">
        <v>46224</v>
      </c>
      <c r="G133" s="10" t="n">
        <v>46314</v>
      </c>
      <c r="H133" s="11" t="n">
        <v>3019</v>
      </c>
      <c r="I133" s="11" t="n">
        <v>2040</v>
      </c>
      <c r="J133" s="12" t="inlineStr">
        <is>
          <t>USD</t>
        </is>
      </c>
      <c r="K133" s="9" t="inlineStr">
        <is>
          <t>11월 둘째 주 결제 약속</t>
        </is>
      </c>
    </row>
    <row r="134" ht="19.5" customHeight="1">
      <c r="A134" s="9" t="inlineStr">
        <is>
          <t>영업1팀 E</t>
        </is>
      </c>
      <c r="B134" s="9" t="inlineStr">
        <is>
          <t>PT Kavrendo Instrumen Nusantara</t>
        </is>
      </c>
      <c r="C134" s="9" t="inlineStr">
        <is>
          <t>Indonesia</t>
        </is>
      </c>
      <c r="D134" s="9" t="inlineStr">
        <is>
          <t>OA90days</t>
        </is>
      </c>
      <c r="E134" s="9" t="inlineStr">
        <is>
          <t>INV-2607-0118</t>
        </is>
      </c>
      <c r="F134" s="10" t="n">
        <v>46224</v>
      </c>
      <c r="G134" s="10" t="n">
        <v>46314</v>
      </c>
      <c r="H134" s="11" t="n">
        <v>11379</v>
      </c>
      <c r="I134" s="11" t="n">
        <v>7690</v>
      </c>
      <c r="J134" s="12" t="inlineStr">
        <is>
          <t>USD</t>
        </is>
      </c>
      <c r="K134" s="9" t="inlineStr">
        <is>
          <t>10/15 입금 예정</t>
        </is>
      </c>
    </row>
    <row r="135" ht="19.5" customHeight="1">
      <c r="A135" s="9" t="inlineStr">
        <is>
          <t>영업1팀 E</t>
        </is>
      </c>
      <c r="B135" s="9" t="inlineStr">
        <is>
          <t>PT Kavrendo Instrumen Nusantara</t>
        </is>
      </c>
      <c r="C135" s="9" t="inlineStr">
        <is>
          <t>Indonesia</t>
        </is>
      </c>
      <c r="D135" s="9" t="inlineStr">
        <is>
          <t>OA 90 DAYS</t>
        </is>
      </c>
      <c r="E135" s="9" t="inlineStr">
        <is>
          <t>INV-2607-0149</t>
        </is>
      </c>
      <c r="F135" s="10" t="n">
        <v>46227</v>
      </c>
      <c r="G135" s="10" t="n">
        <v>46317</v>
      </c>
      <c r="H135" s="11" t="n">
        <v>44305</v>
      </c>
      <c r="I135" s="11" t="n">
        <v>30330</v>
      </c>
      <c r="J135" s="12" t="inlineStr">
        <is>
          <t>USD</t>
        </is>
      </c>
      <c r="K135" s="9" t="n"/>
    </row>
    <row r="136" ht="19.5" customHeight="1">
      <c r="A136" s="9" t="inlineStr">
        <is>
          <t>영업1팀 E</t>
        </is>
      </c>
      <c r="B136" s="9" t="inlineStr">
        <is>
          <t>Quinasta Manufacturing (Thailand) Co., Ltd.</t>
        </is>
      </c>
      <c r="C136" s="9" t="inlineStr">
        <is>
          <t>Thailand</t>
        </is>
      </c>
      <c r="D136" s="9" t="inlineStr">
        <is>
          <t>D/A at 90 days</t>
        </is>
      </c>
      <c r="E136" s="9" t="inlineStr">
        <is>
          <t>INV-2507-0045</t>
        </is>
      </c>
      <c r="F136" s="12" t="inlineStr">
        <is>
          <t>25.7.12</t>
        </is>
      </c>
      <c r="G136" s="10" t="n">
        <v>45940</v>
      </c>
      <c r="H136" s="11" t="n">
        <v>10618</v>
      </c>
      <c r="I136" s="11" t="n">
        <v>7720</v>
      </c>
      <c r="J136" s="12" t="inlineStr">
        <is>
          <t>USD</t>
        </is>
      </c>
      <c r="K136" s="9" t="inlineStr">
        <is>
          <t>부도 처리, 보험 청구 검토</t>
        </is>
      </c>
    </row>
    <row r="137" ht="19.5" customHeight="1">
      <c r="A137" s="9" t="inlineStr">
        <is>
          <t>영업1팀 E</t>
        </is>
      </c>
      <c r="B137" s="9" t="inlineStr">
        <is>
          <t>Quinasta Manufacturing (Thailand) Co., Ltd.</t>
        </is>
      </c>
      <c r="C137" s="9" t="inlineStr">
        <is>
          <t>Thailand</t>
        </is>
      </c>
      <c r="D137" s="9" t="inlineStr">
        <is>
          <t>DA90days</t>
        </is>
      </c>
      <c r="E137" s="9" t="inlineStr">
        <is>
          <t>INV-2510-0053</t>
        </is>
      </c>
      <c r="F137" s="10" t="n">
        <v>45942</v>
      </c>
      <c r="G137" s="12" t="inlineStr">
        <is>
          <t>26.1.10</t>
        </is>
      </c>
      <c r="H137" s="11" t="n">
        <v>8013</v>
      </c>
      <c r="I137" s="11" t="n">
        <v>5610</v>
      </c>
      <c r="J137" s="12" t="inlineStr">
        <is>
          <t>USD</t>
        </is>
      </c>
      <c r="K137" s="9" t="inlineStr">
        <is>
          <t>부도 — 법무팀 검토 중</t>
        </is>
      </c>
    </row>
    <row r="138" ht="19.5" customHeight="1">
      <c r="A138" s="9" t="inlineStr">
        <is>
          <t>영업1팀 E</t>
        </is>
      </c>
      <c r="B138" s="9" t="inlineStr">
        <is>
          <t>Ulida Outlets Pvt. Ltd.</t>
        </is>
      </c>
      <c r="C138" s="9" t="inlineStr">
        <is>
          <t>India</t>
        </is>
      </c>
      <c r="D138" s="9" t="inlineStr">
        <is>
          <t>D/A at 90 days</t>
        </is>
      </c>
      <c r="E138" s="9" t="inlineStr">
        <is>
          <t>INV-2607-0065</t>
        </is>
      </c>
      <c r="F138" s="10" t="n">
        <v>46215</v>
      </c>
      <c r="G138" s="10" t="n">
        <v>46305</v>
      </c>
      <c r="H138" s="11" t="n">
        <v>16046</v>
      </c>
      <c r="I138" s="11" t="n">
        <v>10690</v>
      </c>
      <c r="J138" s="12" t="inlineStr">
        <is>
          <t>USD</t>
        </is>
      </c>
      <c r="K138" s="9" t="n"/>
    </row>
    <row r="139" ht="19.5" customHeight="1">
      <c r="A139" s="9" t="inlineStr">
        <is>
          <t>영업1팀 E</t>
        </is>
      </c>
      <c r="B139" s="9" t="inlineStr">
        <is>
          <t>Ulida Outlets Pvt. Ltd.</t>
        </is>
      </c>
      <c r="C139" s="9" t="inlineStr">
        <is>
          <t>India</t>
        </is>
      </c>
      <c r="D139" s="9" t="inlineStr">
        <is>
          <t>D/A 90일</t>
        </is>
      </c>
      <c r="E139" s="9" t="inlineStr">
        <is>
          <t>INV-2608-0051</t>
        </is>
      </c>
      <c r="F139" s="10" t="n">
        <v>46245</v>
      </c>
      <c r="G139" s="10" t="n">
        <v>46335</v>
      </c>
      <c r="H139" s="11" t="n">
        <v>13395</v>
      </c>
      <c r="I139" s="11" t="n">
        <v>9480</v>
      </c>
      <c r="J139" s="12" t="inlineStr">
        <is>
          <t>USD</t>
        </is>
      </c>
      <c r="K139" s="9" t="n"/>
    </row>
    <row r="140" ht="19.5" customHeight="1">
      <c r="A140" s="9" t="inlineStr">
        <is>
          <t>영업1팀 E</t>
        </is>
      </c>
      <c r="B140" s="9" t="inlineStr">
        <is>
          <t>Ulida Outlets Pvt. Ltd.</t>
        </is>
      </c>
      <c r="C140" s="9" t="inlineStr">
        <is>
          <t>India</t>
        </is>
      </c>
      <c r="D140" s="9" t="inlineStr">
        <is>
          <t>D/A 90</t>
        </is>
      </c>
      <c r="E140" s="9" t="inlineStr">
        <is>
          <t>INV-2608-0149</t>
        </is>
      </c>
      <c r="F140" s="10" t="n">
        <v>46264</v>
      </c>
      <c r="G140" s="10" t="n">
        <v>46354</v>
      </c>
      <c r="H140" s="11" t="n">
        <v>11366</v>
      </c>
      <c r="I140" s="11" t="n">
        <v>8240</v>
      </c>
      <c r="J140" s="12" t="inlineStr">
        <is>
          <t>USD</t>
        </is>
      </c>
      <c r="K140" s="9" t="n"/>
    </row>
    <row r="141" ht="19.5" customHeight="1">
      <c r="A141" s="9" t="inlineStr">
        <is>
          <t>영업1팀 E</t>
        </is>
      </c>
      <c r="B141" s="9" t="inlineStr">
        <is>
          <t>Ulida Outlets Pvt. Ltd.</t>
        </is>
      </c>
      <c r="C141" s="9" t="inlineStr">
        <is>
          <t>India</t>
        </is>
      </c>
      <c r="D141" s="9" t="inlineStr">
        <is>
          <t>D/A 90</t>
        </is>
      </c>
      <c r="E141" s="9" t="inlineStr">
        <is>
          <t>INV-2609-0119</t>
        </is>
      </c>
      <c r="F141" s="10" t="n">
        <v>46287</v>
      </c>
      <c r="G141" s="10" t="n">
        <v>46377</v>
      </c>
      <c r="H141" s="11" t="n">
        <v>13455</v>
      </c>
      <c r="I141" s="11" t="n">
        <v>9900</v>
      </c>
      <c r="J141" s="12" t="inlineStr">
        <is>
          <t>USD</t>
        </is>
      </c>
      <c r="K141" s="9" t="n"/>
    </row>
    <row r="142" ht="19.5" customHeight="1">
      <c r="A142" s="9" t="inlineStr">
        <is>
          <t>영업1팀 E</t>
        </is>
      </c>
      <c r="B142" s="9" t="inlineStr">
        <is>
          <t>Ulida Outlets Pvt. Ltd.</t>
        </is>
      </c>
      <c r="C142" s="9" t="inlineStr">
        <is>
          <t>India</t>
        </is>
      </c>
      <c r="D142" s="9" t="inlineStr">
        <is>
          <t>DA90days</t>
        </is>
      </c>
      <c r="E142" s="9" t="inlineStr">
        <is>
          <t>INV-2609-0123</t>
        </is>
      </c>
      <c r="F142" s="10" t="n">
        <v>46288</v>
      </c>
      <c r="G142" s="10" t="n">
        <v>46378</v>
      </c>
      <c r="H142" s="11" t="n">
        <v>1545</v>
      </c>
      <c r="I142" s="11" t="n">
        <v>1130</v>
      </c>
      <c r="J142" s="12" t="inlineStr">
        <is>
          <t>USD</t>
        </is>
      </c>
      <c r="K142" s="9" t="n"/>
    </row>
    <row r="143" ht="19.5" customHeight="1">
      <c r="A143" s="9" t="inlineStr">
        <is>
          <t>영업1팀 E</t>
        </is>
      </c>
      <c r="B143" s="9" t="inlineStr">
        <is>
          <t>Ulida Outlets Pvt. Ltd.</t>
        </is>
      </c>
      <c r="C143" s="9" t="inlineStr">
        <is>
          <t>India</t>
        </is>
      </c>
      <c r="D143" s="9" t="inlineStr">
        <is>
          <t>D/A 90</t>
        </is>
      </c>
      <c r="E143" s="9" t="inlineStr">
        <is>
          <t>INV-2609-0157</t>
        </is>
      </c>
      <c r="F143" s="10" t="n">
        <v>46294</v>
      </c>
      <c r="G143" s="10" t="n">
        <v>46384</v>
      </c>
      <c r="H143" s="11" t="n">
        <v>71352</v>
      </c>
      <c r="I143" s="11" t="n">
        <v>52600</v>
      </c>
      <c r="J143" s="12" t="inlineStr">
        <is>
          <t>USD</t>
        </is>
      </c>
      <c r="K143" s="9" t="n"/>
    </row>
    <row r="144" ht="19.5" customHeight="1">
      <c r="A144" s="14" t="inlineStr">
        <is>
          <t>영업1팀 E 소계</t>
        </is>
      </c>
      <c r="B144" s="14" t="n"/>
      <c r="C144" s="14" t="n"/>
      <c r="D144" s="14" t="n"/>
      <c r="E144" s="14" t="n"/>
      <c r="F144" s="14" t="n"/>
      <c r="G144" s="14" t="n"/>
      <c r="H144" s="15">
        <f>SUM(H113:H143)</f>
        <v>565761</v>
      </c>
      <c r="I144" s="14" t="n"/>
      <c r="J144" s="14" t="n"/>
      <c r="K144" s="14" t="n"/>
    </row>
    <row r="145" ht="19.5" customHeight="1"/>
    <row r="146" ht="19.5" customHeight="1">
      <c r="A146" s="9" t="inlineStr">
        <is>
          <t>영업1팀 F</t>
        </is>
      </c>
      <c r="B146" s="9" t="inlineStr">
        <is>
          <t>Briost Engineering Co., Ltd.</t>
        </is>
      </c>
      <c r="C146" s="9" t="inlineStr">
        <is>
          <t>Taiwan</t>
        </is>
      </c>
      <c r="D146" s="9" t="inlineStr">
        <is>
          <t>O/A 60</t>
        </is>
      </c>
      <c r="E146" s="9" t="inlineStr">
        <is>
          <t>INV-2511-0017</t>
        </is>
      </c>
      <c r="F146" s="12" t="inlineStr">
        <is>
          <t>25.11.5</t>
        </is>
      </c>
      <c r="G146" s="12" t="inlineStr">
        <is>
          <t>26.1.4</t>
        </is>
      </c>
      <c r="H146" s="11" t="n">
        <v>43228</v>
      </c>
      <c r="I146" s="11" t="n">
        <v>30000</v>
      </c>
      <c r="J146" s="12" t="inlineStr">
        <is>
          <t>USD</t>
        </is>
      </c>
      <c r="K146" s="9" t="inlineStr">
        <is>
          <t>부도 — 법무팀 검토 중</t>
        </is>
      </c>
    </row>
    <row r="147" ht="19.5" customHeight="1">
      <c r="A147" s="9" t="inlineStr">
        <is>
          <t>영업1팀 F</t>
        </is>
      </c>
      <c r="B147" s="9" t="inlineStr">
        <is>
          <t>Briost Engineering Co., Ltd.</t>
        </is>
      </c>
      <c r="C147" s="9" t="inlineStr">
        <is>
          <t>Taiwan</t>
        </is>
      </c>
      <c r="D147" s="9" t="inlineStr">
        <is>
          <t>사후송금 60일</t>
        </is>
      </c>
      <c r="E147" s="9" t="inlineStr">
        <is>
          <t>INV-2602-0051</t>
        </is>
      </c>
      <c r="F147" s="12" t="inlineStr">
        <is>
          <t>2월 10일</t>
        </is>
      </c>
      <c r="G147" s="12" t="inlineStr">
        <is>
          <t>4월 11일</t>
        </is>
      </c>
      <c r="H147" s="11" t="n">
        <v>29136</v>
      </c>
      <c r="I147" s="11" t="n">
        <v>20000</v>
      </c>
      <c r="J147" s="12" t="inlineStr">
        <is>
          <t>USD</t>
        </is>
      </c>
      <c r="K147" s="9" t="inlineStr">
        <is>
          <t>부도 — 법무팀 검토 중</t>
        </is>
      </c>
    </row>
    <row r="148" ht="19.5" customHeight="1">
      <c r="A148" s="9" t="inlineStr">
        <is>
          <t>영업1팀 F</t>
        </is>
      </c>
      <c r="B148" s="9" t="inlineStr">
        <is>
          <t>Briost Engineering Co., Ltd.</t>
        </is>
      </c>
      <c r="C148" s="9" t="inlineStr">
        <is>
          <t>Taiwan</t>
        </is>
      </c>
      <c r="D148" s="9" t="inlineStr">
        <is>
          <t>OA 60 DAYS</t>
        </is>
      </c>
      <c r="E148" s="9" t="inlineStr">
        <is>
          <t>INV-2603-0039</t>
        </is>
      </c>
      <c r="F148" s="12" t="inlineStr">
        <is>
          <t>26.3.7</t>
        </is>
      </c>
      <c r="G148" s="12" t="inlineStr">
        <is>
          <t>26.5.6</t>
        </is>
      </c>
      <c r="H148" s="11" t="n">
        <v>22245</v>
      </c>
      <c r="I148" s="11" t="n">
        <v>15000</v>
      </c>
      <c r="J148" s="12" t="inlineStr">
        <is>
          <t>USD</t>
        </is>
      </c>
      <c r="K148" s="9" t="inlineStr">
        <is>
          <t>바이어 부도 통보 접수</t>
        </is>
      </c>
    </row>
    <row r="149" ht="19.5" customHeight="1">
      <c r="A149" s="9" t="inlineStr">
        <is>
          <t>영업1팀 F</t>
        </is>
      </c>
      <c r="B149" s="9" t="inlineStr">
        <is>
          <t>Calant Projects Co., Ltd.</t>
        </is>
      </c>
      <c r="C149" s="9" t="inlineStr">
        <is>
          <t>Vietnam</t>
        </is>
      </c>
      <c r="D149" s="9" t="inlineStr">
        <is>
          <t>LC Usance 90</t>
        </is>
      </c>
      <c r="E149" s="9" t="inlineStr">
        <is>
          <t>INV-2607-0050</t>
        </is>
      </c>
      <c r="F149" s="12" t="inlineStr">
        <is>
          <t>26.7.10</t>
        </is>
      </c>
      <c r="G149" s="10" t="n">
        <v>46303</v>
      </c>
      <c r="H149" s="11" t="n">
        <v>27755</v>
      </c>
      <c r="I149" s="11" t="n">
        <v>18490</v>
      </c>
      <c r="J149" s="12" t="inlineStr">
        <is>
          <t>USD</t>
        </is>
      </c>
      <c r="K149" s="9" t="n"/>
    </row>
    <row r="150" ht="19.5" customHeight="1">
      <c r="A150" s="9" t="inlineStr">
        <is>
          <t>영업1팀 F</t>
        </is>
      </c>
      <c r="B150" s="9" t="inlineStr">
        <is>
          <t>Calant Projects Co., Ltd.</t>
        </is>
      </c>
      <c r="C150" s="9" t="inlineStr">
        <is>
          <t>Vietnam</t>
        </is>
      </c>
      <c r="D150" s="9" t="inlineStr">
        <is>
          <t>L/C 기한부 90일</t>
        </is>
      </c>
      <c r="E150" s="9" t="inlineStr">
        <is>
          <t>INV-2607-0059</t>
        </is>
      </c>
      <c r="F150" s="12" t="inlineStr">
        <is>
          <t>26.7.11</t>
        </is>
      </c>
      <c r="G150" s="10" t="n">
        <v>46304</v>
      </c>
      <c r="H150" s="11" t="n">
        <v>3573</v>
      </c>
      <c r="I150" s="11" t="n">
        <v>2380</v>
      </c>
      <c r="J150" s="12" t="inlineStr">
        <is>
          <t>USD</t>
        </is>
      </c>
      <c r="K150" s="9" t="n"/>
    </row>
    <row r="151" ht="19.5" customHeight="1">
      <c r="A151" s="9" t="inlineStr">
        <is>
          <t>영업1팀 F</t>
        </is>
      </c>
      <c r="B151" s="9" t="inlineStr">
        <is>
          <t>Calant Projects Co., Ltd.</t>
        </is>
      </c>
      <c r="C151" s="9" t="inlineStr">
        <is>
          <t>Viet Nam</t>
        </is>
      </c>
      <c r="D151" s="9" t="inlineStr">
        <is>
          <t>LC Usance 90</t>
        </is>
      </c>
      <c r="E151" s="9" t="inlineStr">
        <is>
          <t>INV-2607-0108</t>
        </is>
      </c>
      <c r="F151" s="12" t="inlineStr">
        <is>
          <t>26.7.19</t>
        </is>
      </c>
      <c r="G151" s="12" t="inlineStr">
        <is>
          <t>26.10.17</t>
        </is>
      </c>
      <c r="H151" s="11" t="n">
        <v>18931</v>
      </c>
      <c r="I151" s="11" t="n">
        <v>12710</v>
      </c>
      <c r="J151" s="12" t="inlineStr">
        <is>
          <t>USD</t>
        </is>
      </c>
      <c r="K151" s="9" t="n"/>
    </row>
    <row r="152" ht="19.5" customHeight="1">
      <c r="A152" s="9" t="inlineStr">
        <is>
          <t>영업1팀 F</t>
        </is>
      </c>
      <c r="B152" s="9" t="inlineStr">
        <is>
          <t>Calant Projects Co., Ltd.</t>
        </is>
      </c>
      <c r="C152" s="9" t="inlineStr">
        <is>
          <t>Viet Nam</t>
        </is>
      </c>
      <c r="D152" s="9" t="inlineStr">
        <is>
          <t>L/C 기한부 90일</t>
        </is>
      </c>
      <c r="E152" s="9" t="inlineStr">
        <is>
          <t>INV-2608-0089</t>
        </is>
      </c>
      <c r="F152" s="12" t="inlineStr">
        <is>
          <t>26.8.19</t>
        </is>
      </c>
      <c r="G152" s="12" t="inlineStr">
        <is>
          <t>26.11.17</t>
        </is>
      </c>
      <c r="H152" s="11" t="n">
        <v>19562</v>
      </c>
      <c r="I152" s="11" t="n">
        <v>14090</v>
      </c>
      <c r="J152" s="12" t="inlineStr">
        <is>
          <t>USD</t>
        </is>
      </c>
      <c r="K152" s="9" t="n"/>
    </row>
    <row r="153" ht="19.5" customHeight="1">
      <c r="A153" s="9" t="inlineStr">
        <is>
          <t>영업1팀 F</t>
        </is>
      </c>
      <c r="B153" s="9" t="inlineStr">
        <is>
          <t>Calant Projects Co., Ltd.</t>
        </is>
      </c>
      <c r="C153" s="9" t="inlineStr">
        <is>
          <t>Vietnam</t>
        </is>
      </c>
      <c r="D153" s="9" t="inlineStr">
        <is>
          <t>LC Usance 90</t>
        </is>
      </c>
      <c r="E153" s="9" t="inlineStr">
        <is>
          <t>INV-2608-0105</t>
        </is>
      </c>
      <c r="F153" s="12" t="inlineStr">
        <is>
          <t>26.8.22</t>
        </is>
      </c>
      <c r="G153" s="12" t="inlineStr">
        <is>
          <t>26.11.20</t>
        </is>
      </c>
      <c r="H153" s="11" t="n">
        <v>33476</v>
      </c>
      <c r="I153" s="11" t="n">
        <v>24170</v>
      </c>
      <c r="J153" s="12" t="inlineStr">
        <is>
          <t>USD</t>
        </is>
      </c>
      <c r="K153" s="9" t="inlineStr">
        <is>
          <t>9/30 송금 확인 요청함</t>
        </is>
      </c>
    </row>
    <row r="154" ht="19.5" customHeight="1">
      <c r="A154" s="9" t="inlineStr">
        <is>
          <t>영업1팀 F</t>
        </is>
      </c>
      <c r="B154" s="9" t="inlineStr">
        <is>
          <t>Calant Projects Co., Ltd.</t>
        </is>
      </c>
      <c r="C154" s="9" t="inlineStr">
        <is>
          <t>Vietnam</t>
        </is>
      </c>
      <c r="D154" s="9" t="inlineStr">
        <is>
          <t>L/C 기한부 90일</t>
        </is>
      </c>
      <c r="E154" s="9" t="inlineStr">
        <is>
          <t>INV-2609-0007</t>
        </is>
      </c>
      <c r="F154" s="12" t="inlineStr">
        <is>
          <t>26.9.2</t>
        </is>
      </c>
      <c r="G154" s="12" t="inlineStr">
        <is>
          <t>26.12.1</t>
        </is>
      </c>
      <c r="H154" s="11" t="n">
        <v>7745</v>
      </c>
      <c r="I154" s="11" t="n">
        <v>5700</v>
      </c>
      <c r="J154" s="12" t="inlineStr">
        <is>
          <t>USD</t>
        </is>
      </c>
      <c r="K154" s="9" t="n"/>
    </row>
    <row r="155" ht="19.5" customHeight="1">
      <c r="A155" s="9" t="inlineStr">
        <is>
          <t>영업1팀 F</t>
        </is>
      </c>
      <c r="B155" s="9" t="inlineStr">
        <is>
          <t>Calant Projects Co., Ltd.</t>
        </is>
      </c>
      <c r="C155" s="9" t="inlineStr">
        <is>
          <t>Vietnam</t>
        </is>
      </c>
      <c r="D155" s="9" t="inlineStr">
        <is>
          <t>L/C 기한부 90일</t>
        </is>
      </c>
      <c r="E155" s="9" t="inlineStr">
        <is>
          <t>INV-2609-0015</t>
        </is>
      </c>
      <c r="F155" s="12" t="inlineStr">
        <is>
          <t>26.9.3</t>
        </is>
      </c>
      <c r="G155" s="12" t="inlineStr">
        <is>
          <t>26.12.2</t>
        </is>
      </c>
      <c r="H155" s="11" t="n">
        <v>7151</v>
      </c>
      <c r="I155" s="11" t="n">
        <v>5270</v>
      </c>
      <c r="J155" s="12" t="inlineStr">
        <is>
          <t>USD</t>
        </is>
      </c>
      <c r="K155" s="9" t="n"/>
    </row>
    <row r="156" ht="19.5" customHeight="1">
      <c r="A156" s="9" t="inlineStr">
        <is>
          <t>영업1팀 F</t>
        </is>
      </c>
      <c r="B156" s="9" t="inlineStr">
        <is>
          <t>Calant Projects Co., Ltd.</t>
        </is>
      </c>
      <c r="C156" s="9" t="inlineStr">
        <is>
          <t>Vietnam</t>
        </is>
      </c>
      <c r="D156" s="9" t="inlineStr">
        <is>
          <t>L/C 90 days usance</t>
        </is>
      </c>
      <c r="E156" s="9" t="inlineStr">
        <is>
          <t>INV-2609-0016</t>
        </is>
      </c>
      <c r="F156" s="12" t="inlineStr">
        <is>
          <t>26.9.3</t>
        </is>
      </c>
      <c r="G156" s="12" t="inlineStr">
        <is>
          <t>26.12.2</t>
        </is>
      </c>
      <c r="H156" s="11" t="n">
        <v>8725</v>
      </c>
      <c r="I156" s="11" t="n">
        <v>6430</v>
      </c>
      <c r="J156" s="12" t="inlineStr">
        <is>
          <t>USD</t>
        </is>
      </c>
      <c r="K156" s="9" t="n"/>
    </row>
    <row r="157" ht="19.5" customHeight="1">
      <c r="A157" s="9" t="inlineStr">
        <is>
          <t>영업1팀 F</t>
        </is>
      </c>
      <c r="B157" s="9" t="inlineStr">
        <is>
          <t>Calant Projects Co., Ltd.</t>
        </is>
      </c>
      <c r="C157" s="9" t="inlineStr">
        <is>
          <t>Vietnam</t>
        </is>
      </c>
      <c r="D157" s="9" t="inlineStr">
        <is>
          <t>LC Usance 90</t>
        </is>
      </c>
      <c r="E157" s="9" t="inlineStr">
        <is>
          <t>INV-2609-0062</t>
        </is>
      </c>
      <c r="F157" s="12" t="inlineStr">
        <is>
          <t>26.9.12</t>
        </is>
      </c>
      <c r="G157" s="12" t="inlineStr">
        <is>
          <t>26.12.11</t>
        </is>
      </c>
      <c r="H157" s="11" t="n">
        <v>2614</v>
      </c>
      <c r="I157" s="11" t="n">
        <v>1950</v>
      </c>
      <c r="J157" s="12" t="inlineStr">
        <is>
          <t>USD</t>
        </is>
      </c>
      <c r="K157" s="9" t="n"/>
    </row>
    <row r="158" ht="19.5" customHeight="1">
      <c r="A158" s="9" t="inlineStr">
        <is>
          <t>영업1팀 F</t>
        </is>
      </c>
      <c r="B158" s="9" t="inlineStr">
        <is>
          <t>Calant Projects Co., Ltd.</t>
        </is>
      </c>
      <c r="C158" s="9" t="inlineStr">
        <is>
          <t>Vietnam</t>
        </is>
      </c>
      <c r="D158" s="9" t="inlineStr">
        <is>
          <t>LC Usance 90</t>
        </is>
      </c>
      <c r="E158" s="9" t="inlineStr">
        <is>
          <t>INV-2609-0080</t>
        </is>
      </c>
      <c r="F158" s="12" t="inlineStr">
        <is>
          <t>26.9.15</t>
        </is>
      </c>
      <c r="G158" s="12" t="inlineStr">
        <is>
          <t>12월 14일</t>
        </is>
      </c>
      <c r="H158" s="11" t="n">
        <v>5338</v>
      </c>
      <c r="I158" s="11" t="n">
        <v>3920</v>
      </c>
      <c r="J158" s="12" t="inlineStr">
        <is>
          <t>USD</t>
        </is>
      </c>
      <c r="K158" s="9" t="n"/>
    </row>
    <row r="159" ht="19.5" customHeight="1">
      <c r="A159" s="9" t="inlineStr">
        <is>
          <t>영업1팀 F</t>
        </is>
      </c>
      <c r="B159" s="9" t="inlineStr">
        <is>
          <t>Calant Projects Co., Ltd.</t>
        </is>
      </c>
      <c r="C159" s="9" t="inlineStr">
        <is>
          <t>Vietnam</t>
        </is>
      </c>
      <c r="D159" s="9" t="inlineStr">
        <is>
          <t>L/C 90 days usance</t>
        </is>
      </c>
      <c r="E159" s="9" t="inlineStr">
        <is>
          <t>INV-2609-0111</t>
        </is>
      </c>
      <c r="F159" s="12" t="inlineStr">
        <is>
          <t>26.9.21</t>
        </is>
      </c>
      <c r="G159" s="12" t="inlineStr">
        <is>
          <t>26.12.20</t>
        </is>
      </c>
      <c r="H159" s="11" t="n">
        <v>2543</v>
      </c>
      <c r="I159" s="11" t="n">
        <v>1850</v>
      </c>
      <c r="J159" s="12" t="inlineStr">
        <is>
          <t>USD</t>
        </is>
      </c>
      <c r="K159" s="9" t="n"/>
    </row>
    <row r="160" ht="19.5" customHeight="1">
      <c r="A160" s="9" t="inlineStr">
        <is>
          <t>영업1팀 F</t>
        </is>
      </c>
      <c r="B160" s="9" t="inlineStr">
        <is>
          <t>Calant Projects Co., Ltd.</t>
        </is>
      </c>
      <c r="C160" s="9" t="inlineStr">
        <is>
          <t>Vietnam</t>
        </is>
      </c>
      <c r="D160" s="9" t="inlineStr">
        <is>
          <t>L/C 90 days usance</t>
        </is>
      </c>
      <c r="E160" s="9" t="inlineStr">
        <is>
          <t>INV-2609-0145</t>
        </is>
      </c>
      <c r="F160" s="12" t="inlineStr">
        <is>
          <t>26.9.27</t>
        </is>
      </c>
      <c r="G160" s="12" t="inlineStr">
        <is>
          <t>26.12.26</t>
        </is>
      </c>
      <c r="H160" s="11" t="n">
        <v>54789</v>
      </c>
      <c r="I160" s="11" t="n">
        <v>40390</v>
      </c>
      <c r="J160" s="12" t="inlineStr">
        <is>
          <t>USD</t>
        </is>
      </c>
      <c r="K160" s="9" t="n"/>
    </row>
    <row r="161" ht="19.5" customHeight="1">
      <c r="A161" s="9" t="inlineStr">
        <is>
          <t>영업1팀 F</t>
        </is>
      </c>
      <c r="B161" s="9" t="inlineStr">
        <is>
          <t>Dongguan Tarella Engineering Co., Ltd.</t>
        </is>
      </c>
      <c r="C161" s="9" t="inlineStr">
        <is>
          <t>China</t>
        </is>
      </c>
      <c r="D161" s="9" t="inlineStr">
        <is>
          <t>OA 60 DAYS</t>
        </is>
      </c>
      <c r="E161" s="9" t="inlineStr">
        <is>
          <t>INV-2608-0113</t>
        </is>
      </c>
      <c r="F161" s="12" t="inlineStr">
        <is>
          <t>26.8.23</t>
        </is>
      </c>
      <c r="G161" s="12" t="inlineStr">
        <is>
          <t>26.10.22</t>
        </is>
      </c>
      <c r="H161" s="11" t="n">
        <v>20013</v>
      </c>
      <c r="I161" s="11" t="n">
        <v>14450</v>
      </c>
      <c r="J161" s="12" t="inlineStr">
        <is>
          <t>USD</t>
        </is>
      </c>
      <c r="K161" s="9" t="n"/>
    </row>
    <row r="162" ht="19.5" customHeight="1">
      <c r="A162" s="9" t="inlineStr">
        <is>
          <t>영업1팀 F</t>
        </is>
      </c>
      <c r="B162" s="9" t="inlineStr">
        <is>
          <t>Dongguan Tarella Engineering Co., Ltd.</t>
        </is>
      </c>
      <c r="C162" s="9" t="inlineStr">
        <is>
          <t>China</t>
        </is>
      </c>
      <c r="D162" s="9" t="inlineStr">
        <is>
          <t>OA60days</t>
        </is>
      </c>
      <c r="E162" s="9" t="inlineStr">
        <is>
          <t>INV-2609-0042</t>
        </is>
      </c>
      <c r="F162" s="12" t="inlineStr">
        <is>
          <t>26.9.7</t>
        </is>
      </c>
      <c r="G162" s="12" t="inlineStr">
        <is>
          <t>26.11.6</t>
        </is>
      </c>
      <c r="H162" s="11" t="n">
        <v>26243</v>
      </c>
      <c r="I162" s="11" t="n">
        <v>19490</v>
      </c>
      <c r="J162" s="12" t="inlineStr">
        <is>
          <t>USD</t>
        </is>
      </c>
      <c r="K162" s="9" t="n"/>
    </row>
    <row r="163" ht="19.5" customHeight="1">
      <c r="A163" s="9" t="inlineStr">
        <is>
          <t>영업1팀 F</t>
        </is>
      </c>
      <c r="B163" s="9" t="inlineStr">
        <is>
          <t>Dongguan Tarella Engineering Co., Ltd.</t>
        </is>
      </c>
      <c r="C163" s="9" t="inlineStr">
        <is>
          <t>China</t>
        </is>
      </c>
      <c r="D163" s="9" t="inlineStr">
        <is>
          <t>OA 60 DAYS</t>
        </is>
      </c>
      <c r="E163" s="9" t="inlineStr">
        <is>
          <t>INV-2609-0061</t>
        </is>
      </c>
      <c r="F163" s="12" t="inlineStr">
        <is>
          <t>26.9.12</t>
        </is>
      </c>
      <c r="G163" s="12" t="inlineStr">
        <is>
          <t>26.11.11</t>
        </is>
      </c>
      <c r="H163" s="11" t="n">
        <v>14864</v>
      </c>
      <c r="I163" s="11" t="n">
        <v>11090</v>
      </c>
      <c r="J163" s="12" t="inlineStr">
        <is>
          <t>USD</t>
        </is>
      </c>
      <c r="K163" s="9" t="n"/>
    </row>
    <row r="164" ht="19.5" customHeight="1">
      <c r="A164" s="9" t="inlineStr">
        <is>
          <t>영업1팀 F</t>
        </is>
      </c>
      <c r="B164" s="9" t="inlineStr">
        <is>
          <t>Dongguan Tarella Engineering Co., Ltd.</t>
        </is>
      </c>
      <c r="C164" s="9" t="inlineStr">
        <is>
          <t>China</t>
        </is>
      </c>
      <c r="D164" s="9" t="inlineStr">
        <is>
          <t>O/A 60</t>
        </is>
      </c>
      <c r="E164" s="9" t="inlineStr">
        <is>
          <t>INV-2609-0090</t>
        </is>
      </c>
      <c r="F164" s="12" t="inlineStr">
        <is>
          <t>26.9.17</t>
        </is>
      </c>
      <c r="G164" s="12" t="inlineStr">
        <is>
          <t>26.11.16</t>
        </is>
      </c>
      <c r="H164" s="11" t="n">
        <v>14564</v>
      </c>
      <c r="I164" s="11" t="n">
        <v>10550</v>
      </c>
      <c r="J164" s="12" t="inlineStr">
        <is>
          <t>USD</t>
        </is>
      </c>
      <c r="K164" s="9" t="n"/>
    </row>
    <row r="165" ht="19.5" customHeight="1">
      <c r="A165" s="9" t="inlineStr">
        <is>
          <t>영업1팀 F</t>
        </is>
      </c>
      <c r="B165" s="9" t="inlineStr">
        <is>
          <t>Dongguan Tarella Engineering Co., Ltd.</t>
        </is>
      </c>
      <c r="C165" s="9" t="inlineStr">
        <is>
          <t>China</t>
        </is>
      </c>
      <c r="D165" s="9" t="inlineStr">
        <is>
          <t>O/A 60일</t>
        </is>
      </c>
      <c r="E165" s="9" t="inlineStr">
        <is>
          <t>INV-2609-0136</t>
        </is>
      </c>
      <c r="F165" s="12" t="inlineStr">
        <is>
          <t>26.9.26</t>
        </is>
      </c>
      <c r="G165" s="12" t="inlineStr">
        <is>
          <t>26.11.25</t>
        </is>
      </c>
      <c r="H165" s="11" t="n">
        <v>45253</v>
      </c>
      <c r="I165" s="11" t="n">
        <v>33360</v>
      </c>
      <c r="J165" s="12" t="inlineStr">
        <is>
          <t>USD</t>
        </is>
      </c>
      <c r="K165" s="9" t="n"/>
    </row>
    <row r="166" ht="19.5" customHeight="1">
      <c r="A166" s="9" t="inlineStr">
        <is>
          <t>영업1팀 F</t>
        </is>
      </c>
      <c r="B166" s="9" t="inlineStr">
        <is>
          <t>Nelella Distribution JSC</t>
        </is>
      </c>
      <c r="C166" s="9" t="inlineStr">
        <is>
          <t>Vietnam</t>
        </is>
      </c>
      <c r="D166" s="9" t="inlineStr">
        <is>
          <t>OA 90 DAYS</t>
        </is>
      </c>
      <c r="E166" s="9" t="inlineStr">
        <is>
          <t>INV-2607-0116</t>
        </is>
      </c>
      <c r="F166" s="12" t="inlineStr">
        <is>
          <t>7월 20일</t>
        </is>
      </c>
      <c r="G166" s="12" t="inlineStr">
        <is>
          <t>26.10.18</t>
        </is>
      </c>
      <c r="H166" s="11" t="n">
        <v>43403</v>
      </c>
      <c r="I166" s="11" t="n">
        <v>29360</v>
      </c>
      <c r="J166" s="12" t="inlineStr">
        <is>
          <t>USD</t>
        </is>
      </c>
      <c r="K166" s="9" t="n"/>
    </row>
    <row r="167" ht="19.5" customHeight="1">
      <c r="A167" s="9" t="inlineStr">
        <is>
          <t>영업1팀 F</t>
        </is>
      </c>
      <c r="B167" s="9" t="inlineStr">
        <is>
          <t>Nelella Distribution JSC</t>
        </is>
      </c>
      <c r="C167" s="9" t="inlineStr">
        <is>
          <t>Vietnam</t>
        </is>
      </c>
      <c r="D167" s="9" t="inlineStr">
        <is>
          <t>OA 90 DAYS</t>
        </is>
      </c>
      <c r="E167" s="9" t="inlineStr">
        <is>
          <t>INV-2607-0129</t>
        </is>
      </c>
      <c r="F167" s="12" t="inlineStr">
        <is>
          <t>7월 21일</t>
        </is>
      </c>
      <c r="G167" s="12" t="inlineStr">
        <is>
          <t>26.10.19</t>
        </is>
      </c>
      <c r="H167" s="11" t="n">
        <v>5401</v>
      </c>
      <c r="I167" s="11" t="n">
        <v>3650</v>
      </c>
      <c r="J167" s="12" t="inlineStr">
        <is>
          <t>USD</t>
        </is>
      </c>
      <c r="K167" s="9" t="n"/>
    </row>
    <row r="168" ht="19.5" customHeight="1">
      <c r="A168" s="9" t="inlineStr">
        <is>
          <t>영업1팀 F</t>
        </is>
      </c>
      <c r="B168" s="9" t="inlineStr">
        <is>
          <t>Nelella Distribution JSC</t>
        </is>
      </c>
      <c r="C168" s="9" t="inlineStr">
        <is>
          <t>Vietnam</t>
        </is>
      </c>
      <c r="D168" s="9" t="inlineStr">
        <is>
          <t>사후송금 90일</t>
        </is>
      </c>
      <c r="E168" s="9" t="inlineStr">
        <is>
          <t>INV-2607-0146</t>
        </is>
      </c>
      <c r="F168" s="12" t="inlineStr">
        <is>
          <t>26.7.23</t>
        </is>
      </c>
      <c r="G168" s="12" t="inlineStr">
        <is>
          <t>26.10.21</t>
        </is>
      </c>
      <c r="H168" s="11" t="n">
        <v>19601</v>
      </c>
      <c r="I168" s="11" t="n">
        <v>13290</v>
      </c>
      <c r="J168" s="12" t="inlineStr">
        <is>
          <t>USD</t>
        </is>
      </c>
      <c r="K168" s="9" t="n"/>
    </row>
    <row r="169" ht="19.5" customHeight="1">
      <c r="A169" s="9" t="inlineStr">
        <is>
          <t>영업1팀 F</t>
        </is>
      </c>
      <c r="B169" s="9" t="inlineStr">
        <is>
          <t>Nelella Distribution JSC</t>
        </is>
      </c>
      <c r="C169" s="9" t="inlineStr">
        <is>
          <t>Vietnam</t>
        </is>
      </c>
      <c r="D169" s="9" t="inlineStr">
        <is>
          <t>OA90days</t>
        </is>
      </c>
      <c r="E169" s="9" t="inlineStr">
        <is>
          <t>INV-2607-0152</t>
        </is>
      </c>
      <c r="F169" s="12" t="inlineStr">
        <is>
          <t>26.7.24</t>
        </is>
      </c>
      <c r="G169" s="12" t="inlineStr">
        <is>
          <t>26.10.22</t>
        </is>
      </c>
      <c r="H169" s="11" t="n">
        <v>46072</v>
      </c>
      <c r="I169" s="11" t="n">
        <v>31540</v>
      </c>
      <c r="J169" s="12" t="inlineStr">
        <is>
          <t>USD</t>
        </is>
      </c>
      <c r="K169" s="9" t="n"/>
    </row>
    <row r="170" ht="19.5" customHeight="1">
      <c r="A170" s="9" t="inlineStr">
        <is>
          <t>영업1팀 F</t>
        </is>
      </c>
      <c r="B170" s="9" t="inlineStr">
        <is>
          <t>Nelella Distribution JSC</t>
        </is>
      </c>
      <c r="C170" s="9" t="inlineStr">
        <is>
          <t>Vietnam</t>
        </is>
      </c>
      <c r="D170" s="9" t="inlineStr">
        <is>
          <t>사후송금 90일</t>
        </is>
      </c>
      <c r="E170" s="9" t="inlineStr">
        <is>
          <t>INV-2607-0180</t>
        </is>
      </c>
      <c r="F170" s="12" t="inlineStr">
        <is>
          <t>26.7.30</t>
        </is>
      </c>
      <c r="G170" s="12" t="inlineStr">
        <is>
          <t>26.10.28</t>
        </is>
      </c>
      <c r="H170" s="11" t="n">
        <v>6394</v>
      </c>
      <c r="I170" s="11" t="n">
        <v>4490</v>
      </c>
      <c r="J170" s="12" t="inlineStr">
        <is>
          <t>USD</t>
        </is>
      </c>
      <c r="K170" s="9" t="n"/>
    </row>
    <row r="171" ht="19.5" customHeight="1">
      <c r="A171" s="9" t="inlineStr">
        <is>
          <t>영업1팀 F</t>
        </is>
      </c>
      <c r="B171" s="9" t="inlineStr">
        <is>
          <t>Nelella Distribution JSC</t>
        </is>
      </c>
      <c r="C171" s="9" t="inlineStr">
        <is>
          <t>Vietnam</t>
        </is>
      </c>
      <c r="D171" s="9" t="inlineStr">
        <is>
          <t>O/A 90</t>
        </is>
      </c>
      <c r="E171" s="9" t="inlineStr">
        <is>
          <t>INV-2608-0135</t>
        </is>
      </c>
      <c r="F171" s="12" t="inlineStr">
        <is>
          <t>26.8.27</t>
        </is>
      </c>
      <c r="G171" s="12" t="inlineStr">
        <is>
          <t>26.11.25</t>
        </is>
      </c>
      <c r="H171" s="11" t="n">
        <v>6257</v>
      </c>
      <c r="I171" s="11" t="n">
        <v>4530</v>
      </c>
      <c r="J171" s="12" t="inlineStr">
        <is>
          <t>USD</t>
        </is>
      </c>
      <c r="K171" s="9" t="n"/>
    </row>
    <row r="172" ht="19.5" customHeight="1">
      <c r="A172" s="9" t="inlineStr">
        <is>
          <t>영업1팀 F</t>
        </is>
      </c>
      <c r="B172" s="9" t="inlineStr">
        <is>
          <t>Nelella Distribution JSC</t>
        </is>
      </c>
      <c r="C172" s="9" t="inlineStr">
        <is>
          <t>Viet Nam</t>
        </is>
      </c>
      <c r="D172" s="9" t="inlineStr">
        <is>
          <t>O/A 90일</t>
        </is>
      </c>
      <c r="E172" s="9" t="inlineStr">
        <is>
          <t>INV-2609-0095</t>
        </is>
      </c>
      <c r="F172" s="12" t="inlineStr">
        <is>
          <t>26.9.18</t>
        </is>
      </c>
      <c r="G172" s="12" t="inlineStr">
        <is>
          <t>26.12.17</t>
        </is>
      </c>
      <c r="H172" s="11" t="n">
        <v>15545</v>
      </c>
      <c r="I172" s="11" t="n">
        <v>11200</v>
      </c>
      <c r="J172" s="12" t="inlineStr">
        <is>
          <t>USD</t>
        </is>
      </c>
      <c r="K172" s="9" t="n"/>
    </row>
    <row r="173" ht="19.5" customHeight="1">
      <c r="A173" s="9" t="inlineStr">
        <is>
          <t>영업1팀 F</t>
        </is>
      </c>
      <c r="B173" s="9" t="inlineStr">
        <is>
          <t>Suzhou Delaro Supply Co., Ltd.</t>
        </is>
      </c>
      <c r="C173" s="9" t="inlineStr">
        <is>
          <t>China</t>
        </is>
      </c>
      <c r="D173" s="9" t="inlineStr">
        <is>
          <t>DA90days</t>
        </is>
      </c>
      <c r="E173" s="9" t="inlineStr">
        <is>
          <t>INV-2608-0136</t>
        </is>
      </c>
      <c r="F173" s="10" t="n">
        <v>46262</v>
      </c>
      <c r="G173" s="12" t="inlineStr">
        <is>
          <t>26.11.26</t>
        </is>
      </c>
      <c r="H173" s="11" t="n">
        <v>65014</v>
      </c>
      <c r="I173" s="11" t="n">
        <v>317000</v>
      </c>
      <c r="J173" s="12" t="inlineStr">
        <is>
          <t>CNY</t>
        </is>
      </c>
      <c r="K173" s="9" t="n"/>
    </row>
    <row r="174" ht="19.5" customHeight="1">
      <c r="A174" s="9" t="inlineStr">
        <is>
          <t>영업1팀 F</t>
        </is>
      </c>
      <c r="B174" s="9" t="inlineStr">
        <is>
          <t>Suzhou Delaro Supply Co., Ltd.</t>
        </is>
      </c>
      <c r="C174" s="9" t="inlineStr">
        <is>
          <t>China</t>
        </is>
      </c>
      <c r="D174" s="9" t="inlineStr">
        <is>
          <t>D/A 90</t>
        </is>
      </c>
      <c r="E174" s="9" t="inlineStr">
        <is>
          <t>INV-2609-0049</t>
        </is>
      </c>
      <c r="F174" s="12" t="inlineStr">
        <is>
          <t>26.9.9</t>
        </is>
      </c>
      <c r="G174" s="12" t="inlineStr">
        <is>
          <t>26.12.8</t>
        </is>
      </c>
      <c r="H174" s="11" t="n">
        <v>13706</v>
      </c>
      <c r="I174" s="11" t="n">
        <v>68600</v>
      </c>
      <c r="J174" s="12" t="inlineStr">
        <is>
          <t>CNY</t>
        </is>
      </c>
      <c r="K174" s="9" t="n"/>
    </row>
    <row r="175" ht="19.5" customHeight="1">
      <c r="A175" s="14" t="inlineStr">
        <is>
          <t>영업1팀 F 소계</t>
        </is>
      </c>
      <c r="B175" s="14" t="n"/>
      <c r="C175" s="14" t="n"/>
      <c r="D175" s="14" t="n"/>
      <c r="E175" s="14" t="n"/>
      <c r="F175" s="14" t="n"/>
      <c r="G175" s="14" t="n"/>
      <c r="H175" s="15">
        <f>SUM(H146:H174)</f>
        <v>629141</v>
      </c>
      <c r="I175" s="14" t="n"/>
      <c r="J175" s="14" t="n"/>
      <c r="K175" s="14" t="n"/>
    </row>
    <row r="176" ht="19.5" customHeight="1"/>
    <row r="177">
      <c r="A177" s="16" t="inlineStr">
        <is>
          <t>합계</t>
        </is>
      </c>
      <c r="B177" s="16" t="n"/>
      <c r="C177" s="16" t="n"/>
      <c r="D177" s="16" t="n"/>
      <c r="E177" s="16" t="n"/>
      <c r="F177" s="16" t="n"/>
      <c r="G177" s="16" t="n"/>
      <c r="H177" s="17">
        <f>H23+H51+H80+H111+H144+H175</f>
        <v>5322816</v>
      </c>
      <c r="I177" s="16" t="n"/>
      <c r="J177" s="16" t="n"/>
      <c r="K177" s="16" t="n"/>
    </row>
  </sheetData>
  <mergeCells count="10">
    <mergeCell ref="K3:K4"/>
    <mergeCell ref="C3:C4"/>
    <mergeCell ref="B3:B4"/>
    <mergeCell ref="A3:A4"/>
    <mergeCell ref="E3:E4"/>
    <mergeCell ref="G3:G4"/>
    <mergeCell ref="F3:F4"/>
    <mergeCell ref="D3:D4"/>
    <mergeCell ref="H3:J3"/>
    <mergeCell ref="A1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19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6" customWidth="1" min="10" max="10"/>
    <col width="27" customWidth="1" min="11" max="11"/>
  </cols>
  <sheetData>
    <row r="1" ht="22" customHeight="1">
      <c r="A1" s="1" t="inlineStr">
        <is>
          <t>2026년 9월말 미수금 현황 (단위: 천원)</t>
        </is>
      </c>
    </row>
    <row r="2" ht="22" customHeight="1"/>
    <row r="3">
      <c r="A3" s="8" t="inlineStr">
        <is>
          <t>담당</t>
        </is>
      </c>
      <c r="B3" s="8" t="inlineStr">
        <is>
          <t>바이어</t>
        </is>
      </c>
      <c r="C3" s="8" t="inlineStr">
        <is>
          <t>국가</t>
        </is>
      </c>
      <c r="D3" s="8" t="inlineStr">
        <is>
          <t>결제조건</t>
        </is>
      </c>
      <c r="E3" s="8" t="inlineStr">
        <is>
          <t>인보이스 번호</t>
        </is>
      </c>
      <c r="F3" s="8" t="inlineStr">
        <is>
          <t>선적일</t>
        </is>
      </c>
      <c r="G3" s="8" t="inlineStr">
        <is>
          <t>만기일</t>
        </is>
      </c>
      <c r="H3" s="8" t="inlineStr">
        <is>
          <t>금액</t>
        </is>
      </c>
      <c r="I3" s="8" t="n"/>
      <c r="J3" s="8" t="n"/>
      <c r="K3" s="8" t="inlineStr">
        <is>
          <t>메모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inlineStr">
        <is>
          <t>원화(천원)</t>
        </is>
      </c>
      <c r="I4" s="8" t="inlineStr">
        <is>
          <t>외화</t>
        </is>
      </c>
      <c r="J4" s="8" t="inlineStr">
        <is>
          <t>통화</t>
        </is>
      </c>
      <c r="K4" s="8" t="n"/>
    </row>
    <row r="5" ht="19.5" customHeight="1">
      <c r="A5" s="9" t="inlineStr">
        <is>
          <t>영업2팀 A</t>
        </is>
      </c>
      <c r="B5" s="9" t="inlineStr">
        <is>
          <t>Calova Automation Inc.</t>
        </is>
      </c>
      <c r="C5" s="9" t="inlineStr">
        <is>
          <t>United States</t>
        </is>
      </c>
      <c r="D5" s="9" t="inlineStr">
        <is>
          <t>사후송금 60일</t>
        </is>
      </c>
      <c r="E5" s="9" t="inlineStr">
        <is>
          <t>INV-2609-0114</t>
        </is>
      </c>
      <c r="F5" s="10" t="n">
        <v>46286</v>
      </c>
      <c r="G5" s="10" t="n">
        <v>46346</v>
      </c>
      <c r="H5" s="11" t="n">
        <v>10380</v>
      </c>
      <c r="I5" s="11" t="n">
        <v>7550</v>
      </c>
      <c r="J5" s="12" t="inlineStr">
        <is>
          <t>USD</t>
        </is>
      </c>
      <c r="K5" s="9" t="n"/>
    </row>
    <row r="6" ht="19.5" customHeight="1">
      <c r="A6" s="9" t="inlineStr">
        <is>
          <t>영업2팀 A</t>
        </is>
      </c>
      <c r="B6" s="9" t="inlineStr">
        <is>
          <t>Camolin Instrumentación S.A. de C.V.</t>
        </is>
      </c>
      <c r="C6" s="9" t="inlineStr">
        <is>
          <t>Mexico</t>
        </is>
      </c>
      <c r="D6" s="9" t="inlineStr">
        <is>
          <t>O/A 60일</t>
        </is>
      </c>
      <c r="E6" s="9" t="inlineStr">
        <is>
          <t>INV-2605-0106</t>
        </is>
      </c>
      <c r="F6" s="10" t="n">
        <v>46161</v>
      </c>
      <c r="G6" s="12" t="inlineStr">
        <is>
          <t>7월 18일</t>
        </is>
      </c>
      <c r="H6" s="11" t="n">
        <v>47925</v>
      </c>
      <c r="I6" s="11" t="n">
        <v>31770</v>
      </c>
      <c r="J6" s="12" t="inlineStr">
        <is>
          <t>USD</t>
        </is>
      </c>
      <c r="K6" s="9" t="n"/>
    </row>
    <row r="7" ht="19.5" customHeight="1">
      <c r="A7" s="9" t="inlineStr">
        <is>
          <t>영업2팀 A</t>
        </is>
      </c>
      <c r="B7" s="9" t="inlineStr">
        <is>
          <t>Camolin Instrumentación S.A. de C.V.</t>
        </is>
      </c>
      <c r="C7" s="9" t="inlineStr">
        <is>
          <t>Mexico</t>
        </is>
      </c>
      <c r="D7" s="9" t="inlineStr">
        <is>
          <t>사후송금 60일</t>
        </is>
      </c>
      <c r="E7" s="9" t="inlineStr">
        <is>
          <t>INV-2605-0135</t>
        </is>
      </c>
      <c r="F7" s="10" t="n">
        <v>46167</v>
      </c>
      <c r="G7" s="10" t="n">
        <v>46227</v>
      </c>
      <c r="H7" s="11" t="n">
        <v>9741</v>
      </c>
      <c r="I7" s="11" t="n">
        <v>6420</v>
      </c>
      <c r="J7" s="12" t="inlineStr">
        <is>
          <t>US$</t>
        </is>
      </c>
      <c r="K7" s="9" t="n"/>
    </row>
    <row r="8" ht="19.5" customHeight="1">
      <c r="A8" s="9" t="inlineStr">
        <is>
          <t>영업2팀 A</t>
        </is>
      </c>
      <c r="B8" s="9" t="inlineStr">
        <is>
          <t>Camolin Instrumentación S.A. de C.V.</t>
        </is>
      </c>
      <c r="C8" s="9" t="inlineStr">
        <is>
          <t>Mexico</t>
        </is>
      </c>
      <c r="D8" s="9" t="inlineStr">
        <is>
          <t>O/A 60</t>
        </is>
      </c>
      <c r="E8" s="9" t="inlineStr">
        <is>
          <t>INV-2607-0093</t>
        </is>
      </c>
      <c r="F8" s="10" t="n">
        <v>46220</v>
      </c>
      <c r="G8" s="10" t="n">
        <v>46280</v>
      </c>
      <c r="H8" s="11" t="n">
        <v>40855</v>
      </c>
      <c r="I8" s="11" t="n">
        <v>27430</v>
      </c>
      <c r="J8" s="12" t="inlineStr">
        <is>
          <t>USD</t>
        </is>
      </c>
      <c r="K8" s="9" t="n"/>
    </row>
    <row r="9" ht="19.5" customHeight="1">
      <c r="A9" s="9" t="inlineStr">
        <is>
          <t>영업2팀 A</t>
        </is>
      </c>
      <c r="B9" s="9" t="inlineStr">
        <is>
          <t>Camolin Instrumentación S.A. de C.V.</t>
        </is>
      </c>
      <c r="C9" s="9" t="inlineStr">
        <is>
          <t>Mexico</t>
        </is>
      </c>
      <c r="D9" s="9" t="inlineStr">
        <is>
          <t>OA60days</t>
        </is>
      </c>
      <c r="E9" s="9" t="inlineStr">
        <is>
          <t>INV-2609-0037</t>
        </is>
      </c>
      <c r="F9" s="10" t="n">
        <v>46271</v>
      </c>
      <c r="G9" s="10" t="n">
        <v>46331</v>
      </c>
      <c r="H9" s="11" t="n">
        <v>46131</v>
      </c>
      <c r="I9" s="11" t="n">
        <v>34260</v>
      </c>
      <c r="J9" s="12" t="inlineStr">
        <is>
          <t>USD</t>
        </is>
      </c>
      <c r="K9" s="9" t="n"/>
    </row>
    <row r="10" ht="19.5" customHeight="1">
      <c r="A10" s="9" t="inlineStr">
        <is>
          <t>영업2팀 A</t>
        </is>
      </c>
      <c r="B10" s="9" t="inlineStr">
        <is>
          <t>Corari Industrie B.V.</t>
        </is>
      </c>
      <c r="C10" s="9" t="inlineStr">
        <is>
          <t>Netherlands</t>
        </is>
      </c>
      <c r="D10" s="9" t="inlineStr">
        <is>
          <t>OA 30 DAYS</t>
        </is>
      </c>
      <c r="E10" s="9" t="inlineStr">
        <is>
          <t>INV-2609-0014</t>
        </is>
      </c>
      <c r="F10" s="12" t="inlineStr">
        <is>
          <t>26.9.3</t>
        </is>
      </c>
      <c r="G10" s="10" t="n">
        <v>46298</v>
      </c>
      <c r="H10" s="11" t="n">
        <v>3501</v>
      </c>
      <c r="I10" s="11" t="n">
        <v>2220</v>
      </c>
      <c r="J10" s="12" t="inlineStr">
        <is>
          <t>EUR</t>
        </is>
      </c>
      <c r="K10" s="9" t="n"/>
    </row>
    <row r="11" ht="19.5" customHeight="1">
      <c r="A11" s="9" t="inlineStr">
        <is>
          <t>영업2팀 A</t>
        </is>
      </c>
      <c r="B11" s="9" t="inlineStr">
        <is>
          <t>Davix Industrietechnik AG</t>
        </is>
      </c>
      <c r="C11" s="9" t="inlineStr">
        <is>
          <t>Germany</t>
        </is>
      </c>
      <c r="D11" s="9" t="inlineStr">
        <is>
          <t>사후송금 60일</t>
        </is>
      </c>
      <c r="E11" s="9" t="inlineStr">
        <is>
          <t>INV-2608-0098</t>
        </is>
      </c>
      <c r="F11" s="10" t="n">
        <v>46255</v>
      </c>
      <c r="G11" s="10" t="n">
        <v>46315</v>
      </c>
      <c r="H11" s="11" t="n">
        <v>29857</v>
      </c>
      <c r="I11" s="11" t="n">
        <v>18450</v>
      </c>
      <c r="J11" s="12" t="inlineStr">
        <is>
          <t>EUR</t>
        </is>
      </c>
      <c r="K11" s="9" t="n"/>
    </row>
    <row r="12" ht="19.5" customHeight="1">
      <c r="A12" s="9" t="inlineStr">
        <is>
          <t>영업2팀 A</t>
        </is>
      </c>
      <c r="B12" s="9" t="inlineStr">
        <is>
          <t>Davix Industrietechnik AG</t>
        </is>
      </c>
      <c r="C12" s="9" t="inlineStr">
        <is>
          <t>Germany</t>
        </is>
      </c>
      <c r="D12" s="9" t="inlineStr">
        <is>
          <t>O/A 60일</t>
        </is>
      </c>
      <c r="E12" s="9" t="inlineStr">
        <is>
          <t>INV-2609-0006</t>
        </is>
      </c>
      <c r="F12" s="10" t="n">
        <v>46267</v>
      </c>
      <c r="G12" s="10" t="n">
        <v>46327</v>
      </c>
      <c r="H12" s="11" t="n">
        <v>11467</v>
      </c>
      <c r="I12" s="11" t="n">
        <v>7280</v>
      </c>
      <c r="J12" s="12" t="inlineStr">
        <is>
          <t>EUR</t>
        </is>
      </c>
      <c r="K12" s="9" t="inlineStr">
        <is>
          <t>독촉 메일 9/20 발송, 회신 대기</t>
        </is>
      </c>
    </row>
    <row r="13" ht="19.5" customHeight="1">
      <c r="A13" s="9" t="inlineStr">
        <is>
          <t>영업2팀 A</t>
        </is>
      </c>
      <c r="B13" s="9" t="inlineStr">
        <is>
          <t>Davix Industrietechnik AG</t>
        </is>
      </c>
      <c r="C13" s="9" t="inlineStr">
        <is>
          <t>Germany</t>
        </is>
      </c>
      <c r="D13" s="9" t="inlineStr">
        <is>
          <t>OA60days</t>
        </is>
      </c>
      <c r="E13" s="9" t="inlineStr">
        <is>
          <t>INV-2609-0105</t>
        </is>
      </c>
      <c r="F13" s="10" t="n">
        <v>46285</v>
      </c>
      <c r="G13" s="10" t="n">
        <v>46345</v>
      </c>
      <c r="H13" s="11" t="n">
        <v>72907</v>
      </c>
      <c r="I13" s="11" t="n">
        <v>45820</v>
      </c>
      <c r="J13" s="12" t="inlineStr">
        <is>
          <t>EUR</t>
        </is>
      </c>
      <c r="K13" s="9" t="n"/>
    </row>
    <row r="14" ht="19.5" customHeight="1">
      <c r="A14" s="9" t="inlineStr">
        <is>
          <t>영업2팀 A</t>
        </is>
      </c>
      <c r="B14" s="9" t="inlineStr">
        <is>
          <t>Dorova Trading Corp.</t>
        </is>
      </c>
      <c r="C14" s="9" t="inlineStr">
        <is>
          <t>United States</t>
        </is>
      </c>
      <c r="D14" s="9" t="inlineStr">
        <is>
          <t>사후송금 90일</t>
        </is>
      </c>
      <c r="E14" s="9" t="inlineStr">
        <is>
          <t>INV-2608-0097</t>
        </is>
      </c>
      <c r="F14" s="10" t="n">
        <v>46254</v>
      </c>
      <c r="G14" s="10" t="n">
        <v>46344</v>
      </c>
      <c r="H14" s="11" t="n">
        <v>17570</v>
      </c>
      <c r="I14" s="11" t="n">
        <v>12610</v>
      </c>
      <c r="J14" s="12" t="inlineStr">
        <is>
          <t>USD</t>
        </is>
      </c>
      <c r="K14" s="9" t="n"/>
    </row>
    <row r="15" ht="19.5" customHeight="1">
      <c r="A15" s="9" t="inlineStr">
        <is>
          <t>영업2팀 A</t>
        </is>
      </c>
      <c r="B15" s="9" t="inlineStr">
        <is>
          <t>Dorova Trading Corp.</t>
        </is>
      </c>
      <c r="C15" s="9" t="inlineStr">
        <is>
          <t>USA</t>
        </is>
      </c>
      <c r="D15" s="9" t="inlineStr">
        <is>
          <t>사후송금 90일</t>
        </is>
      </c>
      <c r="E15" s="9" t="inlineStr">
        <is>
          <t>INV-2609-0084</t>
        </is>
      </c>
      <c r="F15" s="10" t="n">
        <v>46280</v>
      </c>
      <c r="G15" s="10" t="n">
        <v>46370</v>
      </c>
      <c r="H15" s="11" t="n">
        <v>15539</v>
      </c>
      <c r="I15" s="11" t="n">
        <v>11410</v>
      </c>
      <c r="J15" s="12" t="inlineStr">
        <is>
          <t>USD</t>
        </is>
      </c>
      <c r="K15" s="9" t="n"/>
    </row>
    <row r="16" ht="19.5" customHeight="1">
      <c r="A16" s="9" t="inlineStr">
        <is>
          <t>영업2팀 A</t>
        </is>
      </c>
      <c r="B16" s="9" t="inlineStr">
        <is>
          <t>Halano Handelsgesellschaft GmbH</t>
        </is>
      </c>
      <c r="C16" s="9" t="inlineStr">
        <is>
          <t>Germany</t>
        </is>
      </c>
      <c r="D16" s="9" t="inlineStr">
        <is>
          <t>O/A 30</t>
        </is>
      </c>
      <c r="E16" s="9" t="inlineStr">
        <is>
          <t>INV-2609-0011</t>
        </is>
      </c>
      <c r="F16" s="10" t="n">
        <v>46267</v>
      </c>
      <c r="G16" s="10" t="n">
        <v>46297</v>
      </c>
      <c r="H16" s="11" t="n">
        <v>13373</v>
      </c>
      <c r="I16" s="11" t="n">
        <v>8490</v>
      </c>
      <c r="J16" s="12" t="inlineStr">
        <is>
          <t>EUR</t>
        </is>
      </c>
      <c r="K16" s="9" t="n"/>
    </row>
    <row r="17" ht="19.5" customHeight="1">
      <c r="A17" s="9" t="inlineStr">
        <is>
          <t>영업2팀 A</t>
        </is>
      </c>
      <c r="B17" s="9" t="inlineStr">
        <is>
          <t>Korolin Instruments LLC</t>
        </is>
      </c>
      <c r="C17" s="9" t="inlineStr">
        <is>
          <t>United States</t>
        </is>
      </c>
      <c r="D17" s="9" t="inlineStr">
        <is>
          <t>OA60days</t>
        </is>
      </c>
      <c r="E17" s="9" t="inlineStr">
        <is>
          <t>INV-2608-0049</t>
        </is>
      </c>
      <c r="F17" s="10" t="n">
        <v>46245</v>
      </c>
      <c r="G17" s="10" t="n">
        <v>46305</v>
      </c>
      <c r="H17" s="11" t="n">
        <v>4606</v>
      </c>
      <c r="I17" s="11" t="n">
        <v>3260</v>
      </c>
      <c r="J17" s="12" t="inlineStr">
        <is>
          <t>USD</t>
        </is>
      </c>
      <c r="K17" s="9" t="n"/>
    </row>
    <row r="18" ht="19.5" customHeight="1">
      <c r="A18" s="9" t="inlineStr">
        <is>
          <t>영업2팀 A</t>
        </is>
      </c>
      <c r="B18" s="9" t="inlineStr">
        <is>
          <t>Korolin Instruments LLC</t>
        </is>
      </c>
      <c r="C18" s="9" t="inlineStr">
        <is>
          <t>United States</t>
        </is>
      </c>
      <c r="D18" s="9" t="inlineStr">
        <is>
          <t>OA 60 DAYS</t>
        </is>
      </c>
      <c r="E18" s="9" t="inlineStr">
        <is>
          <t>INV-2608-0141</t>
        </is>
      </c>
      <c r="F18" s="10" t="n">
        <v>46263</v>
      </c>
      <c r="G18" s="10" t="n">
        <v>46323</v>
      </c>
      <c r="H18" s="11" t="n">
        <v>54597</v>
      </c>
      <c r="I18" s="11" t="n">
        <v>39580</v>
      </c>
      <c r="J18" s="12" t="inlineStr">
        <is>
          <t>USD</t>
        </is>
      </c>
      <c r="K18" s="9" t="n"/>
    </row>
    <row r="19" ht="19.5" customHeight="1">
      <c r="A19" s="9" t="inlineStr">
        <is>
          <t>영업2팀 A</t>
        </is>
      </c>
      <c r="B19" s="9" t="inlineStr">
        <is>
          <t>Korolin Instruments LLC</t>
        </is>
      </c>
      <c r="C19" s="9" t="inlineStr">
        <is>
          <t>United States</t>
        </is>
      </c>
      <c r="D19" s="9" t="inlineStr">
        <is>
          <t>사후송금 60일</t>
        </is>
      </c>
      <c r="E19" s="9" t="inlineStr">
        <is>
          <t>INV-2608-0145</t>
        </is>
      </c>
      <c r="F19" s="10" t="n">
        <v>46264</v>
      </c>
      <c r="G19" s="10" t="n">
        <v>46324</v>
      </c>
      <c r="H19" s="11" t="n">
        <v>17836</v>
      </c>
      <c r="I19" s="11" t="n">
        <v>12930</v>
      </c>
      <c r="J19" s="12" t="inlineStr">
        <is>
          <t>USD</t>
        </is>
      </c>
      <c r="K19" s="9" t="n"/>
    </row>
    <row r="20" ht="19.5" customHeight="1">
      <c r="A20" s="9" t="inlineStr">
        <is>
          <t>영업2팀 A</t>
        </is>
      </c>
      <c r="B20" s="9" t="inlineStr">
        <is>
          <t>Korolin Instruments LLC</t>
        </is>
      </c>
      <c r="C20" s="9" t="inlineStr">
        <is>
          <t>United States</t>
        </is>
      </c>
      <c r="D20" s="9" t="inlineStr">
        <is>
          <t>사후송금 60일</t>
        </is>
      </c>
      <c r="E20" s="9" t="inlineStr">
        <is>
          <t>INV-2609-0071</t>
        </is>
      </c>
      <c r="F20" s="10" t="n">
        <v>46278</v>
      </c>
      <c r="G20" s="10" t="n">
        <v>46338</v>
      </c>
      <c r="H20" s="11" t="n">
        <v>16968</v>
      </c>
      <c r="I20" s="11" t="n">
        <v>12660</v>
      </c>
      <c r="J20" s="12" t="inlineStr">
        <is>
          <t>USD</t>
        </is>
      </c>
      <c r="K20" s="9" t="n"/>
    </row>
    <row r="21" ht="19.5" customHeight="1">
      <c r="A21" s="9" t="inlineStr">
        <is>
          <t>영업2팀 A</t>
        </is>
      </c>
      <c r="B21" s="9" t="inlineStr">
        <is>
          <t>Korolin Instruments LLC</t>
        </is>
      </c>
      <c r="C21" s="9" t="inlineStr">
        <is>
          <t>United States</t>
        </is>
      </c>
      <c r="D21" s="9" t="inlineStr">
        <is>
          <t>사후송금 60일</t>
        </is>
      </c>
      <c r="E21" s="9" t="inlineStr">
        <is>
          <t>INV-2609-0152</t>
        </is>
      </c>
      <c r="F21" s="10" t="n">
        <v>46293</v>
      </c>
      <c r="G21" s="10" t="n">
        <v>46353</v>
      </c>
      <c r="H21" s="11" t="n">
        <v>2618</v>
      </c>
      <c r="I21" s="11" t="n">
        <v>1930</v>
      </c>
      <c r="J21" s="12" t="inlineStr">
        <is>
          <t>USD</t>
        </is>
      </c>
      <c r="K21" s="9" t="n"/>
    </row>
    <row r="22" ht="19.5" customHeight="1">
      <c r="A22" s="9" t="inlineStr">
        <is>
          <t>영업2팀 A</t>
        </is>
      </c>
      <c r="B22" s="9" t="inlineStr">
        <is>
          <t>Quinari Instruments Inc.</t>
        </is>
      </c>
      <c r="C22" s="9" t="inlineStr">
        <is>
          <t>United States</t>
        </is>
      </c>
      <c r="D22" s="9" t="inlineStr">
        <is>
          <t>OA 90 DAYS</t>
        </is>
      </c>
      <c r="E22" s="9" t="inlineStr">
        <is>
          <t>INV-2607-0156</t>
        </is>
      </c>
      <c r="F22" s="10" t="n">
        <v>46229</v>
      </c>
      <c r="G22" s="10" t="n">
        <v>46319</v>
      </c>
      <c r="H22" s="11" t="n">
        <v>11204</v>
      </c>
      <c r="I22" s="11" t="n">
        <v>7670</v>
      </c>
      <c r="J22" s="12" t="inlineStr">
        <is>
          <t>USD</t>
        </is>
      </c>
      <c r="K22" s="9" t="n"/>
    </row>
    <row r="23" ht="19.5" customHeight="1">
      <c r="A23" s="9" t="inlineStr">
        <is>
          <t>영업2팀 A</t>
        </is>
      </c>
      <c r="B23" s="9" t="inlineStr">
        <is>
          <t>Quinari Instruments Inc.</t>
        </is>
      </c>
      <c r="C23" s="9" t="inlineStr">
        <is>
          <t>United States</t>
        </is>
      </c>
      <c r="D23" s="9" t="inlineStr">
        <is>
          <t>사후송금 90일</t>
        </is>
      </c>
      <c r="E23" s="9" t="inlineStr">
        <is>
          <t>INV-2608-0093</t>
        </is>
      </c>
      <c r="F23" s="10" t="n">
        <v>46254</v>
      </c>
      <c r="G23" s="10" t="n">
        <v>46344</v>
      </c>
      <c r="H23" s="11" t="n">
        <v>38958</v>
      </c>
      <c r="I23" s="11" t="n">
        <v>27960</v>
      </c>
      <c r="J23" s="12" t="inlineStr">
        <is>
          <t>USD</t>
        </is>
      </c>
      <c r="K23" s="9" t="n"/>
    </row>
    <row r="24" ht="19.5" customHeight="1">
      <c r="A24" s="9" t="inlineStr">
        <is>
          <t>영업2팀 A</t>
        </is>
      </c>
      <c r="B24" s="9" t="inlineStr">
        <is>
          <t>Quinari Instruments Inc.</t>
        </is>
      </c>
      <c r="C24" s="9" t="inlineStr">
        <is>
          <t>United States</t>
        </is>
      </c>
      <c r="D24" s="9" t="inlineStr">
        <is>
          <t>OA90days</t>
        </is>
      </c>
      <c r="E24" s="9" t="inlineStr">
        <is>
          <t>INV-2608-0127</t>
        </is>
      </c>
      <c r="F24" s="10" t="n">
        <v>46260</v>
      </c>
      <c r="G24" s="10" t="n">
        <v>46350</v>
      </c>
      <c r="H24" s="11" t="n">
        <v>20446</v>
      </c>
      <c r="I24" s="11" t="n">
        <v>14750</v>
      </c>
      <c r="J24" s="12" t="inlineStr">
        <is>
          <t>USD</t>
        </is>
      </c>
      <c r="K24" s="9" t="n"/>
    </row>
    <row r="25" ht="19.5" customHeight="1">
      <c r="A25" s="9" t="inlineStr">
        <is>
          <t>영업2팀 A</t>
        </is>
      </c>
      <c r="B25" s="9" t="inlineStr">
        <is>
          <t>Ralora Kogyo K.K.</t>
        </is>
      </c>
      <c r="C25" s="9" t="inlineStr">
        <is>
          <t>Japan</t>
        </is>
      </c>
      <c r="D25" s="9" t="inlineStr">
        <is>
          <t>OA 90 DAYS</t>
        </is>
      </c>
      <c r="E25" s="9" t="inlineStr">
        <is>
          <t>INV-2607-0104</t>
        </is>
      </c>
      <c r="F25" s="10" t="n">
        <v>46221</v>
      </c>
      <c r="G25" s="12" t="inlineStr">
        <is>
          <t>26.10.16</t>
        </is>
      </c>
      <c r="H25" s="11" t="n">
        <v>1962</v>
      </c>
      <c r="I25" s="11" t="n">
        <v>214000</v>
      </c>
      <c r="J25" s="12" t="inlineStr">
        <is>
          <t>JPY</t>
        </is>
      </c>
      <c r="K25" s="9" t="n"/>
    </row>
    <row r="26" ht="19.5" customHeight="1">
      <c r="A26" s="9" t="inlineStr">
        <is>
          <t>영업2팀 A</t>
        </is>
      </c>
      <c r="B26" s="9" t="inlineStr">
        <is>
          <t>Sarant Ingeniería S.A. de C.V.</t>
        </is>
      </c>
      <c r="C26" s="9" t="inlineStr">
        <is>
          <t>Mexico</t>
        </is>
      </c>
      <c r="D26" s="9" t="inlineStr">
        <is>
          <t>사후송금 60일</t>
        </is>
      </c>
      <c r="E26" s="9" t="inlineStr">
        <is>
          <t>INV-2607-0165</t>
        </is>
      </c>
      <c r="F26" s="10" t="n">
        <v>46230</v>
      </c>
      <c r="G26" s="10" t="n">
        <v>46290</v>
      </c>
      <c r="H26" s="11" t="n">
        <v>14954</v>
      </c>
      <c r="I26" s="11" t="n">
        <v>10190</v>
      </c>
      <c r="J26" s="12" t="inlineStr">
        <is>
          <t>USD</t>
        </is>
      </c>
      <c r="K26" s="9" t="n"/>
    </row>
    <row r="27" ht="19.5" customHeight="1">
      <c r="A27" s="9" t="inlineStr">
        <is>
          <t>영업2팀 A</t>
        </is>
      </c>
      <c r="B27" s="9" t="inlineStr">
        <is>
          <t>Tarolin Przemysł Sp. z o.o.</t>
        </is>
      </c>
      <c r="C27" s="9" t="inlineStr">
        <is>
          <t>Poland</t>
        </is>
      </c>
      <c r="D27" s="9" t="inlineStr">
        <is>
          <t>OA 60 DAYS</t>
        </is>
      </c>
      <c r="E27" s="9" t="inlineStr">
        <is>
          <t>INV-2608-0151</t>
        </is>
      </c>
      <c r="F27" s="10" t="n">
        <v>46265</v>
      </c>
      <c r="G27" s="10" t="n">
        <v>46325</v>
      </c>
      <c r="H27" s="11" t="n">
        <v>11731</v>
      </c>
      <c r="I27" s="11" t="n">
        <v>7380</v>
      </c>
      <c r="J27" s="12" t="inlineStr">
        <is>
          <t>EUR</t>
        </is>
      </c>
      <c r="K27" s="9" t="n"/>
    </row>
    <row r="28" ht="19.5" customHeight="1">
      <c r="A28" s="9" t="inlineStr">
        <is>
          <t>영업2팀 A</t>
        </is>
      </c>
      <c r="B28" s="9" t="inlineStr">
        <is>
          <t>Tovera Messtechnik GmbH</t>
        </is>
      </c>
      <c r="C28" s="9" t="inlineStr">
        <is>
          <t>Germany</t>
        </is>
      </c>
      <c r="D28" s="9" t="inlineStr">
        <is>
          <t>O/A 60일</t>
        </is>
      </c>
      <c r="E28" s="9" t="inlineStr">
        <is>
          <t>INV-2605-0022</t>
        </is>
      </c>
      <c r="F28" s="12" t="inlineStr">
        <is>
          <t>26.5.4</t>
        </is>
      </c>
      <c r="G28" s="10" t="n">
        <v>46206</v>
      </c>
      <c r="H28" s="11" t="n">
        <v>10170</v>
      </c>
      <c r="I28" s="11" t="n">
        <v>5890</v>
      </c>
      <c r="J28" s="12" t="inlineStr">
        <is>
          <t>EUR</t>
        </is>
      </c>
      <c r="K28" s="9" t="n"/>
    </row>
    <row r="29" ht="19.5" customHeight="1">
      <c r="A29" s="9" t="inlineStr">
        <is>
          <t>영업2팀 A</t>
        </is>
      </c>
      <c r="B29" s="9" t="inlineStr">
        <is>
          <t>Varant Handelsgesellschaft AG</t>
        </is>
      </c>
      <c r="C29" s="9" t="inlineStr">
        <is>
          <t>Germany</t>
        </is>
      </c>
      <c r="D29" s="9" t="inlineStr">
        <is>
          <t>D/A 90일</t>
        </is>
      </c>
      <c r="E29" s="9" t="inlineStr">
        <is>
          <t>INV-2609-0039</t>
        </is>
      </c>
      <c r="F29" s="12" t="inlineStr">
        <is>
          <t>26.9.6</t>
        </is>
      </c>
      <c r="G29" s="10" t="n">
        <v>46361</v>
      </c>
      <c r="H29" s="11" t="n">
        <v>12265</v>
      </c>
      <c r="I29" s="11" t="n">
        <v>7840</v>
      </c>
      <c r="J29" s="12" t="inlineStr">
        <is>
          <t>EUR</t>
        </is>
      </c>
      <c r="K29" s="9" t="n"/>
    </row>
    <row r="30" ht="19.5" customHeight="1">
      <c r="A30" s="9" t="inlineStr">
        <is>
          <t>영업2팀 A</t>
        </is>
      </c>
      <c r="B30" s="9" t="inlineStr">
        <is>
          <t>Varant Handelsgesellschaft AG</t>
        </is>
      </c>
      <c r="C30" s="9" t="inlineStr">
        <is>
          <t>Germany</t>
        </is>
      </c>
      <c r="D30" s="9" t="inlineStr">
        <is>
          <t>D/A 90</t>
        </is>
      </c>
      <c r="E30" s="9" t="inlineStr">
        <is>
          <t>INV-2609-0101</t>
        </is>
      </c>
      <c r="F30" s="12" t="inlineStr">
        <is>
          <t>26.9.19</t>
        </is>
      </c>
      <c r="G30" s="10" t="n">
        <v>46374</v>
      </c>
      <c r="H30" s="13" t="inlineStr">
        <is>
          <t>47,560</t>
        </is>
      </c>
      <c r="I30" s="11" t="n">
        <v>29890</v>
      </c>
      <c r="J30" s="12" t="inlineStr">
        <is>
          <t>EUR</t>
        </is>
      </c>
      <c r="K30" s="9" t="n"/>
    </row>
    <row r="31" ht="19.5" customHeight="1">
      <c r="A31" s="14" t="inlineStr">
        <is>
          <t>영업2팀 A 소계</t>
        </is>
      </c>
      <c r="B31" s="14" t="n"/>
      <c r="C31" s="14" t="n"/>
      <c r="D31" s="14" t="n"/>
      <c r="E31" s="14" t="n"/>
      <c r="F31" s="14" t="n"/>
      <c r="G31" s="14" t="n"/>
      <c r="H31" s="15">
        <f>SUM(H5:H30)</f>
        <v>537561</v>
      </c>
      <c r="I31" s="14" t="n"/>
      <c r="J31" s="14" t="n"/>
      <c r="K31" s="14" t="n"/>
    </row>
    <row r="32" ht="19.5" customHeight="1"/>
    <row r="33" ht="19.5" customHeight="1">
      <c r="A33" s="9" t="inlineStr">
        <is>
          <t>영업2팀 B</t>
        </is>
      </c>
      <c r="B33" s="9" t="inlineStr">
        <is>
          <t>Briella Manufacturing plc</t>
        </is>
      </c>
      <c r="C33" s="9" t="inlineStr">
        <is>
          <t>United Kingdom</t>
        </is>
      </c>
      <c r="D33" s="9" t="inlineStr">
        <is>
          <t>사후송금 90일</t>
        </is>
      </c>
      <c r="E33" s="9" t="inlineStr">
        <is>
          <t>INV-2607-0079</t>
        </is>
      </c>
      <c r="F33" s="12" t="inlineStr">
        <is>
          <t>7월 14일</t>
        </is>
      </c>
      <c r="G33" s="12" t="inlineStr">
        <is>
          <t>10월 12일</t>
        </is>
      </c>
      <c r="H33" s="11" t="n">
        <v>7690</v>
      </c>
      <c r="I33" s="11" t="n">
        <v>5160</v>
      </c>
      <c r="J33" s="12" t="inlineStr">
        <is>
          <t>USD</t>
        </is>
      </c>
      <c r="K33" s="9" t="n"/>
    </row>
    <row r="34" ht="19.5" customHeight="1">
      <c r="A34" s="9" t="inlineStr">
        <is>
          <t>영업2팀 B</t>
        </is>
      </c>
      <c r="B34" s="9" t="inlineStr">
        <is>
          <t>Briella Manufacturing plc</t>
        </is>
      </c>
      <c r="C34" s="9" t="inlineStr">
        <is>
          <t>United Kingdom</t>
        </is>
      </c>
      <c r="D34" s="9" t="inlineStr">
        <is>
          <t>OA 90 DAYS</t>
        </is>
      </c>
      <c r="E34" s="9" t="inlineStr">
        <is>
          <t>INV-2607-0148</t>
        </is>
      </c>
      <c r="F34" s="12" t="inlineStr">
        <is>
          <t>26.7.23</t>
        </is>
      </c>
      <c r="G34" s="12" t="inlineStr">
        <is>
          <t>10월 21일</t>
        </is>
      </c>
      <c r="H34" s="11" t="n">
        <v>10398</v>
      </c>
      <c r="I34" s="11" t="n">
        <v>7050</v>
      </c>
      <c r="J34" s="12" t="inlineStr">
        <is>
          <t>USD</t>
        </is>
      </c>
      <c r="K34" s="9" t="n"/>
    </row>
    <row r="35" ht="19.5" customHeight="1">
      <c r="A35" s="9" t="inlineStr">
        <is>
          <t>영업2팀 B</t>
        </is>
      </c>
      <c r="B35" s="9" t="inlineStr">
        <is>
          <t>Briella Manufacturing plc</t>
        </is>
      </c>
      <c r="C35" s="9" t="inlineStr">
        <is>
          <t>United Kingdom</t>
        </is>
      </c>
      <c r="D35" s="9" t="inlineStr">
        <is>
          <t>OA90days</t>
        </is>
      </c>
      <c r="E35" s="9" t="inlineStr">
        <is>
          <t>INV-2608-0006</t>
        </is>
      </c>
      <c r="F35" s="12" t="inlineStr">
        <is>
          <t>8월 1일</t>
        </is>
      </c>
      <c r="G35" s="12" t="inlineStr">
        <is>
          <t>10월 30일</t>
        </is>
      </c>
      <c r="H35" s="11" t="n">
        <v>10561</v>
      </c>
      <c r="I35" s="11" t="n">
        <v>7350</v>
      </c>
      <c r="J35" s="12" t="inlineStr">
        <is>
          <t>USD</t>
        </is>
      </c>
      <c r="K35" s="9" t="n"/>
    </row>
    <row r="36" ht="19.5" customHeight="1">
      <c r="A36" s="9" t="inlineStr">
        <is>
          <t>영업2팀 B</t>
        </is>
      </c>
      <c r="B36" s="9" t="inlineStr">
        <is>
          <t>Briella Manufacturing plc</t>
        </is>
      </c>
      <c r="C36" s="9" t="inlineStr">
        <is>
          <t>UK</t>
        </is>
      </c>
      <c r="D36" s="9" t="inlineStr">
        <is>
          <t>O/A 90일</t>
        </is>
      </c>
      <c r="E36" s="9" t="inlineStr">
        <is>
          <t>INV-2608-0016</t>
        </is>
      </c>
      <c r="F36" s="12" t="inlineStr">
        <is>
          <t>8월 3일</t>
        </is>
      </c>
      <c r="G36" s="10" t="n">
        <v>46327</v>
      </c>
      <c r="H36" s="11" t="n">
        <v>40712</v>
      </c>
      <c r="I36" s="11" t="n">
        <v>28460</v>
      </c>
      <c r="J36" s="12" t="inlineStr">
        <is>
          <t>USD</t>
        </is>
      </c>
      <c r="K36" s="9" t="n"/>
    </row>
    <row r="37" ht="19.5" customHeight="1">
      <c r="A37" s="9" t="inlineStr">
        <is>
          <t>영업2팀 B</t>
        </is>
      </c>
      <c r="B37" s="9" t="inlineStr">
        <is>
          <t>Briella Manufacturing plc</t>
        </is>
      </c>
      <c r="C37" s="9" t="inlineStr">
        <is>
          <t>United Kingdom</t>
        </is>
      </c>
      <c r="D37" s="9" t="inlineStr">
        <is>
          <t>OA90days</t>
        </is>
      </c>
      <c r="E37" s="9" t="inlineStr">
        <is>
          <t>INV-2608-0075</t>
        </is>
      </c>
      <c r="F37" s="12" t="inlineStr">
        <is>
          <t>8월 16일</t>
        </is>
      </c>
      <c r="G37" s="12" t="inlineStr">
        <is>
          <t>11월 14일</t>
        </is>
      </c>
      <c r="H37" s="11" t="n">
        <v>42146</v>
      </c>
      <c r="I37" s="11" t="n">
        <v>29800</v>
      </c>
      <c r="J37" s="12" t="inlineStr">
        <is>
          <t>USD</t>
        </is>
      </c>
      <c r="K37" s="9" t="n"/>
    </row>
    <row r="38" ht="19.5" customHeight="1">
      <c r="A38" s="9" t="inlineStr">
        <is>
          <t>영업2팀 B</t>
        </is>
      </c>
      <c r="B38" s="9" t="inlineStr">
        <is>
          <t>Briella Manufacturing plc</t>
        </is>
      </c>
      <c r="C38" s="9" t="inlineStr">
        <is>
          <t>United Kingdom</t>
        </is>
      </c>
      <c r="D38" s="9" t="inlineStr">
        <is>
          <t>OA 90 DAYS</t>
        </is>
      </c>
      <c r="E38" s="9" t="inlineStr">
        <is>
          <t>INV-2609-0028</t>
        </is>
      </c>
      <c r="F38" s="12" t="inlineStr">
        <is>
          <t>9월 4일</t>
        </is>
      </c>
      <c r="G38" s="12" t="inlineStr">
        <is>
          <t>12월 3일</t>
        </is>
      </c>
      <c r="H38" s="11" t="n">
        <v>6113</v>
      </c>
      <c r="I38" s="11" t="n">
        <v>4540</v>
      </c>
      <c r="J38" s="12" t="inlineStr">
        <is>
          <t>USD</t>
        </is>
      </c>
      <c r="K38" s="9" t="n"/>
    </row>
    <row r="39" ht="19.5" customHeight="1">
      <c r="A39" s="9" t="inlineStr">
        <is>
          <t>영업2팀 B</t>
        </is>
      </c>
      <c r="B39" s="9" t="inlineStr">
        <is>
          <t>Halera Instruments Ltd</t>
        </is>
      </c>
      <c r="C39" s="9" t="inlineStr">
        <is>
          <t>UK</t>
        </is>
      </c>
      <c r="D39" s="9" t="inlineStr">
        <is>
          <t>O/A 60</t>
        </is>
      </c>
      <c r="E39" s="9" t="inlineStr">
        <is>
          <t>INV-2609-0142</t>
        </is>
      </c>
      <c r="F39" s="12" t="inlineStr">
        <is>
          <t>9월 26일</t>
        </is>
      </c>
      <c r="G39" s="12" t="inlineStr">
        <is>
          <t>11월 25일</t>
        </is>
      </c>
      <c r="H39" s="11" t="n">
        <v>2157</v>
      </c>
      <c r="I39" s="11" t="n">
        <v>1590</v>
      </c>
      <c r="J39" s="12" t="inlineStr">
        <is>
          <t>USD</t>
        </is>
      </c>
      <c r="K39" s="9" t="n"/>
    </row>
    <row r="40" ht="19.5" customHeight="1">
      <c r="A40" s="9" t="inlineStr">
        <is>
          <t>영업2팀 B</t>
        </is>
      </c>
      <c r="B40" s="9" t="inlineStr">
        <is>
          <t>Korari Handel Sp. z o.o.</t>
        </is>
      </c>
      <c r="C40" s="9" t="inlineStr">
        <is>
          <t>Poland</t>
        </is>
      </c>
      <c r="D40" s="9" t="inlineStr">
        <is>
          <t>사후송금 90일</t>
        </is>
      </c>
      <c r="E40" s="9" t="inlineStr">
        <is>
          <t>INV-2608-0061</t>
        </is>
      </c>
      <c r="F40" s="12" t="inlineStr">
        <is>
          <t>8월 14일</t>
        </is>
      </c>
      <c r="G40" s="12" t="inlineStr">
        <is>
          <t>11월 12일</t>
        </is>
      </c>
      <c r="H40" s="11" t="n">
        <v>5995</v>
      </c>
      <c r="I40" s="11" t="n">
        <v>3660</v>
      </c>
      <c r="J40" s="12" t="inlineStr">
        <is>
          <t>EUR</t>
        </is>
      </c>
      <c r="K40" s="9" t="n"/>
    </row>
    <row r="41" ht="19.5" customHeight="1">
      <c r="A41" s="9" t="inlineStr">
        <is>
          <t>영업2팀 B</t>
        </is>
      </c>
      <c r="B41" s="9" t="inlineStr">
        <is>
          <t>Korari Handel Sp. z o.o.</t>
        </is>
      </c>
      <c r="C41" s="9" t="inlineStr">
        <is>
          <t>Poland</t>
        </is>
      </c>
      <c r="D41" s="9" t="inlineStr">
        <is>
          <t>사후송금 90일</t>
        </is>
      </c>
      <c r="E41" s="9" t="inlineStr">
        <is>
          <t>INV-2608-0095</t>
        </is>
      </c>
      <c r="F41" s="12" t="inlineStr">
        <is>
          <t>8월 20일</t>
        </is>
      </c>
      <c r="G41" s="12" t="inlineStr">
        <is>
          <t>26.11.18</t>
        </is>
      </c>
      <c r="H41" s="11" t="n">
        <v>25565</v>
      </c>
      <c r="I41" s="11" t="n">
        <v>15710</v>
      </c>
      <c r="J41" s="12" t="inlineStr">
        <is>
          <t>EUR</t>
        </is>
      </c>
      <c r="K41" s="9" t="n"/>
    </row>
    <row r="42" ht="19.5" customHeight="1">
      <c r="A42" s="9" t="inlineStr">
        <is>
          <t>영업2팀 B</t>
        </is>
      </c>
      <c r="B42" s="9" t="inlineStr">
        <is>
          <t>Korari Handel Sp. z o.o.</t>
        </is>
      </c>
      <c r="C42" s="9" t="inlineStr">
        <is>
          <t>Poland</t>
        </is>
      </c>
      <c r="D42" s="9" t="inlineStr">
        <is>
          <t>O/A 90일</t>
        </is>
      </c>
      <c r="E42" s="9" t="inlineStr">
        <is>
          <t>INV-2608-0128</t>
        </is>
      </c>
      <c r="F42" s="12" t="inlineStr">
        <is>
          <t>8월 26일</t>
        </is>
      </c>
      <c r="G42" s="12" t="inlineStr">
        <is>
          <t>11월 24일</t>
        </is>
      </c>
      <c r="H42" s="11" t="n">
        <v>1502</v>
      </c>
      <c r="I42" s="11" t="n">
        <v>930</v>
      </c>
      <c r="J42" s="12" t="inlineStr">
        <is>
          <t>EUR</t>
        </is>
      </c>
      <c r="K42" s="9" t="n"/>
    </row>
    <row r="43" ht="19.5" customHeight="1">
      <c r="A43" s="9" t="inlineStr">
        <is>
          <t>영업2팀 B</t>
        </is>
      </c>
      <c r="B43" s="9" t="inlineStr">
        <is>
          <t>Korari Handel Sp. z o.o.</t>
        </is>
      </c>
      <c r="C43" s="9" t="inlineStr">
        <is>
          <t>Poland</t>
        </is>
      </c>
      <c r="D43" s="9" t="inlineStr">
        <is>
          <t>OA 90 DAYS</t>
        </is>
      </c>
      <c r="E43" s="9" t="inlineStr">
        <is>
          <t>INV-2609-0121</t>
        </is>
      </c>
      <c r="F43" s="12" t="inlineStr">
        <is>
          <t>9월 23일</t>
        </is>
      </c>
      <c r="G43" s="12" t="inlineStr">
        <is>
          <t>12월 22일</t>
        </is>
      </c>
      <c r="H43" s="11" t="n">
        <v>5903</v>
      </c>
      <c r="I43" s="11" t="n">
        <v>3790</v>
      </c>
      <c r="J43" s="12" t="inlineStr">
        <is>
          <t>EUR</t>
        </is>
      </c>
      <c r="K43" s="9" t="n"/>
    </row>
    <row r="44" ht="19.5" customHeight="1">
      <c r="A44" s="9" t="inlineStr">
        <is>
          <t>영업2팀 B</t>
        </is>
      </c>
      <c r="B44" s="9" t="inlineStr">
        <is>
          <t>Korari Handel Sp. z o.o.</t>
        </is>
      </c>
      <c r="C44" s="9" t="inlineStr">
        <is>
          <t>Poland</t>
        </is>
      </c>
      <c r="D44" s="9" t="inlineStr">
        <is>
          <t>O/A 90</t>
        </is>
      </c>
      <c r="E44" s="9" t="inlineStr">
        <is>
          <t>INV-2609-0140</t>
        </is>
      </c>
      <c r="F44" s="12" t="inlineStr">
        <is>
          <t>9월 26일</t>
        </is>
      </c>
      <c r="G44" s="12" t="inlineStr">
        <is>
          <t>12월 25일</t>
        </is>
      </c>
      <c r="H44" s="11" t="n">
        <v>16856</v>
      </c>
      <c r="I44" s="11" t="n">
        <v>10900</v>
      </c>
      <c r="J44" s="12" t="inlineStr">
        <is>
          <t>EUR</t>
        </is>
      </c>
      <c r="K44" s="9" t="n"/>
    </row>
    <row r="45" ht="19.5" customHeight="1">
      <c r="A45" s="9" t="inlineStr">
        <is>
          <t>영업2팀 B</t>
        </is>
      </c>
      <c r="B45" s="9" t="inlineStr">
        <is>
          <t>Oroasta Handelsgesellschaft AG</t>
        </is>
      </c>
      <c r="C45" s="9" t="inlineStr">
        <is>
          <t>Germany</t>
        </is>
      </c>
      <c r="D45" s="9" t="inlineStr">
        <is>
          <t>O/A 90일</t>
        </is>
      </c>
      <c r="E45" s="9" t="inlineStr">
        <is>
          <t>INV-2607-0137</t>
        </is>
      </c>
      <c r="F45" s="12" t="inlineStr">
        <is>
          <t>7월 22일</t>
        </is>
      </c>
      <c r="G45" s="12" t="inlineStr">
        <is>
          <t>10월 20일</t>
        </is>
      </c>
      <c r="H45" s="11" t="n">
        <v>60254</v>
      </c>
      <c r="I45" s="11" t="n">
        <v>35750</v>
      </c>
      <c r="J45" s="12" t="inlineStr">
        <is>
          <t>EUR</t>
        </is>
      </c>
      <c r="K45" s="9" t="n"/>
    </row>
    <row r="46" ht="19.5" customHeight="1">
      <c r="A46" s="9" t="inlineStr">
        <is>
          <t>영업2팀 B</t>
        </is>
      </c>
      <c r="B46" s="9" t="inlineStr">
        <is>
          <t>Oroasta Handelsgesellschaft AG</t>
        </is>
      </c>
      <c r="C46" s="9" t="inlineStr">
        <is>
          <t>Germany</t>
        </is>
      </c>
      <c r="D46" s="9" t="inlineStr">
        <is>
          <t>O/A 90</t>
        </is>
      </c>
      <c r="E46" s="9" t="inlineStr">
        <is>
          <t>INV-2608-0086</t>
        </is>
      </c>
      <c r="F46" s="10" t="n">
        <v>46252</v>
      </c>
      <c r="G46" s="12" t="inlineStr">
        <is>
          <t>11월 16일</t>
        </is>
      </c>
      <c r="H46" s="11" t="n">
        <v>9448</v>
      </c>
      <c r="I46" s="11" t="n">
        <v>5780</v>
      </c>
      <c r="J46" s="12" t="inlineStr">
        <is>
          <t>EUR</t>
        </is>
      </c>
      <c r="K46" s="9" t="n"/>
    </row>
    <row r="47" ht="19.5" customHeight="1">
      <c r="A47" s="9" t="inlineStr">
        <is>
          <t>영업2팀 B</t>
        </is>
      </c>
      <c r="B47" s="9" t="inlineStr">
        <is>
          <t>Oroasta Handelsgesellschaft AG</t>
        </is>
      </c>
      <c r="C47" s="9" t="inlineStr">
        <is>
          <t>Germany</t>
        </is>
      </c>
      <c r="D47" s="9" t="inlineStr">
        <is>
          <t>O/A 90</t>
        </is>
      </c>
      <c r="E47" s="9" t="inlineStr">
        <is>
          <t>INV-2608-0129</t>
        </is>
      </c>
      <c r="F47" s="12" t="inlineStr">
        <is>
          <t>8월 26일</t>
        </is>
      </c>
      <c r="G47" s="12" t="inlineStr">
        <is>
          <t>26.11.24</t>
        </is>
      </c>
      <c r="H47" s="11" t="n">
        <v>26874</v>
      </c>
      <c r="I47" s="11" t="n">
        <v>16640</v>
      </c>
      <c r="J47" s="12" t="inlineStr">
        <is>
          <t>EUR</t>
        </is>
      </c>
      <c r="K47" s="9" t="n"/>
    </row>
    <row r="48" ht="19.5" customHeight="1">
      <c r="A48" s="9" t="inlineStr">
        <is>
          <t>영업2팀 B</t>
        </is>
      </c>
      <c r="B48" s="9" t="inlineStr">
        <is>
          <t>Oroasta Handelsgesellschaft AG</t>
        </is>
      </c>
      <c r="C48" s="9" t="inlineStr">
        <is>
          <t>Germany</t>
        </is>
      </c>
      <c r="D48" s="9" t="inlineStr">
        <is>
          <t>O/A 90일</t>
        </is>
      </c>
      <c r="E48" s="9" t="inlineStr">
        <is>
          <t>INV-2608-0147</t>
        </is>
      </c>
      <c r="F48" s="12" t="inlineStr">
        <is>
          <t>8월 30일</t>
        </is>
      </c>
      <c r="G48" s="12" t="inlineStr">
        <is>
          <t>11월 28일</t>
        </is>
      </c>
      <c r="H48" s="11" t="n">
        <v>7103</v>
      </c>
      <c r="I48" s="11" t="n">
        <v>4440</v>
      </c>
      <c r="J48" s="12" t="inlineStr">
        <is>
          <t>EUR</t>
        </is>
      </c>
      <c r="K48" s="9" t="n"/>
    </row>
    <row r="49" ht="19.5" customHeight="1">
      <c r="A49" s="9" t="inlineStr">
        <is>
          <t>영업2팀 B</t>
        </is>
      </c>
      <c r="B49" s="9" t="inlineStr">
        <is>
          <t>Oroasta Handelsgesellschaft AG</t>
        </is>
      </c>
      <c r="C49" s="9" t="inlineStr">
        <is>
          <t>Germany</t>
        </is>
      </c>
      <c r="D49" s="9" t="inlineStr">
        <is>
          <t>사후송금 90일</t>
        </is>
      </c>
      <c r="E49" s="9" t="inlineStr">
        <is>
          <t>INV-2609-0046</t>
        </is>
      </c>
      <c r="F49" s="12" t="inlineStr">
        <is>
          <t>9월 8일</t>
        </is>
      </c>
      <c r="G49" s="12" t="inlineStr">
        <is>
          <t>12월 7일</t>
        </is>
      </c>
      <c r="H49" s="11" t="n">
        <v>4257</v>
      </c>
      <c r="I49" s="11" t="n">
        <v>2730</v>
      </c>
      <c r="J49" s="12" t="inlineStr">
        <is>
          <t>EUR</t>
        </is>
      </c>
      <c r="K49" s="9" t="n"/>
    </row>
    <row r="50" ht="19.5" customHeight="1">
      <c r="A50" s="9" t="inlineStr">
        <is>
          <t>영업2팀 B</t>
        </is>
      </c>
      <c r="B50" s="9" t="inlineStr">
        <is>
          <t>Oroasta Handelsgesellschaft AG</t>
        </is>
      </c>
      <c r="C50" s="9" t="inlineStr">
        <is>
          <t>Germany</t>
        </is>
      </c>
      <c r="D50" s="9" t="inlineStr">
        <is>
          <t>사후송금 90일</t>
        </is>
      </c>
      <c r="E50" s="9" t="inlineStr">
        <is>
          <t>INV-2609-0055</t>
        </is>
      </c>
      <c r="F50" s="12" t="inlineStr">
        <is>
          <t>9월 10일</t>
        </is>
      </c>
      <c r="G50" s="12" t="inlineStr">
        <is>
          <t>12월 9일</t>
        </is>
      </c>
      <c r="H50" s="11" t="n">
        <v>8747</v>
      </c>
      <c r="I50" s="11" t="n">
        <v>5590</v>
      </c>
      <c r="J50" s="12" t="inlineStr">
        <is>
          <t>EUR</t>
        </is>
      </c>
      <c r="K50" s="9" t="inlineStr">
        <is>
          <t>8/28 약속했으나 미입금</t>
        </is>
      </c>
    </row>
    <row r="51" ht="19.5" customHeight="1">
      <c r="A51" s="9" t="inlineStr">
        <is>
          <t>영업2팀 B</t>
        </is>
      </c>
      <c r="B51" s="9" t="inlineStr">
        <is>
          <t>Oroasta Handelsgesellschaft AG</t>
        </is>
      </c>
      <c r="C51" s="9" t="inlineStr">
        <is>
          <t>Germany</t>
        </is>
      </c>
      <c r="D51" s="9" t="inlineStr">
        <is>
          <t>OA90days</t>
        </is>
      </c>
      <c r="E51" s="9" t="inlineStr">
        <is>
          <t>INV-2609-0063</t>
        </is>
      </c>
      <c r="F51" s="12" t="inlineStr">
        <is>
          <t>26.9.12</t>
        </is>
      </c>
      <c r="G51" s="12" t="inlineStr">
        <is>
          <t>12월 11일</t>
        </is>
      </c>
      <c r="H51" s="11" t="n">
        <v>19068</v>
      </c>
      <c r="I51" s="11" t="n">
        <v>12260</v>
      </c>
      <c r="J51" s="12" t="inlineStr">
        <is>
          <t>EUR</t>
        </is>
      </c>
      <c r="K51" s="9" t="n"/>
    </row>
    <row r="52" ht="19.5" customHeight="1">
      <c r="A52" s="9" t="inlineStr">
        <is>
          <t>영업2팀 B</t>
        </is>
      </c>
      <c r="B52" s="9" t="inlineStr">
        <is>
          <t>Oroasta Handelsgesellschaft AG</t>
        </is>
      </c>
      <c r="C52" s="9" t="inlineStr">
        <is>
          <t>Germany</t>
        </is>
      </c>
      <c r="D52" s="9" t="inlineStr">
        <is>
          <t>OA90days</t>
        </is>
      </c>
      <c r="E52" s="9" t="inlineStr">
        <is>
          <t>INV-2609-0092</t>
        </is>
      </c>
      <c r="F52" s="12" t="inlineStr">
        <is>
          <t>9월 17일</t>
        </is>
      </c>
      <c r="G52" s="12" t="inlineStr">
        <is>
          <t>12월 16일</t>
        </is>
      </c>
      <c r="H52" s="11" t="n">
        <v>105204</v>
      </c>
      <c r="I52" s="11" t="n">
        <v>66390</v>
      </c>
      <c r="J52" s="12" t="inlineStr">
        <is>
          <t>EUR</t>
        </is>
      </c>
      <c r="K52" s="9" t="inlineStr">
        <is>
          <t>분할 입금 합의 — 10/10, 11/10</t>
        </is>
      </c>
    </row>
    <row r="53" ht="19.5" customHeight="1">
      <c r="A53" s="9" t="inlineStr">
        <is>
          <t>영업2팀 B</t>
        </is>
      </c>
      <c r="B53" s="9" t="inlineStr">
        <is>
          <t>Oroasta Handelsgesellschaft AG</t>
        </is>
      </c>
      <c r="C53" s="9" t="inlineStr">
        <is>
          <t>Germany</t>
        </is>
      </c>
      <c r="D53" s="9" t="inlineStr">
        <is>
          <t>OA 90 DAYS</t>
        </is>
      </c>
      <c r="E53" s="9" t="inlineStr">
        <is>
          <t>INV-2609-0112</t>
        </is>
      </c>
      <c r="F53" s="12" t="inlineStr">
        <is>
          <t>9월 21일</t>
        </is>
      </c>
      <c r="G53" s="12" t="inlineStr">
        <is>
          <t>12월 20일</t>
        </is>
      </c>
      <c r="H53" s="11" t="n">
        <v>7647</v>
      </c>
      <c r="I53" s="11" t="n">
        <v>4850</v>
      </c>
      <c r="J53" s="12" t="inlineStr">
        <is>
          <t>EUR</t>
        </is>
      </c>
      <c r="K53" s="9" t="n"/>
    </row>
    <row r="54" ht="19.5" customHeight="1">
      <c r="A54" s="9" t="inlineStr">
        <is>
          <t>영업2팀 B</t>
        </is>
      </c>
      <c r="B54" s="9" t="inlineStr">
        <is>
          <t>Oroasta Handelsgesellschaft AG</t>
        </is>
      </c>
      <c r="C54" s="9" t="inlineStr">
        <is>
          <t>Germany</t>
        </is>
      </c>
      <c r="D54" s="9" t="inlineStr">
        <is>
          <t>TT 30/70</t>
        </is>
      </c>
      <c r="E54" s="9" t="inlineStr">
        <is>
          <t>INV-2609-0113</t>
        </is>
      </c>
      <c r="F54" s="10" t="n">
        <v>46286</v>
      </c>
      <c r="G54" s="12" t="inlineStr">
        <is>
          <t>10월 21일</t>
        </is>
      </c>
      <c r="H54" s="11" t="n">
        <v>4651</v>
      </c>
      <c r="I54" s="11" t="n">
        <v>2950</v>
      </c>
      <c r="J54" s="12" t="inlineStr">
        <is>
          <t>EUR</t>
        </is>
      </c>
      <c r="K54" s="9" t="n"/>
    </row>
    <row r="55" ht="19.5" customHeight="1">
      <c r="A55" s="9" t="inlineStr">
        <is>
          <t>영업2팀 B</t>
        </is>
      </c>
      <c r="B55" s="9" t="inlineStr">
        <is>
          <t>Oroasta Handelsgesellschaft AG</t>
        </is>
      </c>
      <c r="C55" s="9" t="inlineStr">
        <is>
          <t>Germany</t>
        </is>
      </c>
      <c r="D55" s="9" t="inlineStr">
        <is>
          <t>O/A 90일</t>
        </is>
      </c>
      <c r="E55" s="9" t="inlineStr">
        <is>
          <t>INV-2609-0129</t>
        </is>
      </c>
      <c r="F55" s="12" t="inlineStr">
        <is>
          <t>9월 24일</t>
        </is>
      </c>
      <c r="G55" s="12" t="inlineStr">
        <is>
          <t>12월 23일</t>
        </is>
      </c>
      <c r="H55" s="11" t="n">
        <v>7772</v>
      </c>
      <c r="I55" s="11" t="n">
        <v>4990</v>
      </c>
      <c r="J55" s="12" t="inlineStr">
        <is>
          <t>EUR</t>
        </is>
      </c>
      <c r="K55" s="9" t="n"/>
    </row>
    <row r="56" ht="19.5" customHeight="1">
      <c r="A56" s="9" t="inlineStr">
        <is>
          <t>영업2팀 B</t>
        </is>
      </c>
      <c r="B56" s="9" t="inlineStr">
        <is>
          <t>Oroasta Handelsgesellschaft AG</t>
        </is>
      </c>
      <c r="C56" s="9" t="inlineStr">
        <is>
          <t>Germany</t>
        </is>
      </c>
      <c r="D56" s="9" t="inlineStr">
        <is>
          <t>O/A 90</t>
        </is>
      </c>
      <c r="E56" s="9" t="inlineStr">
        <is>
          <t>INV-2609-0141</t>
        </is>
      </c>
      <c r="F56" s="12" t="inlineStr">
        <is>
          <t>9월 26일</t>
        </is>
      </c>
      <c r="G56" s="12" t="inlineStr">
        <is>
          <t>12월 25일</t>
        </is>
      </c>
      <c r="H56" s="11" t="n">
        <v>5567</v>
      </c>
      <c r="I56" s="11" t="n">
        <v>3600</v>
      </c>
      <c r="J56" s="12" t="inlineStr">
        <is>
          <t>EUR</t>
        </is>
      </c>
      <c r="K56" s="9" t="n"/>
    </row>
    <row r="57" ht="19.5" customHeight="1">
      <c r="A57" s="9" t="inlineStr">
        <is>
          <t>영업2팀 B</t>
        </is>
      </c>
      <c r="B57" s="9" t="inlineStr">
        <is>
          <t>Oroyn Distribution LLC</t>
        </is>
      </c>
      <c r="C57" s="9" t="inlineStr">
        <is>
          <t>United States</t>
        </is>
      </c>
      <c r="D57" s="9" t="inlineStr">
        <is>
          <t>O/A 90일</t>
        </is>
      </c>
      <c r="E57" s="9" t="inlineStr">
        <is>
          <t>INV-2607-0162</t>
        </is>
      </c>
      <c r="F57" s="12" t="inlineStr">
        <is>
          <t>7월 26일</t>
        </is>
      </c>
      <c r="G57" s="12" t="inlineStr">
        <is>
          <t>10월 24일</t>
        </is>
      </c>
      <c r="H57" s="11" t="n">
        <v>16843</v>
      </c>
      <c r="I57" s="11" t="n">
        <v>11530</v>
      </c>
      <c r="J57" s="12" t="inlineStr">
        <is>
          <t>USD</t>
        </is>
      </c>
      <c r="K57" s="9" t="n"/>
    </row>
    <row r="58" ht="19.5" customHeight="1">
      <c r="A58" s="9" t="inlineStr">
        <is>
          <t>영업2팀 B</t>
        </is>
      </c>
      <c r="B58" s="9" t="inlineStr">
        <is>
          <t>Oroyn Distribution LLC</t>
        </is>
      </c>
      <c r="C58" s="9" t="inlineStr">
        <is>
          <t>United States</t>
        </is>
      </c>
      <c r="D58" s="9" t="inlineStr">
        <is>
          <t>OA 90 DAYS</t>
        </is>
      </c>
      <c r="E58" s="9" t="inlineStr">
        <is>
          <t>INV-2608-0087</t>
        </is>
      </c>
      <c r="F58" s="12" t="inlineStr">
        <is>
          <t>8월 18일</t>
        </is>
      </c>
      <c r="G58" s="12" t="inlineStr">
        <is>
          <t>11월 16일</t>
        </is>
      </c>
      <c r="H58" s="11" t="n">
        <v>6818</v>
      </c>
      <c r="I58" s="11" t="n">
        <v>4830</v>
      </c>
      <c r="J58" s="12" t="inlineStr">
        <is>
          <t>USD</t>
        </is>
      </c>
      <c r="K58" s="9" t="inlineStr">
        <is>
          <t>10월말까지 일부 입금 약속</t>
        </is>
      </c>
    </row>
    <row r="59" ht="19.5" customHeight="1">
      <c r="A59" s="9" t="inlineStr">
        <is>
          <t>영업2팀 B</t>
        </is>
      </c>
      <c r="B59" s="9" t="inlineStr">
        <is>
          <t>Quineth Handel B.V.</t>
        </is>
      </c>
      <c r="C59" s="9" t="inlineStr">
        <is>
          <t>Netherlands</t>
        </is>
      </c>
      <c r="D59" s="9" t="inlineStr">
        <is>
          <t>O/A 90일</t>
        </is>
      </c>
      <c r="E59" s="9" t="inlineStr">
        <is>
          <t>INV-2608-0092</t>
        </is>
      </c>
      <c r="F59" s="12" t="inlineStr">
        <is>
          <t>8월 20일</t>
        </is>
      </c>
      <c r="G59" s="12" t="inlineStr">
        <is>
          <t>11월 18일</t>
        </is>
      </c>
      <c r="H59" s="11" t="n">
        <v>4312</v>
      </c>
      <c r="I59" s="11" t="n">
        <v>2650</v>
      </c>
      <c r="J59" s="12" t="inlineStr">
        <is>
          <t>EUR</t>
        </is>
      </c>
      <c r="K59" s="9" t="n"/>
    </row>
    <row r="60" ht="19.5" customHeight="1">
      <c r="A60" s="14" t="inlineStr">
        <is>
          <t>영업2팀 B 소계</t>
        </is>
      </c>
      <c r="B60" s="14" t="n"/>
      <c r="C60" s="14" t="n"/>
      <c r="D60" s="14" t="n"/>
      <c r="E60" s="14" t="n"/>
      <c r="F60" s="14" t="n"/>
      <c r="G60" s="14" t="n"/>
      <c r="H60" s="15">
        <f>SUM(H33:H59)</f>
        <v>470163</v>
      </c>
      <c r="I60" s="14" t="n"/>
      <c r="J60" s="14" t="n"/>
      <c r="K60" s="14" t="n"/>
    </row>
    <row r="61" ht="19.5" customHeight="1"/>
    <row r="62" ht="19.5" customHeight="1">
      <c r="A62" s="9" t="inlineStr">
        <is>
          <t>영업2팀 C</t>
        </is>
      </c>
      <c r="B62" s="9" t="inlineStr">
        <is>
          <t>Belost Trading Inc.</t>
        </is>
      </c>
      <c r="C62" s="9" t="inlineStr">
        <is>
          <t>United States</t>
        </is>
      </c>
      <c r="D62" s="9" t="inlineStr">
        <is>
          <t>T/T 30% 선수 70% 선적후</t>
        </is>
      </c>
      <c r="E62" s="9" t="inlineStr">
        <is>
          <t>INV-2609-0023</t>
        </is>
      </c>
      <c r="F62" s="10" t="n">
        <v>46269</v>
      </c>
      <c r="G62" s="10" t="n">
        <v>46299</v>
      </c>
      <c r="H62" s="11" t="n">
        <v>49807</v>
      </c>
      <c r="I62" s="11" t="n">
        <v>36990</v>
      </c>
      <c r="J62" s="12" t="inlineStr">
        <is>
          <t>USD</t>
        </is>
      </c>
      <c r="K62" s="9" t="n"/>
    </row>
    <row r="63" ht="19.5" customHeight="1">
      <c r="A63" s="9" t="inlineStr">
        <is>
          <t>영업2팀 C</t>
        </is>
      </c>
      <c r="B63" s="9" t="inlineStr">
        <is>
          <t>Belost Trading Inc.</t>
        </is>
      </c>
      <c r="C63" s="9" t="inlineStr">
        <is>
          <t>United States</t>
        </is>
      </c>
      <c r="D63" s="9" t="inlineStr">
        <is>
          <t>T/T 30% 선수 70% 선적후</t>
        </is>
      </c>
      <c r="E63" s="9" t="inlineStr">
        <is>
          <t>INV-2609-0045</t>
        </is>
      </c>
      <c r="F63" s="12" t="inlineStr">
        <is>
          <t>26.9.8</t>
        </is>
      </c>
      <c r="G63" s="10" t="n">
        <v>46303</v>
      </c>
      <c r="H63" s="11" t="n">
        <v>2535</v>
      </c>
      <c r="I63" s="11" t="n">
        <v>1890</v>
      </c>
      <c r="J63" s="12" t="inlineStr">
        <is>
          <t>USD</t>
        </is>
      </c>
      <c r="K63" s="9" t="n"/>
    </row>
    <row r="64" ht="19.5" customHeight="1">
      <c r="A64" s="9" t="inlineStr">
        <is>
          <t>영업2팀 C</t>
        </is>
      </c>
      <c r="B64" s="9" t="inlineStr">
        <is>
          <t>Briera Messtechnik GmbH</t>
        </is>
      </c>
      <c r="C64" s="9" t="inlineStr">
        <is>
          <t>Germany</t>
        </is>
      </c>
      <c r="D64" s="9" t="inlineStr">
        <is>
          <t>D/A 60일</t>
        </is>
      </c>
      <c r="E64" s="9" t="inlineStr">
        <is>
          <t>INV-2608-0065</t>
        </is>
      </c>
      <c r="F64" s="10" t="n">
        <v>46248</v>
      </c>
      <c r="G64" s="12" t="inlineStr">
        <is>
          <t>26.10.13</t>
        </is>
      </c>
      <c r="H64" s="11" t="n">
        <v>44698</v>
      </c>
      <c r="I64" s="11" t="n">
        <v>27290</v>
      </c>
      <c r="J64" s="12" t="inlineStr">
        <is>
          <t>EUR</t>
        </is>
      </c>
      <c r="K64" s="9" t="inlineStr">
        <is>
          <t>11월 둘째 주 결제 약속</t>
        </is>
      </c>
    </row>
    <row r="65" ht="19.5" customHeight="1">
      <c r="A65" s="9" t="inlineStr">
        <is>
          <t>영업2팀 C</t>
        </is>
      </c>
      <c r="B65" s="9" t="inlineStr">
        <is>
          <t>Briera Messtechnik GmbH</t>
        </is>
      </c>
      <c r="C65" s="9" t="inlineStr">
        <is>
          <t>Germany</t>
        </is>
      </c>
      <c r="D65" s="9" t="inlineStr">
        <is>
          <t>D/A 60</t>
        </is>
      </c>
      <c r="E65" s="9" t="inlineStr">
        <is>
          <t>INV-2608-0077</t>
        </is>
      </c>
      <c r="F65" s="10" t="n">
        <v>46250</v>
      </c>
      <c r="G65" s="10" t="n">
        <v>46310</v>
      </c>
      <c r="H65" s="11" t="n">
        <v>8926</v>
      </c>
      <c r="I65" s="11" t="n">
        <v>5450</v>
      </c>
      <c r="J65" s="12" t="inlineStr">
        <is>
          <t>EUR</t>
        </is>
      </c>
      <c r="K65" s="9" t="n"/>
    </row>
    <row r="66" ht="19.5" customHeight="1">
      <c r="A66" s="9" t="inlineStr">
        <is>
          <t>영업2팀 C</t>
        </is>
      </c>
      <c r="B66" s="9" t="inlineStr">
        <is>
          <t>Camano Meettechniek B.V.</t>
        </is>
      </c>
      <c r="C66" s="9" t="inlineStr">
        <is>
          <t>Netherlands</t>
        </is>
      </c>
      <c r="D66" s="9" t="inlineStr">
        <is>
          <t>OA90days</t>
        </is>
      </c>
      <c r="E66" s="9" t="inlineStr">
        <is>
          <t>INV-2608-0001</t>
        </is>
      </c>
      <c r="F66" s="10" t="n">
        <v>46235</v>
      </c>
      <c r="G66" s="10" t="n">
        <v>46325</v>
      </c>
      <c r="H66" s="11" t="n">
        <v>5975</v>
      </c>
      <c r="I66" s="11" t="n">
        <v>3610</v>
      </c>
      <c r="J66" s="12" t="inlineStr">
        <is>
          <t>EUR</t>
        </is>
      </c>
      <c r="K66" s="9" t="n"/>
    </row>
    <row r="67" ht="19.5" customHeight="1">
      <c r="A67" s="9" t="inlineStr">
        <is>
          <t>영업2팀 C</t>
        </is>
      </c>
      <c r="B67" s="9" t="inlineStr">
        <is>
          <t>Camano Meettechniek B.V.</t>
        </is>
      </c>
      <c r="C67" s="9" t="inlineStr">
        <is>
          <t>Netherlands</t>
        </is>
      </c>
      <c r="D67" s="9" t="inlineStr">
        <is>
          <t>O/A 90</t>
        </is>
      </c>
      <c r="E67" s="9" t="inlineStr">
        <is>
          <t>INV-2608-0014</t>
        </is>
      </c>
      <c r="F67" s="10" t="n">
        <v>46237</v>
      </c>
      <c r="G67" s="10" t="n">
        <v>46327</v>
      </c>
      <c r="H67" s="11" t="n">
        <v>9252</v>
      </c>
      <c r="I67" s="11" t="n">
        <v>5620</v>
      </c>
      <c r="J67" s="12" t="inlineStr">
        <is>
          <t>EUR</t>
        </is>
      </c>
      <c r="K67" s="9" t="n"/>
    </row>
    <row r="68" ht="19.5" customHeight="1">
      <c r="A68" s="9" t="inlineStr">
        <is>
          <t>영업2팀 C</t>
        </is>
      </c>
      <c r="B68" s="9" t="inlineStr">
        <is>
          <t>Camano Meettechniek B.V.</t>
        </is>
      </c>
      <c r="C68" s="9" t="inlineStr">
        <is>
          <t>Netherlands</t>
        </is>
      </c>
      <c r="D68" s="9" t="inlineStr">
        <is>
          <t>OA90days</t>
        </is>
      </c>
      <c r="E68" s="9" t="inlineStr">
        <is>
          <t>INV-2608-0032</t>
        </is>
      </c>
      <c r="F68" s="10" t="n">
        <v>46242</v>
      </c>
      <c r="G68" s="10" t="n">
        <v>46332</v>
      </c>
      <c r="H68" s="11" t="n">
        <v>14456</v>
      </c>
      <c r="I68" s="11" t="n">
        <v>8870</v>
      </c>
      <c r="J68" s="12" t="inlineStr">
        <is>
          <t>EUR</t>
        </is>
      </c>
      <c r="K68" s="9" t="n"/>
    </row>
    <row r="69" ht="19.5" customHeight="1">
      <c r="A69" s="9" t="inlineStr">
        <is>
          <t>영업2팀 C</t>
        </is>
      </c>
      <c r="B69" s="9" t="inlineStr">
        <is>
          <t>Camano Meettechniek B.V.</t>
        </is>
      </c>
      <c r="C69" s="9" t="inlineStr">
        <is>
          <t>Netherlands</t>
        </is>
      </c>
      <c r="D69" s="9" t="inlineStr">
        <is>
          <t>O/A 90</t>
        </is>
      </c>
      <c r="E69" s="9" t="inlineStr">
        <is>
          <t>INV-2609-0135</t>
        </is>
      </c>
      <c r="F69" s="10" t="n">
        <v>46291</v>
      </c>
      <c r="G69" s="12" t="inlineStr">
        <is>
          <t>12월 25일</t>
        </is>
      </c>
      <c r="H69" s="11" t="n">
        <v>8706</v>
      </c>
      <c r="I69" s="11" t="n">
        <v>5630</v>
      </c>
      <c r="J69" s="12" t="inlineStr">
        <is>
          <t>EUR</t>
        </is>
      </c>
      <c r="K69" s="9" t="n"/>
    </row>
    <row r="70" ht="19.5" customHeight="1">
      <c r="A70" s="9" t="inlineStr">
        <is>
          <t>영업2팀 C</t>
        </is>
      </c>
      <c r="B70" s="9" t="inlineStr">
        <is>
          <t>Goreth Inżynieria Sp. z o.o.</t>
        </is>
      </c>
      <c r="C70" s="9" t="inlineStr">
        <is>
          <t>Poland</t>
        </is>
      </c>
      <c r="D70" s="9" t="inlineStr">
        <is>
          <t>OA 60 DAYS</t>
        </is>
      </c>
      <c r="E70" s="9" t="inlineStr">
        <is>
          <t>INV-2607-0027</t>
        </is>
      </c>
      <c r="F70" s="10" t="n">
        <v>46208</v>
      </c>
      <c r="G70" s="12" t="inlineStr">
        <is>
          <t>9월 3일</t>
        </is>
      </c>
      <c r="H70" s="11" t="n">
        <v>22608</v>
      </c>
      <c r="I70" s="11" t="n">
        <v>12840</v>
      </c>
      <c r="J70" s="12" t="inlineStr">
        <is>
          <t>EUR</t>
        </is>
      </c>
      <c r="K70" s="9" t="n"/>
    </row>
    <row r="71" ht="19.5" customHeight="1">
      <c r="A71" s="9" t="inlineStr">
        <is>
          <t>영업2팀 C</t>
        </is>
      </c>
      <c r="B71" s="9" t="inlineStr">
        <is>
          <t>Goreth Inżynieria Sp. z o.o.</t>
        </is>
      </c>
      <c r="C71" s="9" t="inlineStr">
        <is>
          <t>Poland</t>
        </is>
      </c>
      <c r="D71" s="9" t="inlineStr">
        <is>
          <t>O/A 60</t>
        </is>
      </c>
      <c r="E71" s="9" t="inlineStr">
        <is>
          <t>INV-2608-0121</t>
        </is>
      </c>
      <c r="F71" s="10" t="n">
        <v>46258</v>
      </c>
      <c r="G71" s="10" t="n">
        <v>46318</v>
      </c>
      <c r="H71" s="11" t="n">
        <v>7470</v>
      </c>
      <c r="I71" s="11" t="n">
        <v>4630</v>
      </c>
      <c r="J71" s="12" t="inlineStr">
        <is>
          <t>EUR</t>
        </is>
      </c>
      <c r="K71" s="9" t="n"/>
    </row>
    <row r="72" ht="19.5" customHeight="1">
      <c r="A72" s="9" t="inlineStr">
        <is>
          <t>영업2팀 C</t>
        </is>
      </c>
      <c r="B72" s="9" t="inlineStr">
        <is>
          <t>Goreth Inżynieria Sp. z o.o.</t>
        </is>
      </c>
      <c r="C72" s="9" t="inlineStr">
        <is>
          <t>Poland</t>
        </is>
      </c>
      <c r="D72" s="9" t="inlineStr">
        <is>
          <t>OA60days</t>
        </is>
      </c>
      <c r="E72" s="9" t="inlineStr">
        <is>
          <t>INV-2609-0036</t>
        </is>
      </c>
      <c r="F72" s="10" t="n">
        <v>46271</v>
      </c>
      <c r="G72" s="10" t="n">
        <v>46331</v>
      </c>
      <c r="H72" s="11" t="n">
        <v>5288</v>
      </c>
      <c r="I72" s="11" t="n">
        <v>3380</v>
      </c>
      <c r="J72" s="12" t="inlineStr">
        <is>
          <t>EUR</t>
        </is>
      </c>
      <c r="K72" s="9" t="n"/>
    </row>
    <row r="73" ht="19.5" customHeight="1">
      <c r="A73" s="9" t="inlineStr">
        <is>
          <t>영업2팀 C</t>
        </is>
      </c>
      <c r="B73" s="9" t="inlineStr">
        <is>
          <t>Goreth Inżynieria Sp. z o.o.</t>
        </is>
      </c>
      <c r="C73" s="9" t="inlineStr">
        <is>
          <t>Poland</t>
        </is>
      </c>
      <c r="D73" s="9" t="inlineStr">
        <is>
          <t>O/A 60일</t>
        </is>
      </c>
      <c r="E73" s="9" t="inlineStr">
        <is>
          <t>INV-2609-0060</t>
        </is>
      </c>
      <c r="F73" s="10" t="n">
        <v>46276</v>
      </c>
      <c r="G73" s="10" t="n">
        <v>46336</v>
      </c>
      <c r="H73" s="11" t="n">
        <v>14169</v>
      </c>
      <c r="I73" s="11" t="n">
        <v>9110</v>
      </c>
      <c r="J73" s="12" t="inlineStr">
        <is>
          <t>EUR</t>
        </is>
      </c>
      <c r="K73" s="9" t="n"/>
    </row>
    <row r="74" ht="19.5" customHeight="1">
      <c r="A74" s="9" t="inlineStr">
        <is>
          <t>영업2팀 C</t>
        </is>
      </c>
      <c r="B74" s="9" t="inlineStr">
        <is>
          <t>Goreth Inżynieria Sp. z o.o.</t>
        </is>
      </c>
      <c r="C74" s="9" t="inlineStr">
        <is>
          <t>Poland</t>
        </is>
      </c>
      <c r="D74" s="9" t="inlineStr">
        <is>
          <t>OA60days</t>
        </is>
      </c>
      <c r="E74" s="9" t="inlineStr">
        <is>
          <t>INV-2609-0124</t>
        </is>
      </c>
      <c r="F74" s="12" t="inlineStr">
        <is>
          <t>9월 23일</t>
        </is>
      </c>
      <c r="G74" s="10" t="n">
        <v>46348</v>
      </c>
      <c r="H74" s="11" t="n">
        <v>31447</v>
      </c>
      <c r="I74" s="11" t="n">
        <v>20190</v>
      </c>
      <c r="J74" s="12" t="inlineStr">
        <is>
          <t>EUR</t>
        </is>
      </c>
      <c r="K74" s="9" t="n"/>
    </row>
    <row r="75" ht="19.5" customHeight="1">
      <c r="A75" s="9" t="inlineStr">
        <is>
          <t>영업2팀 C</t>
        </is>
      </c>
      <c r="B75" s="9" t="inlineStr">
        <is>
          <t>Kalaro Industrial S.A. de C.V.</t>
        </is>
      </c>
      <c r="C75" s="9" t="inlineStr">
        <is>
          <t>Mexico</t>
        </is>
      </c>
      <c r="D75" s="9" t="inlineStr">
        <is>
          <t>사후송금 60일</t>
        </is>
      </c>
      <c r="E75" s="9" t="inlineStr">
        <is>
          <t>INV-2606-0120</t>
        </is>
      </c>
      <c r="F75" s="12" t="inlineStr">
        <is>
          <t>6월 26일</t>
        </is>
      </c>
      <c r="G75" s="10" t="n">
        <v>46259</v>
      </c>
      <c r="H75" s="11" t="n">
        <v>22894</v>
      </c>
      <c r="I75" s="11" t="n">
        <v>14930</v>
      </c>
      <c r="J75" s="12" t="inlineStr">
        <is>
          <t>USD</t>
        </is>
      </c>
      <c r="K75" s="9" t="n"/>
    </row>
    <row r="76" ht="19.5" customHeight="1">
      <c r="A76" s="9" t="inlineStr">
        <is>
          <t>영업2팀 C</t>
        </is>
      </c>
      <c r="B76" s="9" t="inlineStr">
        <is>
          <t>Kalaro Industrial S.A. de C.V.</t>
        </is>
      </c>
      <c r="C76" s="9" t="inlineStr">
        <is>
          <t>Mexico</t>
        </is>
      </c>
      <c r="D76" s="9" t="inlineStr">
        <is>
          <t>OA60days</t>
        </is>
      </c>
      <c r="E76" s="9" t="inlineStr">
        <is>
          <t>INV-2607-0015</t>
        </is>
      </c>
      <c r="F76" s="10" t="n">
        <v>46207</v>
      </c>
      <c r="G76" s="10" t="n">
        <v>46267</v>
      </c>
      <c r="H76" s="11" t="n">
        <v>24117</v>
      </c>
      <c r="I76" s="11" t="n">
        <v>15680</v>
      </c>
      <c r="J76" s="12" t="inlineStr">
        <is>
          <t>USD</t>
        </is>
      </c>
      <c r="K76" s="9" t="n"/>
    </row>
    <row r="77" ht="19.5" customHeight="1">
      <c r="A77" s="9" t="inlineStr">
        <is>
          <t>영업2팀 C</t>
        </is>
      </c>
      <c r="B77" s="9" t="inlineStr">
        <is>
          <t>Kalaro Industrial S.A. de C.V.</t>
        </is>
      </c>
      <c r="C77" s="9" t="inlineStr">
        <is>
          <t>Mexico</t>
        </is>
      </c>
      <c r="D77" s="9" t="inlineStr">
        <is>
          <t>OA60days</t>
        </is>
      </c>
      <c r="E77" s="9" t="inlineStr">
        <is>
          <t>INV-2608-0053</t>
        </is>
      </c>
      <c r="F77" s="10" t="n">
        <v>46246</v>
      </c>
      <c r="G77" s="10" t="n">
        <v>46306</v>
      </c>
      <c r="H77" s="11" t="n">
        <v>25437</v>
      </c>
      <c r="I77" s="11" t="n">
        <v>17960</v>
      </c>
      <c r="J77" s="12" t="inlineStr">
        <is>
          <t>USD</t>
        </is>
      </c>
      <c r="K77" s="9" t="n"/>
    </row>
    <row r="78" ht="19.5" customHeight="1">
      <c r="A78" s="9" t="inlineStr">
        <is>
          <t>영업2팀 C</t>
        </is>
      </c>
      <c r="B78" s="9" t="inlineStr">
        <is>
          <t>Kalaro Industrial S.A. de C.V.</t>
        </is>
      </c>
      <c r="C78" s="9" t="inlineStr">
        <is>
          <t>Mexico</t>
        </is>
      </c>
      <c r="D78" s="9" t="inlineStr">
        <is>
          <t>OA60days</t>
        </is>
      </c>
      <c r="E78" s="9" t="inlineStr">
        <is>
          <t>INV-2608-0114</t>
        </is>
      </c>
      <c r="F78" s="10" t="n">
        <v>46257</v>
      </c>
      <c r="G78" s="10" t="n">
        <v>46317</v>
      </c>
      <c r="H78" s="11" t="n">
        <v>9487</v>
      </c>
      <c r="I78" s="11" t="n">
        <v>6850</v>
      </c>
      <c r="J78" s="12" t="inlineStr">
        <is>
          <t>USD</t>
        </is>
      </c>
      <c r="K78" s="9" t="n"/>
    </row>
    <row r="79" ht="19.5" customHeight="1">
      <c r="A79" s="9" t="inlineStr">
        <is>
          <t>영업2팀 C</t>
        </is>
      </c>
      <c r="B79" s="9" t="inlineStr">
        <is>
          <t>Kalaro Industrial S.A. de C.V.</t>
        </is>
      </c>
      <c r="C79" s="9" t="inlineStr">
        <is>
          <t>Mexico</t>
        </is>
      </c>
      <c r="D79" s="9" t="inlineStr">
        <is>
          <t>사후송금 60일</t>
        </is>
      </c>
      <c r="E79" s="9" t="inlineStr">
        <is>
          <t>INV-2609-0086</t>
        </is>
      </c>
      <c r="F79" s="12" t="inlineStr">
        <is>
          <t>26.9.16</t>
        </is>
      </c>
      <c r="G79" s="12" t="inlineStr">
        <is>
          <t>26.11.15</t>
        </is>
      </c>
      <c r="H79" s="11" t="n">
        <v>4404</v>
      </c>
      <c r="I79" s="11" t="n">
        <v>3220</v>
      </c>
      <c r="J79" s="12" t="inlineStr">
        <is>
          <t>USD</t>
        </is>
      </c>
      <c r="K79" s="9" t="n"/>
    </row>
    <row r="80" ht="19.5" customHeight="1">
      <c r="A80" s="9" t="inlineStr">
        <is>
          <t>영업2팀 C</t>
        </is>
      </c>
      <c r="B80" s="9" t="inlineStr">
        <is>
          <t>Kalaro Industrial S.A. de C.V.</t>
        </is>
      </c>
      <c r="C80" s="9" t="inlineStr">
        <is>
          <t>Mexico</t>
        </is>
      </c>
      <c r="D80" s="9" t="inlineStr">
        <is>
          <t>O/A 60일</t>
        </is>
      </c>
      <c r="E80" s="9" t="inlineStr">
        <is>
          <t>INV-2609-0128</t>
        </is>
      </c>
      <c r="F80" s="10" t="n">
        <v>46289</v>
      </c>
      <c r="G80" s="10" t="n">
        <v>46349</v>
      </c>
      <c r="H80" s="11" t="n">
        <v>19912</v>
      </c>
      <c r="I80" s="11" t="n">
        <v>14540</v>
      </c>
      <c r="J80" s="12" t="inlineStr">
        <is>
          <t>USD</t>
        </is>
      </c>
      <c r="K80" s="9" t="n"/>
    </row>
    <row r="81" ht="19.5" customHeight="1">
      <c r="A81" s="9" t="inlineStr">
        <is>
          <t>영업2팀 C</t>
        </is>
      </c>
      <c r="B81" s="9" t="inlineStr">
        <is>
          <t>Kalaro Industrial S.A. de C.V.</t>
        </is>
      </c>
      <c r="C81" s="9" t="inlineStr">
        <is>
          <t>Mexico</t>
        </is>
      </c>
      <c r="D81" s="9" t="inlineStr">
        <is>
          <t>O/A 60</t>
        </is>
      </c>
      <c r="E81" s="9" t="inlineStr">
        <is>
          <t>INV-2609-0138</t>
        </is>
      </c>
      <c r="F81" s="10" t="n">
        <v>46291</v>
      </c>
      <c r="G81" s="10" t="n">
        <v>46351</v>
      </c>
      <c r="H81" s="11" t="n">
        <v>11327</v>
      </c>
      <c r="I81" s="11" t="n">
        <v>8350</v>
      </c>
      <c r="J81" s="12" t="inlineStr">
        <is>
          <t>USD</t>
        </is>
      </c>
      <c r="K81" s="9" t="n"/>
    </row>
    <row r="82" ht="19.5" customHeight="1">
      <c r="A82" s="9" t="inlineStr">
        <is>
          <t>영업2팀 C</t>
        </is>
      </c>
      <c r="B82" s="9" t="inlineStr">
        <is>
          <t>Marova Trading Inc.</t>
        </is>
      </c>
      <c r="C82" s="9" t="inlineStr">
        <is>
          <t>United States</t>
        </is>
      </c>
      <c r="D82" s="9" t="inlineStr">
        <is>
          <t>OA 90 DAYS</t>
        </is>
      </c>
      <c r="E82" s="9" t="inlineStr">
        <is>
          <t>INV-2608-0024</t>
        </is>
      </c>
      <c r="F82" s="10" t="n">
        <v>46240</v>
      </c>
      <c r="G82" s="10" t="n">
        <v>46330</v>
      </c>
      <c r="H82" s="11" t="n">
        <v>11289</v>
      </c>
      <c r="I82" s="11" t="n">
        <v>7930</v>
      </c>
      <c r="J82" s="12" t="inlineStr">
        <is>
          <t>USD</t>
        </is>
      </c>
      <c r="K82" s="9" t="n"/>
    </row>
    <row r="83" ht="19.5" customHeight="1">
      <c r="A83" s="9" t="inlineStr">
        <is>
          <t>영업2팀 C</t>
        </is>
      </c>
      <c r="B83" s="9" t="inlineStr">
        <is>
          <t>Marova Trading Inc.</t>
        </is>
      </c>
      <c r="C83" s="9" t="inlineStr">
        <is>
          <t>United States</t>
        </is>
      </c>
      <c r="D83" s="9" t="inlineStr">
        <is>
          <t>O/A 90일</t>
        </is>
      </c>
      <c r="E83" s="9" t="inlineStr">
        <is>
          <t>INV-2609-0047</t>
        </is>
      </c>
      <c r="F83" s="10" t="n">
        <v>46273</v>
      </c>
      <c r="G83" s="10" t="n">
        <v>46363</v>
      </c>
      <c r="H83" s="11" t="n">
        <v>22224</v>
      </c>
      <c r="I83" s="11" t="n">
        <v>16570</v>
      </c>
      <c r="J83" s="12" t="inlineStr">
        <is>
          <t>USD</t>
        </is>
      </c>
      <c r="K83" s="9" t="n"/>
    </row>
    <row r="84" ht="19.5" customHeight="1">
      <c r="A84" s="9" t="inlineStr">
        <is>
          <t>영업2팀 C</t>
        </is>
      </c>
      <c r="B84" s="9" t="inlineStr">
        <is>
          <t>Marova Trading Inc.</t>
        </is>
      </c>
      <c r="C84" s="9" t="inlineStr">
        <is>
          <t>United States</t>
        </is>
      </c>
      <c r="D84" s="9" t="inlineStr">
        <is>
          <t>O/A 90일</t>
        </is>
      </c>
      <c r="E84" s="9" t="inlineStr">
        <is>
          <t>INV-2609-0073</t>
        </is>
      </c>
      <c r="F84" s="10" t="n">
        <v>46278</v>
      </c>
      <c r="G84" s="10" t="n">
        <v>46368</v>
      </c>
      <c r="H84" s="11" t="n">
        <v>1273</v>
      </c>
      <c r="I84" s="11" t="n">
        <v>950</v>
      </c>
      <c r="J84" s="12" t="inlineStr">
        <is>
          <t>USD</t>
        </is>
      </c>
      <c r="K84" s="9" t="n"/>
    </row>
    <row r="85" ht="19.5" customHeight="1">
      <c r="A85" s="9" t="inlineStr">
        <is>
          <t>영업2팀 C</t>
        </is>
      </c>
      <c r="B85" s="9" t="inlineStr">
        <is>
          <t>Praix Industrial Ltda.</t>
        </is>
      </c>
      <c r="C85" s="9" t="inlineStr">
        <is>
          <t>Brazil</t>
        </is>
      </c>
      <c r="D85" s="9" t="inlineStr">
        <is>
          <t>OA 30 DAYS</t>
        </is>
      </c>
      <c r="E85" s="9" t="inlineStr">
        <is>
          <t>INV-2608-0054</t>
        </is>
      </c>
      <c r="F85" s="12" t="inlineStr">
        <is>
          <t>26.8.12</t>
        </is>
      </c>
      <c r="G85" s="10" t="n">
        <v>46276</v>
      </c>
      <c r="H85" s="11" t="n">
        <v>68365</v>
      </c>
      <c r="I85" s="11" t="n">
        <v>48270</v>
      </c>
      <c r="J85" s="12" t="inlineStr">
        <is>
          <t>USD</t>
        </is>
      </c>
      <c r="K85" s="9" t="n"/>
    </row>
    <row r="86" ht="19.5" customHeight="1">
      <c r="A86" s="9" t="inlineStr">
        <is>
          <t>영업2팀 C</t>
        </is>
      </c>
      <c r="B86" s="9" t="inlineStr">
        <is>
          <t>Uleon Anlagenbau GmbH</t>
        </is>
      </c>
      <c r="C86" s="9" t="inlineStr">
        <is>
          <t>Germany</t>
        </is>
      </c>
      <c r="D86" s="9" t="inlineStr">
        <is>
          <t>OA 60 DAYS</t>
        </is>
      </c>
      <c r="E86" s="9" t="inlineStr">
        <is>
          <t>INV-2607-0001</t>
        </is>
      </c>
      <c r="F86" s="10" t="n">
        <v>46204</v>
      </c>
      <c r="G86" s="10" t="n">
        <v>46264</v>
      </c>
      <c r="H86" s="11" t="n">
        <v>12092</v>
      </c>
      <c r="I86" s="11" t="n">
        <v>6850</v>
      </c>
      <c r="J86" s="12" t="inlineStr">
        <is>
          <t>EUR</t>
        </is>
      </c>
      <c r="K86" s="9" t="n"/>
    </row>
    <row r="87" ht="19.5" customHeight="1">
      <c r="A87" s="9" t="inlineStr">
        <is>
          <t>영업2팀 C</t>
        </is>
      </c>
      <c r="B87" s="9" t="inlineStr">
        <is>
          <t>Uleon Anlagenbau GmbH</t>
        </is>
      </c>
      <c r="C87" s="9" t="inlineStr">
        <is>
          <t>Germany</t>
        </is>
      </c>
      <c r="D87" s="9" t="inlineStr">
        <is>
          <t>사후송금 60일</t>
        </is>
      </c>
      <c r="E87" s="9" t="inlineStr">
        <is>
          <t>INV-2608-0117</t>
        </is>
      </c>
      <c r="F87" s="10" t="n">
        <v>46258</v>
      </c>
      <c r="G87" s="10" t="n">
        <v>46318</v>
      </c>
      <c r="H87" s="11" t="n">
        <v>1984531</v>
      </c>
      <c r="I87" s="11" t="n">
        <v>1230</v>
      </c>
      <c r="J87" s="12" t="inlineStr">
        <is>
          <t>EUR</t>
        </is>
      </c>
      <c r="K87" s="9" t="inlineStr">
        <is>
          <t>선적 지연으로 결제 연기 요청</t>
        </is>
      </c>
    </row>
    <row r="88" ht="19.5" customHeight="1">
      <c r="A88" s="14" t="inlineStr">
        <is>
          <t>영업2팀 C 소계</t>
        </is>
      </c>
      <c r="B88" s="14" t="n"/>
      <c r="C88" s="14" t="n"/>
      <c r="D88" s="14" t="n"/>
      <c r="E88" s="14" t="n"/>
      <c r="F88" s="14" t="n"/>
      <c r="G88" s="14" t="n"/>
      <c r="H88" s="15">
        <f>SUM(H62:H87)</f>
        <v>2442689</v>
      </c>
      <c r="I88" s="14" t="n"/>
      <c r="J88" s="14" t="n"/>
      <c r="K88" s="14" t="n"/>
    </row>
    <row r="89" ht="19.5" customHeight="1"/>
    <row r="90" ht="19.5" customHeight="1">
      <c r="A90" s="9" t="inlineStr">
        <is>
          <t>영업2팀 D</t>
        </is>
      </c>
      <c r="B90" s="9" t="inlineStr">
        <is>
          <t>Briion Projects Corp.</t>
        </is>
      </c>
      <c r="C90" s="9" t="inlineStr">
        <is>
          <t>United States</t>
        </is>
      </c>
      <c r="D90" s="9" t="inlineStr">
        <is>
          <t>L/C 90 days usance</t>
        </is>
      </c>
      <c r="E90" s="9" t="inlineStr">
        <is>
          <t>INV-2608-0143</t>
        </is>
      </c>
      <c r="F90" s="12" t="inlineStr">
        <is>
          <t>26.8.30</t>
        </is>
      </c>
      <c r="G90" s="12" t="inlineStr">
        <is>
          <t>26.11.28</t>
        </is>
      </c>
      <c r="H90" s="11" t="n">
        <v>41258</v>
      </c>
      <c r="I90" s="11" t="n">
        <v>29910</v>
      </c>
      <c r="J90" s="12" t="inlineStr">
        <is>
          <t>USD</t>
        </is>
      </c>
      <c r="K90" s="9" t="n"/>
    </row>
    <row r="91" ht="19.5" customHeight="1">
      <c r="A91" s="9" t="inlineStr">
        <is>
          <t>영업2팀 D</t>
        </is>
      </c>
      <c r="B91" s="9" t="inlineStr">
        <is>
          <t>Corost Comercializadora S.A. de C.V.</t>
        </is>
      </c>
      <c r="C91" s="9" t="inlineStr">
        <is>
          <t>Mexico</t>
        </is>
      </c>
      <c r="D91" s="9" t="inlineStr">
        <is>
          <t>O/A 90</t>
        </is>
      </c>
      <c r="E91" s="9" t="inlineStr">
        <is>
          <t>INV-2605-0073</t>
        </is>
      </c>
      <c r="F91" s="12" t="inlineStr">
        <is>
          <t>26.5.15</t>
        </is>
      </c>
      <c r="G91" s="12" t="inlineStr">
        <is>
          <t>26.8.13</t>
        </is>
      </c>
      <c r="H91" s="11" t="n">
        <v>33201</v>
      </c>
      <c r="I91" s="11" t="n">
        <v>22140</v>
      </c>
      <c r="J91" s="12" t="inlineStr">
        <is>
          <t>USD</t>
        </is>
      </c>
      <c r="K91" s="9" t="inlineStr">
        <is>
          <t>9/25 통화, 10월 초 송금 약속</t>
        </is>
      </c>
    </row>
    <row r="92" ht="19.5" customHeight="1">
      <c r="A92" s="9" t="inlineStr">
        <is>
          <t>영업2팀 D</t>
        </is>
      </c>
      <c r="B92" s="9" t="inlineStr">
        <is>
          <t>Corost Comercializadora S.A. de C.V.</t>
        </is>
      </c>
      <c r="C92" s="9" t="inlineStr">
        <is>
          <t>Mexico</t>
        </is>
      </c>
      <c r="D92" s="9" t="inlineStr">
        <is>
          <t>OA 90 DAYS</t>
        </is>
      </c>
      <c r="E92" s="9" t="inlineStr">
        <is>
          <t>INV-2606-0113</t>
        </is>
      </c>
      <c r="F92" s="12" t="inlineStr">
        <is>
          <t>26.6.24</t>
        </is>
      </c>
      <c r="G92" s="12" t="inlineStr">
        <is>
          <t>26.9.22</t>
        </is>
      </c>
      <c r="H92" s="11" t="n">
        <v>11569</v>
      </c>
      <c r="I92" s="11" t="n">
        <v>7500</v>
      </c>
      <c r="J92" s="12" t="inlineStr">
        <is>
          <t>USD</t>
        </is>
      </c>
      <c r="K92" s="9" t="n"/>
    </row>
    <row r="93" ht="19.5" customHeight="1">
      <c r="A93" s="9" t="inlineStr">
        <is>
          <t>영업2팀 D</t>
        </is>
      </c>
      <c r="B93" s="9" t="inlineStr">
        <is>
          <t>Corost Comercializadora S.A. de C.V.</t>
        </is>
      </c>
      <c r="C93" s="9" t="inlineStr">
        <is>
          <t>Mexico</t>
        </is>
      </c>
      <c r="D93" s="9" t="inlineStr">
        <is>
          <t>O/A 90</t>
        </is>
      </c>
      <c r="E93" s="9" t="inlineStr">
        <is>
          <t>INV-2607-0073</t>
        </is>
      </c>
      <c r="F93" s="12" t="inlineStr">
        <is>
          <t>26.7.14</t>
        </is>
      </c>
      <c r="G93" s="10" t="n">
        <v>46307</v>
      </c>
      <c r="H93" s="11" t="n">
        <v>6736</v>
      </c>
      <c r="I93" s="11" t="n">
        <v>4520</v>
      </c>
      <c r="J93" s="12" t="inlineStr">
        <is>
          <t>USD</t>
        </is>
      </c>
      <c r="K93" s="9" t="n"/>
    </row>
    <row r="94" ht="19.5" customHeight="1">
      <c r="A94" s="9" t="inlineStr">
        <is>
          <t>영업2팀 D</t>
        </is>
      </c>
      <c r="B94" s="9" t="inlineStr">
        <is>
          <t>Corost Comercializadora S.A. de C.V.</t>
        </is>
      </c>
      <c r="C94" s="9" t="inlineStr">
        <is>
          <t>Mexico</t>
        </is>
      </c>
      <c r="D94" s="9" t="inlineStr">
        <is>
          <t>O/A 90</t>
        </is>
      </c>
      <c r="E94" s="9" t="inlineStr">
        <is>
          <t>INV-2607-0098</t>
        </is>
      </c>
      <c r="F94" s="12" t="inlineStr">
        <is>
          <t>26.7.18</t>
        </is>
      </c>
      <c r="G94" s="12" t="inlineStr">
        <is>
          <t>26.10.16</t>
        </is>
      </c>
      <c r="H94" s="11" t="n">
        <v>21567</v>
      </c>
      <c r="I94" s="11" t="n">
        <v>14480</v>
      </c>
      <c r="J94" s="12" t="inlineStr">
        <is>
          <t>USD</t>
        </is>
      </c>
      <c r="K94" s="9" t="n"/>
    </row>
    <row r="95" ht="19.5" customHeight="1">
      <c r="A95" s="9" t="inlineStr">
        <is>
          <t>영업2팀 D</t>
        </is>
      </c>
      <c r="B95" s="9" t="inlineStr">
        <is>
          <t>Corost Comercializadora S.A. de C.V.</t>
        </is>
      </c>
      <c r="C95" s="9" t="inlineStr">
        <is>
          <t>Mexico</t>
        </is>
      </c>
      <c r="D95" s="9" t="inlineStr">
        <is>
          <t>O/A 90</t>
        </is>
      </c>
      <c r="E95" s="9" t="inlineStr">
        <is>
          <t>INV-2607-0121</t>
        </is>
      </c>
      <c r="F95" s="12" t="inlineStr">
        <is>
          <t>7월 21일</t>
        </is>
      </c>
      <c r="G95" s="12" t="inlineStr">
        <is>
          <t>26.10.19</t>
        </is>
      </c>
      <c r="H95" s="11" t="n">
        <v>7354</v>
      </c>
      <c r="I95" s="11" t="n">
        <v>4970</v>
      </c>
      <c r="J95" s="12" t="inlineStr">
        <is>
          <t>USD</t>
        </is>
      </c>
      <c r="K95" s="9" t="n"/>
    </row>
    <row r="96" ht="19.5" customHeight="1">
      <c r="A96" s="9" t="inlineStr">
        <is>
          <t>영업2팀 D</t>
        </is>
      </c>
      <c r="B96" s="9" t="inlineStr">
        <is>
          <t>Corost Comercializadora S.A. de C.V.</t>
        </is>
      </c>
      <c r="C96" s="9" t="inlineStr">
        <is>
          <t>Mexico</t>
        </is>
      </c>
      <c r="D96" s="9" t="inlineStr">
        <is>
          <t>OA 90 DAYS</t>
        </is>
      </c>
      <c r="E96" s="9" t="inlineStr">
        <is>
          <t>INV-2609-0151</t>
        </is>
      </c>
      <c r="F96" s="12" t="inlineStr">
        <is>
          <t>26.9.28</t>
        </is>
      </c>
      <c r="G96" s="12" t="inlineStr">
        <is>
          <t>26.12.27</t>
        </is>
      </c>
      <c r="H96" s="13" t="inlineStr">
        <is>
          <t>4,436</t>
        </is>
      </c>
      <c r="I96" s="11" t="n">
        <v>3270</v>
      </c>
      <c r="J96" s="12" t="inlineStr">
        <is>
          <t>USD</t>
        </is>
      </c>
      <c r="K96" s="9" t="n"/>
    </row>
    <row r="97" ht="19.5" customHeight="1">
      <c r="A97" s="9" t="inlineStr">
        <is>
          <t>영업2팀 D</t>
        </is>
      </c>
      <c r="B97" s="9" t="inlineStr">
        <is>
          <t>Galeth Instruments LLC</t>
        </is>
      </c>
      <c r="C97" s="9" t="inlineStr">
        <is>
          <t>United States</t>
        </is>
      </c>
      <c r="D97" s="9" t="inlineStr">
        <is>
          <t>OA60days</t>
        </is>
      </c>
      <c r="E97" s="9" t="inlineStr">
        <is>
          <t>INV-2607-0114</t>
        </is>
      </c>
      <c r="F97" s="12" t="inlineStr">
        <is>
          <t>26.7.20</t>
        </is>
      </c>
      <c r="G97" s="12" t="inlineStr">
        <is>
          <t>26.9.18</t>
        </is>
      </c>
      <c r="H97" s="11" t="n">
        <v>7052</v>
      </c>
      <c r="I97" s="11" t="n">
        <v>4770</v>
      </c>
      <c r="J97" s="12" t="inlineStr">
        <is>
          <t>USD</t>
        </is>
      </c>
      <c r="K97" s="9" t="n"/>
    </row>
    <row r="98" ht="19.5" customHeight="1">
      <c r="A98" s="9" t="inlineStr">
        <is>
          <t>영업2팀 D</t>
        </is>
      </c>
      <c r="B98" s="9" t="inlineStr">
        <is>
          <t>Galeth Instruments LLC</t>
        </is>
      </c>
      <c r="C98" s="9" t="inlineStr">
        <is>
          <t>United States</t>
        </is>
      </c>
      <c r="D98" s="9" t="inlineStr">
        <is>
          <t>OA 60 DAYS</t>
        </is>
      </c>
      <c r="E98" s="9" t="inlineStr">
        <is>
          <t>INV-2607-0153</t>
        </is>
      </c>
      <c r="F98" s="12" t="inlineStr">
        <is>
          <t>26.7.25</t>
        </is>
      </c>
      <c r="G98" s="12" t="inlineStr">
        <is>
          <t>26.9.23</t>
        </is>
      </c>
      <c r="H98" s="13" t="inlineStr">
        <is>
          <t>25,695</t>
        </is>
      </c>
      <c r="I98" s="11" t="n">
        <v>17590</v>
      </c>
      <c r="J98" s="12" t="inlineStr">
        <is>
          <t>USD</t>
        </is>
      </c>
      <c r="K98" s="9" t="n"/>
    </row>
    <row r="99" ht="19.5" customHeight="1">
      <c r="A99" s="9" t="inlineStr">
        <is>
          <t>영업2팀 D</t>
        </is>
      </c>
      <c r="B99" s="9" t="inlineStr">
        <is>
          <t>Galeth Instruments LLC</t>
        </is>
      </c>
      <c r="C99" s="9" t="inlineStr">
        <is>
          <t>United States</t>
        </is>
      </c>
      <c r="D99" s="9" t="inlineStr">
        <is>
          <t>OA 60 DAYS</t>
        </is>
      </c>
      <c r="E99" s="9" t="inlineStr">
        <is>
          <t>INV-2608-0134</t>
        </is>
      </c>
      <c r="F99" s="12" t="inlineStr">
        <is>
          <t>26.8.27</t>
        </is>
      </c>
      <c r="G99" s="12" t="inlineStr">
        <is>
          <t>26.10.26</t>
        </is>
      </c>
      <c r="H99" s="11" t="n">
        <v>5332</v>
      </c>
      <c r="I99" s="11" t="n">
        <v>3860</v>
      </c>
      <c r="J99" s="12" t="inlineStr">
        <is>
          <t>USD</t>
        </is>
      </c>
      <c r="K99" s="9" t="n"/>
    </row>
    <row r="100" ht="19.5" customHeight="1">
      <c r="A100" s="9" t="inlineStr">
        <is>
          <t>영업2팀 D</t>
        </is>
      </c>
      <c r="B100" s="9" t="inlineStr">
        <is>
          <t>Galeth Instruments LLC</t>
        </is>
      </c>
      <c r="C100" s="9" t="inlineStr">
        <is>
          <t>United States</t>
        </is>
      </c>
      <c r="D100" s="9" t="inlineStr">
        <is>
          <t>O/A 60일</t>
        </is>
      </c>
      <c r="E100" s="9" t="inlineStr">
        <is>
          <t>INV-2609-0091</t>
        </is>
      </c>
      <c r="F100" s="12" t="inlineStr">
        <is>
          <t>26.9.17</t>
        </is>
      </c>
      <c r="G100" s="12" t="inlineStr">
        <is>
          <t>26.11.16</t>
        </is>
      </c>
      <c r="H100" s="11" t="n">
        <v>18622</v>
      </c>
      <c r="I100" s="11" t="n">
        <v>13490</v>
      </c>
      <c r="J100" s="12" t="inlineStr">
        <is>
          <t>USD</t>
        </is>
      </c>
      <c r="K100" s="9" t="inlineStr">
        <is>
          <t>B/L 사본 대기</t>
        </is>
      </c>
    </row>
    <row r="101" ht="19.5" customHeight="1">
      <c r="A101" s="9" t="inlineStr">
        <is>
          <t>영업2팀 D</t>
        </is>
      </c>
      <c r="B101" s="9" t="inlineStr">
        <is>
          <t>Gemvelund Anlagenbau GmbH</t>
        </is>
      </c>
      <c r="C101" s="9" t="inlineStr">
        <is>
          <t>Germany</t>
        </is>
      </c>
      <c r="D101" s="9" t="inlineStr">
        <is>
          <t>O/A 60일</t>
        </is>
      </c>
      <c r="E101" s="9" t="inlineStr">
        <is>
          <t>INV-2608-0139</t>
        </is>
      </c>
      <c r="F101" s="12" t="inlineStr">
        <is>
          <t>26.8.28</t>
        </is>
      </c>
      <c r="G101" s="12" t="inlineStr">
        <is>
          <t>26.10.27</t>
        </is>
      </c>
      <c r="H101" s="11" t="n">
        <v>29181</v>
      </c>
      <c r="I101" s="11" t="n">
        <v>18240</v>
      </c>
      <c r="J101" s="12" t="inlineStr">
        <is>
          <t>EUR</t>
        </is>
      </c>
      <c r="K101" s="9" t="n"/>
    </row>
    <row r="102" ht="19.5" customHeight="1">
      <c r="A102" s="9" t="inlineStr">
        <is>
          <t>영업2팀 D</t>
        </is>
      </c>
      <c r="B102" s="9" t="inlineStr">
        <is>
          <t>Gemvelund Anlagenbau GmbH</t>
        </is>
      </c>
      <c r="C102" s="9" t="inlineStr">
        <is>
          <t>Germany</t>
        </is>
      </c>
      <c r="D102" s="9" t="inlineStr">
        <is>
          <t>OA60days</t>
        </is>
      </c>
      <c r="E102" s="9" t="inlineStr">
        <is>
          <t>INV-2609-0160</t>
        </is>
      </c>
      <c r="F102" s="12" t="inlineStr">
        <is>
          <t>26.9.30</t>
        </is>
      </c>
      <c r="G102" s="12" t="inlineStr">
        <is>
          <t>26.11.29</t>
        </is>
      </c>
      <c r="H102" s="11" t="n">
        <v>19516</v>
      </c>
      <c r="I102" s="11" t="n">
        <v>12620</v>
      </c>
      <c r="J102" s="12" t="inlineStr">
        <is>
          <t>EUR</t>
        </is>
      </c>
      <c r="K102" s="9" t="n"/>
    </row>
    <row r="103" ht="19.5" customHeight="1">
      <c r="A103" s="9" t="inlineStr">
        <is>
          <t>영업2팀 D</t>
        </is>
      </c>
      <c r="B103" s="9" t="inlineStr">
        <is>
          <t>Helvara Humanitarian Supply Agency</t>
        </is>
      </c>
      <c r="C103" s="9" t="inlineStr">
        <is>
          <t>Germany</t>
        </is>
      </c>
      <c r="D103" s="9" t="inlineStr">
        <is>
          <t>사후송금 30일</t>
        </is>
      </c>
      <c r="E103" s="9" t="inlineStr">
        <is>
          <t>INV-2609-0053</t>
        </is>
      </c>
      <c r="F103" s="12" t="inlineStr">
        <is>
          <t>26.9.10</t>
        </is>
      </c>
      <c r="G103" s="12" t="inlineStr">
        <is>
          <t>26.10.10</t>
        </is>
      </c>
      <c r="H103" s="11" t="n">
        <v>15773</v>
      </c>
      <c r="I103" s="11" t="n">
        <v>10080</v>
      </c>
      <c r="J103" s="12" t="inlineStr">
        <is>
          <t>EUR</t>
        </is>
      </c>
      <c r="K103" s="9" t="inlineStr">
        <is>
          <t>B/L 사본 대기</t>
        </is>
      </c>
    </row>
    <row r="104" ht="19.5" customHeight="1">
      <c r="A104" s="9" t="inlineStr">
        <is>
          <t>영업2팀 D</t>
        </is>
      </c>
      <c r="B104" s="9" t="inlineStr">
        <is>
          <t>Ivoost Industrial Ltda.</t>
        </is>
      </c>
      <c r="C104" s="9" t="inlineStr">
        <is>
          <t>Brazil</t>
        </is>
      </c>
      <c r="D104" s="9" t="inlineStr">
        <is>
          <t>O/A 60</t>
        </is>
      </c>
      <c r="E104" s="9" t="inlineStr">
        <is>
          <t>INV-2609-0032</t>
        </is>
      </c>
      <c r="F104" s="12" t="inlineStr">
        <is>
          <t>26.9.5</t>
        </is>
      </c>
      <c r="G104" s="12" t="inlineStr">
        <is>
          <t>26.11.4</t>
        </is>
      </c>
      <c r="H104" s="11" t="n">
        <v>5884</v>
      </c>
      <c r="I104" s="11" t="n">
        <v>4370</v>
      </c>
      <c r="J104" s="12" t="inlineStr">
        <is>
          <t>USD</t>
        </is>
      </c>
      <c r="K104" s="9" t="n"/>
    </row>
    <row r="105" ht="19.5" customHeight="1">
      <c r="A105" s="9" t="inlineStr">
        <is>
          <t>영업2팀 D</t>
        </is>
      </c>
      <c r="B105" s="9" t="inlineStr">
        <is>
          <t>Ivoost Industrial Ltda.</t>
        </is>
      </c>
      <c r="C105" s="9" t="inlineStr">
        <is>
          <t>Brazil</t>
        </is>
      </c>
      <c r="D105" s="9" t="inlineStr">
        <is>
          <t>OA60days</t>
        </is>
      </c>
      <c r="E105" s="9" t="inlineStr">
        <is>
          <t>INV-2609-0044</t>
        </is>
      </c>
      <c r="F105" s="12" t="inlineStr">
        <is>
          <t>26.9.7</t>
        </is>
      </c>
      <c r="G105" s="12" t="inlineStr">
        <is>
          <t>26.11.6</t>
        </is>
      </c>
      <c r="H105" s="11" t="n">
        <v>5655</v>
      </c>
      <c r="I105" s="11" t="n">
        <v>4200</v>
      </c>
      <c r="J105" s="12" t="inlineStr">
        <is>
          <t>USD</t>
        </is>
      </c>
      <c r="K105" s="9" t="n"/>
    </row>
    <row r="106" ht="19.5" customHeight="1">
      <c r="A106" s="9" t="inlineStr">
        <is>
          <t>영업2팀 D</t>
        </is>
      </c>
      <c r="B106" s="9" t="inlineStr">
        <is>
          <t>Junant Anlagenbau AG</t>
        </is>
      </c>
      <c r="C106" s="9" t="inlineStr">
        <is>
          <t>Germany</t>
        </is>
      </c>
      <c r="D106" s="9" t="inlineStr">
        <is>
          <t>OA 60 DAYS</t>
        </is>
      </c>
      <c r="E106" s="9" t="inlineStr">
        <is>
          <t>INV-2608-0009</t>
        </is>
      </c>
      <c r="F106" s="12" t="inlineStr">
        <is>
          <t>26.8.2</t>
        </is>
      </c>
      <c r="G106" s="12" t="inlineStr">
        <is>
          <t>26.10.1</t>
        </is>
      </c>
      <c r="H106" s="11" t="n">
        <v>2267</v>
      </c>
      <c r="I106" s="11" t="n">
        <v>1370</v>
      </c>
      <c r="J106" s="12" t="inlineStr">
        <is>
          <t>EUR</t>
        </is>
      </c>
      <c r="K106" s="9" t="n"/>
    </row>
    <row r="107" ht="19.5" customHeight="1">
      <c r="A107" s="9" t="inlineStr">
        <is>
          <t>영업2팀 D</t>
        </is>
      </c>
      <c r="B107" s="9" t="inlineStr">
        <is>
          <t>Kalora Machinery LLC</t>
        </is>
      </c>
      <c r="C107" s="9" t="inlineStr">
        <is>
          <t>United States</t>
        </is>
      </c>
      <c r="D107" s="9" t="inlineStr">
        <is>
          <t>사후송금 60일</t>
        </is>
      </c>
      <c r="E107" s="9" t="inlineStr">
        <is>
          <t>INV-2607-0031</t>
        </is>
      </c>
      <c r="F107" s="12" t="inlineStr">
        <is>
          <t>26.7.5</t>
        </is>
      </c>
      <c r="G107" s="12" t="inlineStr">
        <is>
          <t>26.9.3</t>
        </is>
      </c>
      <c r="H107" s="11" t="n">
        <v>3845</v>
      </c>
      <c r="I107" s="11" t="n">
        <v>2500</v>
      </c>
      <c r="J107" s="12" t="inlineStr">
        <is>
          <t>USD</t>
        </is>
      </c>
      <c r="K107" s="9" t="n"/>
    </row>
    <row r="108" ht="19.5" customHeight="1">
      <c r="A108" s="9" t="inlineStr">
        <is>
          <t>영업2팀 D</t>
        </is>
      </c>
      <c r="B108" s="9" t="inlineStr">
        <is>
          <t>Kalora Machinery LLC</t>
        </is>
      </c>
      <c r="C108" s="9" t="inlineStr">
        <is>
          <t>USA</t>
        </is>
      </c>
      <c r="D108" s="9" t="inlineStr">
        <is>
          <t>O/A 60일</t>
        </is>
      </c>
      <c r="E108" s="9" t="inlineStr">
        <is>
          <t>INV-2607-0140</t>
        </is>
      </c>
      <c r="F108" s="12" t="inlineStr">
        <is>
          <t>26.7.22</t>
        </is>
      </c>
      <c r="G108" s="12" t="inlineStr">
        <is>
          <t>26.9.20</t>
        </is>
      </c>
      <c r="H108" s="11" t="n">
        <v>30699</v>
      </c>
      <c r="I108" s="11" t="n">
        <v>20790</v>
      </c>
      <c r="J108" s="12" t="inlineStr">
        <is>
          <t>USD</t>
        </is>
      </c>
      <c r="K108" s="9" t="n"/>
    </row>
    <row r="109" ht="19.5" customHeight="1">
      <c r="A109" s="9" t="inlineStr">
        <is>
          <t>영업2팀 D</t>
        </is>
      </c>
      <c r="B109" s="9" t="inlineStr">
        <is>
          <t>Kalora Machinery LLC</t>
        </is>
      </c>
      <c r="C109" s="9" t="inlineStr">
        <is>
          <t>United States</t>
        </is>
      </c>
      <c r="D109" s="9" t="inlineStr">
        <is>
          <t>O/A 60</t>
        </is>
      </c>
      <c r="E109" s="9" t="inlineStr">
        <is>
          <t>INV-2608-0031</t>
        </is>
      </c>
      <c r="F109" s="12" t="inlineStr">
        <is>
          <t>26.8.7</t>
        </is>
      </c>
      <c r="G109" s="12" t="inlineStr">
        <is>
          <t>26.10.6</t>
        </is>
      </c>
      <c r="H109" s="11" t="n">
        <v>16384</v>
      </c>
      <c r="I109" s="11" t="n">
        <v>11620</v>
      </c>
      <c r="J109" s="12" t="inlineStr">
        <is>
          <t>USD</t>
        </is>
      </c>
      <c r="K109" s="9" t="n"/>
    </row>
    <row r="110" ht="19.5" customHeight="1">
      <c r="A110" s="9" t="inlineStr">
        <is>
          <t>영업2팀 D</t>
        </is>
      </c>
      <c r="B110" s="9" t="inlineStr">
        <is>
          <t>Kalora Machinery LLC</t>
        </is>
      </c>
      <c r="C110" s="9" t="inlineStr">
        <is>
          <t>United States</t>
        </is>
      </c>
      <c r="D110" s="9" t="inlineStr">
        <is>
          <t>OA60days</t>
        </is>
      </c>
      <c r="E110" s="9" t="inlineStr">
        <is>
          <t>INV-2608-0040</t>
        </is>
      </c>
      <c r="F110" s="12" t="inlineStr">
        <is>
          <t>26.8.9</t>
        </is>
      </c>
      <c r="G110" s="12" t="inlineStr">
        <is>
          <t>10월 8일</t>
        </is>
      </c>
      <c r="H110" s="11" t="n">
        <v>12097</v>
      </c>
      <c r="I110" s="11" t="n">
        <v>8580</v>
      </c>
      <c r="J110" s="12" t="inlineStr">
        <is>
          <t>US$</t>
        </is>
      </c>
      <c r="K110" s="9" t="n"/>
    </row>
    <row r="111" ht="19.5" customHeight="1">
      <c r="A111" s="9" t="inlineStr">
        <is>
          <t>영업2팀 D</t>
        </is>
      </c>
      <c r="B111" s="9" t="inlineStr">
        <is>
          <t>Kalora Machinery LLC</t>
        </is>
      </c>
      <c r="C111" s="9" t="inlineStr">
        <is>
          <t>United States</t>
        </is>
      </c>
      <c r="D111" s="9" t="inlineStr">
        <is>
          <t>O/A 60</t>
        </is>
      </c>
      <c r="E111" s="9" t="inlineStr">
        <is>
          <t>INV-2608-0076</t>
        </is>
      </c>
      <c r="F111" s="12" t="inlineStr">
        <is>
          <t>26.8.16</t>
        </is>
      </c>
      <c r="G111" s="12" t="inlineStr">
        <is>
          <t>26.10.15</t>
        </is>
      </c>
      <c r="H111" s="11" t="n">
        <v>22261</v>
      </c>
      <c r="I111" s="11" t="n">
        <v>15740</v>
      </c>
      <c r="J111" s="12" t="inlineStr">
        <is>
          <t>USD</t>
        </is>
      </c>
      <c r="K111" s="9" t="n"/>
    </row>
    <row r="112" ht="19.5" customHeight="1">
      <c r="A112" s="9" t="inlineStr">
        <is>
          <t>영업2팀 D</t>
        </is>
      </c>
      <c r="B112" s="9" t="inlineStr">
        <is>
          <t>Kalora Machinery LLC</t>
        </is>
      </c>
      <c r="C112" s="9" t="inlineStr">
        <is>
          <t>United States</t>
        </is>
      </c>
      <c r="D112" s="9" t="inlineStr">
        <is>
          <t>O/A 60</t>
        </is>
      </c>
      <c r="E112" s="9" t="inlineStr">
        <is>
          <t>INV-2608-0111</t>
        </is>
      </c>
      <c r="F112" s="12" t="inlineStr">
        <is>
          <t>26.8.22</t>
        </is>
      </c>
      <c r="G112" s="12" t="inlineStr">
        <is>
          <t>26.10.21</t>
        </is>
      </c>
      <c r="H112" s="11" t="n">
        <v>19058</v>
      </c>
      <c r="I112" s="11" t="n">
        <v>13760</v>
      </c>
      <c r="J112" s="12" t="inlineStr">
        <is>
          <t>USD</t>
        </is>
      </c>
      <c r="K112" s="9" t="inlineStr">
        <is>
          <t>선적 지연으로 결제 연기 요청</t>
        </is>
      </c>
    </row>
    <row r="113" ht="19.5" customHeight="1">
      <c r="A113" s="9" t="inlineStr">
        <is>
          <t>영업2팀 D</t>
        </is>
      </c>
      <c r="B113" s="9" t="inlineStr">
        <is>
          <t>Kalora Machinery LLC</t>
        </is>
      </c>
      <c r="C113" s="9" t="inlineStr">
        <is>
          <t>United States</t>
        </is>
      </c>
      <c r="D113" s="9" t="inlineStr">
        <is>
          <t>사후송금 60일</t>
        </is>
      </c>
      <c r="E113" s="9" t="inlineStr">
        <is>
          <t>INV-2609-0029</t>
        </is>
      </c>
      <c r="F113" s="12" t="inlineStr">
        <is>
          <t>26.9.4</t>
        </is>
      </c>
      <c r="G113" s="12" t="inlineStr">
        <is>
          <t>26.11.3</t>
        </is>
      </c>
      <c r="H113" s="11" t="n">
        <v>26540</v>
      </c>
      <c r="I113" s="11" t="n">
        <v>19710</v>
      </c>
      <c r="J113" s="12" t="inlineStr">
        <is>
          <t>usd</t>
        </is>
      </c>
      <c r="K113" s="9" t="n"/>
    </row>
    <row r="114" ht="19.5" customHeight="1">
      <c r="A114" s="9" t="inlineStr">
        <is>
          <t>영업2팀 D</t>
        </is>
      </c>
      <c r="B114" s="9" t="inlineStr">
        <is>
          <t>Kalora Machinery LLC</t>
        </is>
      </c>
      <c r="C114" s="9" t="inlineStr">
        <is>
          <t>USA</t>
        </is>
      </c>
      <c r="D114" s="9" t="inlineStr">
        <is>
          <t>O/A 60일</t>
        </is>
      </c>
      <c r="E114" s="9" t="inlineStr">
        <is>
          <t>INV-2609-0097</t>
        </is>
      </c>
      <c r="F114" s="10" t="n">
        <v>46283</v>
      </c>
      <c r="G114" s="12" t="inlineStr">
        <is>
          <t>26.11.17</t>
        </is>
      </c>
      <c r="H114" s="11" t="n">
        <v>22763</v>
      </c>
      <c r="I114" s="11" t="n">
        <v>16400</v>
      </c>
      <c r="J114" s="12" t="inlineStr">
        <is>
          <t>USD</t>
        </is>
      </c>
      <c r="K114" s="9" t="n"/>
    </row>
    <row r="115" ht="19.5" customHeight="1">
      <c r="A115" s="9" t="inlineStr">
        <is>
          <t>영업2팀 D</t>
        </is>
      </c>
      <c r="B115" s="9" t="inlineStr">
        <is>
          <t>Kalora Machinery LLC</t>
        </is>
      </c>
      <c r="C115" s="9" t="inlineStr">
        <is>
          <t>United States</t>
        </is>
      </c>
      <c r="D115" s="9" t="inlineStr">
        <is>
          <t>O/A 60</t>
        </is>
      </c>
      <c r="E115" s="9" t="inlineStr">
        <is>
          <t>INV-2609-0131</t>
        </is>
      </c>
      <c r="F115" s="12" t="inlineStr">
        <is>
          <t>26.9.24</t>
        </is>
      </c>
      <c r="G115" s="12" t="inlineStr">
        <is>
          <t>26.11.23</t>
        </is>
      </c>
      <c r="H115" s="11" t="n">
        <v>16488</v>
      </c>
      <c r="I115" s="11" t="n">
        <v>12040</v>
      </c>
      <c r="J115" s="12" t="inlineStr">
        <is>
          <t>USD</t>
        </is>
      </c>
      <c r="K115" s="9" t="n"/>
    </row>
    <row r="116" ht="19.5" customHeight="1">
      <c r="A116" s="9" t="inlineStr">
        <is>
          <t>영업2팀 D</t>
        </is>
      </c>
      <c r="B116" s="9" t="inlineStr">
        <is>
          <t>Kalora Machinery LLC</t>
        </is>
      </c>
      <c r="C116" s="9" t="inlineStr">
        <is>
          <t>United States</t>
        </is>
      </c>
      <c r="D116" s="9" t="inlineStr">
        <is>
          <t>OA60days</t>
        </is>
      </c>
      <c r="E116" s="9" t="inlineStr">
        <is>
          <t>INV-2609-0149</t>
        </is>
      </c>
      <c r="F116" s="12" t="inlineStr">
        <is>
          <t>26.9.27</t>
        </is>
      </c>
      <c r="G116" s="12" t="inlineStr">
        <is>
          <t>26.11.26</t>
        </is>
      </c>
      <c r="H116" s="11" t="n">
        <v>24702</v>
      </c>
      <c r="I116" s="11" t="n">
        <v>18210</v>
      </c>
      <c r="J116" s="12" t="inlineStr">
        <is>
          <t>USD</t>
        </is>
      </c>
      <c r="K116" s="9" t="n"/>
    </row>
    <row r="117" ht="19.5" customHeight="1">
      <c r="A117" s="9" t="inlineStr">
        <is>
          <t>영업2팀 D</t>
        </is>
      </c>
      <c r="B117" s="9" t="inlineStr">
        <is>
          <t>Lorion Handel B.V.</t>
        </is>
      </c>
      <c r="C117" s="9" t="inlineStr">
        <is>
          <t>Netherlands</t>
        </is>
      </c>
      <c r="D117" s="9" t="inlineStr">
        <is>
          <t>D/A at 90 days</t>
        </is>
      </c>
      <c r="E117" s="9" t="inlineStr">
        <is>
          <t>INV-2609-0012</t>
        </is>
      </c>
      <c r="F117" s="12" t="inlineStr">
        <is>
          <t>26.9.2</t>
        </is>
      </c>
      <c r="G117" s="12" t="inlineStr">
        <is>
          <t>26.12.1</t>
        </is>
      </c>
      <c r="H117" s="11" t="n">
        <v>6332</v>
      </c>
      <c r="I117" s="11" t="n">
        <v>4020</v>
      </c>
      <c r="J117" s="12" t="inlineStr">
        <is>
          <t>EUR</t>
        </is>
      </c>
      <c r="K117" s="9" t="inlineStr">
        <is>
          <t>9/30 송금 확인 요청함</t>
        </is>
      </c>
    </row>
    <row r="118" ht="19.5" customHeight="1">
      <c r="A118" s="9" t="inlineStr">
        <is>
          <t>영업2팀 D</t>
        </is>
      </c>
      <c r="B118" s="9" t="inlineStr">
        <is>
          <t>Oroari Industries LLC</t>
        </is>
      </c>
      <c r="C118" s="9" t="inlineStr">
        <is>
          <t>USA</t>
        </is>
      </c>
      <c r="D118" s="9" t="inlineStr">
        <is>
          <t>O/A 60</t>
        </is>
      </c>
      <c r="E118" s="9" t="inlineStr">
        <is>
          <t>INV-2509-0164</t>
        </is>
      </c>
      <c r="F118" s="12" t="inlineStr">
        <is>
          <t>25.9.30</t>
        </is>
      </c>
      <c r="G118" s="12" t="inlineStr">
        <is>
          <t>25.11.29</t>
        </is>
      </c>
      <c r="H118" s="11" t="n">
        <v>3090</v>
      </c>
      <c r="I118" s="11" t="n">
        <v>2200</v>
      </c>
      <c r="J118" s="12" t="inlineStr">
        <is>
          <t>USD</t>
        </is>
      </c>
      <c r="K118" s="9" t="inlineStr">
        <is>
          <t>바이어 부도 통보 접수</t>
        </is>
      </c>
    </row>
    <row r="119" ht="19.5" customHeight="1">
      <c r="A119" s="9" t="inlineStr">
        <is>
          <t>영업2팀 D</t>
        </is>
      </c>
      <c r="B119" s="9" t="inlineStr">
        <is>
          <t>Tevura Automation Inc.</t>
        </is>
      </c>
      <c r="C119" s="9" t="inlineStr">
        <is>
          <t>United States</t>
        </is>
      </c>
      <c r="D119" s="9" t="inlineStr">
        <is>
          <t>D/A at 90 days</t>
        </is>
      </c>
      <c r="E119" s="9" t="inlineStr">
        <is>
          <t>INV-2606-0022</t>
        </is>
      </c>
      <c r="F119" s="12" t="inlineStr">
        <is>
          <t>26.6.5</t>
        </is>
      </c>
      <c r="G119" s="12" t="inlineStr">
        <is>
          <t>26.9.3</t>
        </is>
      </c>
      <c r="H119" s="11" t="n">
        <v>31213</v>
      </c>
      <c r="I119" s="11" t="n">
        <v>20060</v>
      </c>
      <c r="J119" s="12" t="inlineStr">
        <is>
          <t>USD</t>
        </is>
      </c>
      <c r="K119" s="9" t="n"/>
    </row>
    <row r="120" ht="19.5" customHeight="1">
      <c r="A120" s="14" t="inlineStr">
        <is>
          <t>영업2팀 D 소계</t>
        </is>
      </c>
      <c r="B120" s="14" t="n"/>
      <c r="C120" s="14" t="n"/>
      <c r="D120" s="14" t="n"/>
      <c r="E120" s="14" t="n"/>
      <c r="F120" s="14" t="n"/>
      <c r="G120" s="14" t="n"/>
      <c r="H120" s="15">
        <f>SUM(H90:H119)</f>
        <v>466439</v>
      </c>
      <c r="I120" s="14" t="n"/>
      <c r="J120" s="14" t="n"/>
      <c r="K120" s="14" t="n"/>
    </row>
    <row r="121" ht="19.5" customHeight="1"/>
    <row r="122">
      <c r="A122" s="16" t="inlineStr">
        <is>
          <t>합계</t>
        </is>
      </c>
      <c r="B122" s="16" t="n"/>
      <c r="C122" s="16" t="n"/>
      <c r="D122" s="16" t="n"/>
      <c r="E122" s="16" t="n"/>
      <c r="F122" s="16" t="n"/>
      <c r="G122" s="16" t="n"/>
      <c r="H122" s="17">
        <f>H31+H60+H88+H120</f>
        <v>3916852</v>
      </c>
      <c r="I122" s="16" t="n"/>
      <c r="J122" s="16" t="n"/>
      <c r="K122" s="16" t="n"/>
    </row>
  </sheetData>
  <mergeCells count="10">
    <mergeCell ref="K3:K4"/>
    <mergeCell ref="C3:C4"/>
    <mergeCell ref="B3:B4"/>
    <mergeCell ref="A3:A4"/>
    <mergeCell ref="E3:E4"/>
    <mergeCell ref="G3:G4"/>
    <mergeCell ref="F3:F4"/>
    <mergeCell ref="D3:D4"/>
    <mergeCell ref="H3:J3"/>
    <mergeCell ref="A1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19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6" customWidth="1" min="10" max="10"/>
    <col width="27" customWidth="1" min="11" max="11"/>
  </cols>
  <sheetData>
    <row r="1" ht="22" customHeight="1">
      <c r="A1" s="1" t="inlineStr">
        <is>
          <t>2026년 9월말 미수금 현황 (단위: 천원)</t>
        </is>
      </c>
    </row>
    <row r="2" ht="22" customHeight="1"/>
    <row r="3">
      <c r="A3" s="8" t="inlineStr">
        <is>
          <t>담당</t>
        </is>
      </c>
      <c r="B3" s="8" t="inlineStr">
        <is>
          <t>바이어</t>
        </is>
      </c>
      <c r="C3" s="8" t="inlineStr">
        <is>
          <t>국가</t>
        </is>
      </c>
      <c r="D3" s="8" t="inlineStr">
        <is>
          <t>결제조건</t>
        </is>
      </c>
      <c r="E3" s="8" t="inlineStr">
        <is>
          <t>인보이스 번호</t>
        </is>
      </c>
      <c r="F3" s="8" t="inlineStr">
        <is>
          <t>선적일</t>
        </is>
      </c>
      <c r="G3" s="8" t="inlineStr">
        <is>
          <t>만기일</t>
        </is>
      </c>
      <c r="H3" s="8" t="inlineStr">
        <is>
          <t>금액</t>
        </is>
      </c>
      <c r="I3" s="8" t="n"/>
      <c r="J3" s="8" t="n"/>
      <c r="K3" s="8" t="inlineStr">
        <is>
          <t>메모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inlineStr">
        <is>
          <t>원화(천원)</t>
        </is>
      </c>
      <c r="I4" s="8" t="inlineStr">
        <is>
          <t>외화</t>
        </is>
      </c>
      <c r="J4" s="8" t="inlineStr">
        <is>
          <t>통화</t>
        </is>
      </c>
      <c r="K4" s="8" t="n"/>
    </row>
    <row r="5" ht="19.5" customHeight="1">
      <c r="A5" s="9" t="inlineStr">
        <is>
          <t>영업3팀 A</t>
        </is>
      </c>
      <c r="B5" s="9" t="inlineStr">
        <is>
          <t>Bexura Industries S.A.E.</t>
        </is>
      </c>
      <c r="C5" s="9" t="inlineStr">
        <is>
          <t>Egypt</t>
        </is>
      </c>
      <c r="D5" s="9" t="inlineStr">
        <is>
          <t>OA30days</t>
        </is>
      </c>
      <c r="E5" s="9" t="inlineStr">
        <is>
          <t>INV-2608-0153</t>
        </is>
      </c>
      <c r="F5" s="12" t="inlineStr">
        <is>
          <t>26.8.31</t>
        </is>
      </c>
      <c r="G5" s="12" t="inlineStr">
        <is>
          <t>9월 30일</t>
        </is>
      </c>
      <c r="H5" s="11" t="n">
        <v>2107</v>
      </c>
      <c r="I5" s="11" t="n">
        <v>1540</v>
      </c>
      <c r="J5" s="12" t="inlineStr">
        <is>
          <t>USD</t>
        </is>
      </c>
      <c r="K5" s="9" t="n"/>
    </row>
    <row r="6" ht="19.5" customHeight="1">
      <c r="A6" s="9" t="inlineStr">
        <is>
          <t>영업3팀 A</t>
        </is>
      </c>
      <c r="B6" s="9" t="inlineStr">
        <is>
          <t>Bexura Industries S.A.E.</t>
        </is>
      </c>
      <c r="C6" s="9" t="inlineStr">
        <is>
          <t>Egypt</t>
        </is>
      </c>
      <c r="D6" s="9" t="inlineStr">
        <is>
          <t>O/A 30일</t>
        </is>
      </c>
      <c r="E6" s="9" t="inlineStr">
        <is>
          <t>INV-2609-0154</t>
        </is>
      </c>
      <c r="F6" s="12" t="inlineStr">
        <is>
          <t>26.9.28</t>
        </is>
      </c>
      <c r="G6" s="12" t="inlineStr">
        <is>
          <t>26.10.28</t>
        </is>
      </c>
      <c r="H6" s="11" t="n">
        <v>10323</v>
      </c>
      <c r="I6" s="11" t="n">
        <v>7610</v>
      </c>
      <c r="J6" s="12" t="inlineStr">
        <is>
          <t>USD</t>
        </is>
      </c>
      <c r="K6" s="9" t="n"/>
    </row>
    <row r="7" ht="19.5" customHeight="1">
      <c r="A7" s="9" t="inlineStr">
        <is>
          <t>영업3팀 A</t>
        </is>
      </c>
      <c r="B7" s="9" t="inlineStr">
        <is>
          <t>Corida Trading LLC</t>
        </is>
      </c>
      <c r="C7" s="9" t="inlineStr">
        <is>
          <t>United Arab Emirates</t>
        </is>
      </c>
      <c r="D7" s="9" t="inlineStr">
        <is>
          <t>OA90days</t>
        </is>
      </c>
      <c r="E7" s="9" t="inlineStr">
        <is>
          <t>INV-2606-0043</t>
        </is>
      </c>
      <c r="F7" s="12" t="inlineStr">
        <is>
          <t>26.6.10</t>
        </is>
      </c>
      <c r="G7" s="12" t="inlineStr">
        <is>
          <t>26.9.8</t>
        </is>
      </c>
      <c r="H7" s="11" t="n">
        <v>68367</v>
      </c>
      <c r="I7" s="11" t="n">
        <v>45000</v>
      </c>
      <c r="J7" s="12" t="inlineStr">
        <is>
          <t>USD</t>
        </is>
      </c>
      <c r="K7" s="9" t="n"/>
    </row>
    <row r="8" ht="19.5" customHeight="1">
      <c r="A8" s="9" t="inlineStr">
        <is>
          <t>영업3팀 A</t>
        </is>
      </c>
      <c r="B8" s="9" t="inlineStr">
        <is>
          <t>Corida Trading LLC</t>
        </is>
      </c>
      <c r="C8" s="9" t="inlineStr">
        <is>
          <t>United Arab Emirates</t>
        </is>
      </c>
      <c r="D8" s="9" t="inlineStr">
        <is>
          <t>OA 90 DAYS</t>
        </is>
      </c>
      <c r="E8" s="9" t="inlineStr">
        <is>
          <t>INV-2607-0115</t>
        </is>
      </c>
      <c r="F8" s="12" t="inlineStr">
        <is>
          <t>26.7.20</t>
        </is>
      </c>
      <c r="G8" s="12" t="inlineStr">
        <is>
          <t>10월 18일</t>
        </is>
      </c>
      <c r="H8" s="11" t="n">
        <v>103482</v>
      </c>
      <c r="I8" s="11" t="n">
        <v>70000</v>
      </c>
      <c r="J8" s="12" t="inlineStr">
        <is>
          <t>USD</t>
        </is>
      </c>
      <c r="K8" s="9" t="n"/>
    </row>
    <row r="9" ht="19.5" customHeight="1">
      <c r="A9" s="9" t="inlineStr">
        <is>
          <t>영업3팀 A</t>
        </is>
      </c>
      <c r="B9" s="9" t="inlineStr">
        <is>
          <t>Corida Trading LLC</t>
        </is>
      </c>
      <c r="C9" s="9" t="inlineStr">
        <is>
          <t>United Arab Emirates</t>
        </is>
      </c>
      <c r="D9" s="9" t="inlineStr">
        <is>
          <t>OA 90 DAYS</t>
        </is>
      </c>
      <c r="E9" s="9" t="inlineStr">
        <is>
          <t>INV-2609-0031</t>
        </is>
      </c>
      <c r="F9" s="12" t="inlineStr">
        <is>
          <t>26.9.5</t>
        </is>
      </c>
      <c r="G9" s="12" t="inlineStr">
        <is>
          <t>26.12.4</t>
        </is>
      </c>
      <c r="H9" s="11" t="n">
        <v>161581</v>
      </c>
      <c r="I9" s="11" t="n">
        <v>120000</v>
      </c>
      <c r="J9" s="12" t="inlineStr">
        <is>
          <t>USD</t>
        </is>
      </c>
      <c r="K9" s="9" t="n"/>
    </row>
    <row r="10" ht="19.5" customHeight="1">
      <c r="A10" s="9" t="inlineStr">
        <is>
          <t>영업3팀 A</t>
        </is>
      </c>
      <c r="B10" s="9" t="inlineStr">
        <is>
          <t>Lumasta Engineering LLC</t>
        </is>
      </c>
      <c r="C10" s="9" t="inlineStr">
        <is>
          <t>United Arab Emirates</t>
        </is>
      </c>
      <c r="D10" s="9" t="inlineStr">
        <is>
          <t>D/A 90</t>
        </is>
      </c>
      <c r="E10" s="9" t="inlineStr">
        <is>
          <t>INV-2605-0010</t>
        </is>
      </c>
      <c r="F10" s="10" t="n">
        <v>46144</v>
      </c>
      <c r="G10" s="12" t="inlineStr">
        <is>
          <t>26.7.31</t>
        </is>
      </c>
      <c r="H10" s="11" t="n">
        <v>10075</v>
      </c>
      <c r="I10" s="11" t="n">
        <v>6820</v>
      </c>
      <c r="J10" s="12" t="inlineStr">
        <is>
          <t>USD</t>
        </is>
      </c>
      <c r="K10" s="9" t="n"/>
    </row>
    <row r="11" ht="19.5" customHeight="1">
      <c r="A11" s="9" t="inlineStr">
        <is>
          <t>영업3팀 A</t>
        </is>
      </c>
      <c r="B11" s="9" t="inlineStr">
        <is>
          <t>Lumasta Engineering LLC</t>
        </is>
      </c>
      <c r="C11" s="9" t="inlineStr">
        <is>
          <t>United Arab Emirates</t>
        </is>
      </c>
      <c r="D11" s="9" t="inlineStr">
        <is>
          <t>D/A 90일</t>
        </is>
      </c>
      <c r="E11" s="9" t="inlineStr">
        <is>
          <t>INV-2607-0048</t>
        </is>
      </c>
      <c r="F11" s="12" t="inlineStr">
        <is>
          <t>26.7.10</t>
        </is>
      </c>
      <c r="G11" s="12" t="inlineStr">
        <is>
          <t>26.10.8</t>
        </is>
      </c>
      <c r="H11" s="11" t="n">
        <v>7235</v>
      </c>
      <c r="I11" s="11" t="n">
        <v>4820</v>
      </c>
      <c r="J11" s="12" t="inlineStr">
        <is>
          <t>USD</t>
        </is>
      </c>
      <c r="K11" s="9" t="inlineStr">
        <is>
          <t>분할 입금 합의 — 10/10, 11/10</t>
        </is>
      </c>
    </row>
    <row r="12" ht="19.5" customHeight="1">
      <c r="A12" s="9" t="inlineStr">
        <is>
          <t>영업3팀 A</t>
        </is>
      </c>
      <c r="B12" s="9" t="inlineStr">
        <is>
          <t>Lumasta Engineering LLC</t>
        </is>
      </c>
      <c r="C12" s="9" t="inlineStr">
        <is>
          <t>United Arab Emirates</t>
        </is>
      </c>
      <c r="D12" s="9" t="inlineStr">
        <is>
          <t>D/A 90일</t>
        </is>
      </c>
      <c r="E12" s="9" t="inlineStr">
        <is>
          <t>INV-2607-0049</t>
        </is>
      </c>
      <c r="F12" s="12" t="inlineStr">
        <is>
          <t>26.7.10</t>
        </is>
      </c>
      <c r="G12" s="12" t="inlineStr">
        <is>
          <t>26.10.8</t>
        </is>
      </c>
      <c r="H12" s="11" t="n">
        <v>4908</v>
      </c>
      <c r="I12" s="11" t="n">
        <v>3270</v>
      </c>
      <c r="J12" s="12" t="inlineStr">
        <is>
          <t>USD</t>
        </is>
      </c>
      <c r="K12" s="9" t="n"/>
    </row>
    <row r="13" ht="19.5" customHeight="1">
      <c r="A13" s="9" t="inlineStr">
        <is>
          <t>영업3팀 A</t>
        </is>
      </c>
      <c r="B13" s="9" t="inlineStr">
        <is>
          <t>Lumasta Engineering LLC</t>
        </is>
      </c>
      <c r="C13" s="9" t="inlineStr">
        <is>
          <t>United Arab Emirates</t>
        </is>
      </c>
      <c r="D13" s="9" t="inlineStr">
        <is>
          <t>D/A 90일</t>
        </is>
      </c>
      <c r="E13" s="9" t="inlineStr">
        <is>
          <t>INV-2608-0043</t>
        </is>
      </c>
      <c r="F13" s="12" t="inlineStr">
        <is>
          <t>26.8.10</t>
        </is>
      </c>
      <c r="G13" s="12" t="inlineStr">
        <is>
          <t>26.11.8</t>
        </is>
      </c>
      <c r="H13" s="11" t="n">
        <v>34446</v>
      </c>
      <c r="I13" s="11" t="n">
        <v>24300</v>
      </c>
      <c r="J13" s="12" t="inlineStr">
        <is>
          <t>USD</t>
        </is>
      </c>
      <c r="K13" s="9" t="n"/>
    </row>
    <row r="14" ht="19.5" customHeight="1">
      <c r="A14" s="9" t="inlineStr">
        <is>
          <t>영업3팀 A</t>
        </is>
      </c>
      <c r="B14" s="9" t="inlineStr">
        <is>
          <t>Lumasta Engineering LLC</t>
        </is>
      </c>
      <c r="C14" s="9" t="inlineStr">
        <is>
          <t>United Arab Emirates</t>
        </is>
      </c>
      <c r="D14" s="9" t="inlineStr">
        <is>
          <t>D/A 90</t>
        </is>
      </c>
      <c r="E14" s="9" t="inlineStr">
        <is>
          <t>INV-2609-0159</t>
        </is>
      </c>
      <c r="F14" s="12" t="inlineStr">
        <is>
          <t>26.9.30</t>
        </is>
      </c>
      <c r="G14" s="12" t="inlineStr">
        <is>
          <t>26.12.29</t>
        </is>
      </c>
      <c r="H14" s="11" t="n">
        <v>21012</v>
      </c>
      <c r="I14" s="11" t="n">
        <v>15490</v>
      </c>
      <c r="J14" s="12" t="inlineStr">
        <is>
          <t>USD</t>
        </is>
      </c>
      <c r="K14" s="9" t="n"/>
    </row>
    <row r="15" ht="19.5" customHeight="1">
      <c r="A15" s="9" t="inlineStr">
        <is>
          <t>영업3팀 A</t>
        </is>
      </c>
      <c r="B15" s="9" t="inlineStr">
        <is>
          <t>Marano Home &amp; Lab Stores FZE</t>
        </is>
      </c>
      <c r="C15" s="9" t="inlineStr">
        <is>
          <t>United Arab Emirates</t>
        </is>
      </c>
      <c r="D15" s="9" t="inlineStr">
        <is>
          <t>DA60days</t>
        </is>
      </c>
      <c r="E15" s="9" t="inlineStr">
        <is>
          <t>INV-2607-0158</t>
        </is>
      </c>
      <c r="F15" s="12" t="inlineStr">
        <is>
          <t>26.7.26</t>
        </is>
      </c>
      <c r="G15" s="12" t="inlineStr">
        <is>
          <t>26.9.24</t>
        </is>
      </c>
      <c r="H15" s="11" t="n">
        <v>17704</v>
      </c>
      <c r="I15" s="11" t="n">
        <v>12120</v>
      </c>
      <c r="J15" s="12" t="inlineStr">
        <is>
          <t>USD</t>
        </is>
      </c>
      <c r="K15" s="9" t="n"/>
    </row>
    <row r="16" ht="19.5" customHeight="1">
      <c r="A16" s="9" t="inlineStr">
        <is>
          <t>영업3팀 A</t>
        </is>
      </c>
      <c r="B16" s="9" t="inlineStr">
        <is>
          <t>Marano Home &amp; Lab Stores FZE</t>
        </is>
      </c>
      <c r="C16" s="9" t="inlineStr">
        <is>
          <t>United Arab Emirates</t>
        </is>
      </c>
      <c r="D16" s="9" t="inlineStr">
        <is>
          <t>DA60days</t>
        </is>
      </c>
      <c r="E16" s="9" t="inlineStr">
        <is>
          <t>INV-2608-0072</t>
        </is>
      </c>
      <c r="F16" s="12" t="inlineStr">
        <is>
          <t>26.8.16</t>
        </is>
      </c>
      <c r="G16" s="12" t="inlineStr">
        <is>
          <t>26.10.15</t>
        </is>
      </c>
      <c r="H16" s="11" t="n">
        <v>7722</v>
      </c>
      <c r="I16" s="11" t="n">
        <v>5460</v>
      </c>
      <c r="J16" s="12" t="inlineStr">
        <is>
          <t>USD</t>
        </is>
      </c>
      <c r="K16" s="9" t="inlineStr">
        <is>
          <t>분할 입금 합의 — 10/10, 11/10</t>
        </is>
      </c>
    </row>
    <row r="17" ht="19.5" customHeight="1">
      <c r="A17" s="9" t="inlineStr">
        <is>
          <t>영업3팀 A</t>
        </is>
      </c>
      <c r="B17" s="9" t="inlineStr">
        <is>
          <t>Marano Home &amp; Lab Stores FZE</t>
        </is>
      </c>
      <c r="C17" s="9" t="inlineStr">
        <is>
          <t>United Arab Emirates</t>
        </is>
      </c>
      <c r="D17" s="9" t="inlineStr">
        <is>
          <t>OA90days</t>
        </is>
      </c>
      <c r="E17" s="9" t="inlineStr">
        <is>
          <t>INV-2609-0003</t>
        </is>
      </c>
      <c r="F17" s="12" t="inlineStr">
        <is>
          <t>26.9.1</t>
        </is>
      </c>
      <c r="G17" s="12" t="inlineStr">
        <is>
          <t>26.11.30</t>
        </is>
      </c>
      <c r="H17" s="11" t="n">
        <v>16050</v>
      </c>
      <c r="I17" s="11" t="n">
        <v>11700</v>
      </c>
      <c r="J17" s="12" t="inlineStr">
        <is>
          <t>USD</t>
        </is>
      </c>
      <c r="K17" s="9" t="n"/>
    </row>
    <row r="18" ht="19.5" customHeight="1">
      <c r="A18" s="9" t="inlineStr">
        <is>
          <t>영업3팀 A</t>
        </is>
      </c>
      <c r="B18" s="9" t="inlineStr">
        <is>
          <t>Marano Home &amp; Lab Stores FZE</t>
        </is>
      </c>
      <c r="C18" s="9" t="inlineStr">
        <is>
          <t>United Arab Emirates</t>
        </is>
      </c>
      <c r="D18" s="9" t="inlineStr">
        <is>
          <t>D/A 60일</t>
        </is>
      </c>
      <c r="E18" s="9" t="inlineStr">
        <is>
          <t>INV-2609-0072</t>
        </is>
      </c>
      <c r="F18" s="12" t="inlineStr">
        <is>
          <t>26.9.13</t>
        </is>
      </c>
      <c r="G18" s="12" t="inlineStr">
        <is>
          <t>26.11.12</t>
        </is>
      </c>
      <c r="H18" s="11" t="n">
        <v>5388</v>
      </c>
      <c r="I18" s="11" t="n">
        <v>4020</v>
      </c>
      <c r="J18" s="12" t="inlineStr">
        <is>
          <t>USD</t>
        </is>
      </c>
      <c r="K18" s="9" t="n"/>
    </row>
    <row r="19" ht="19.5" customHeight="1">
      <c r="A19" s="9" t="inlineStr">
        <is>
          <t>영업3팀 A</t>
        </is>
      </c>
      <c r="B19" s="9" t="inlineStr">
        <is>
          <t>Marano Home &amp; Lab Stores FZE</t>
        </is>
      </c>
      <c r="C19" s="9" t="inlineStr">
        <is>
          <t>United Arab Emirates</t>
        </is>
      </c>
      <c r="D19" s="9" t="inlineStr">
        <is>
          <t>D/A 60일</t>
        </is>
      </c>
      <c r="E19" s="9" t="inlineStr">
        <is>
          <t>INV-2609-0099</t>
        </is>
      </c>
      <c r="F19" s="12" t="inlineStr">
        <is>
          <t>26.9.19</t>
        </is>
      </c>
      <c r="G19" s="12" t="inlineStr">
        <is>
          <t>26.11.18</t>
        </is>
      </c>
      <c r="H19" s="13" t="inlineStr">
        <is>
          <t>50,022</t>
        </is>
      </c>
      <c r="I19" s="11" t="n">
        <v>36040</v>
      </c>
      <c r="J19" s="12" t="inlineStr">
        <is>
          <t>USD</t>
        </is>
      </c>
      <c r="K19" s="9" t="n"/>
    </row>
    <row r="20" ht="19.5" customHeight="1">
      <c r="A20" s="9" t="inlineStr">
        <is>
          <t>영업3팀 A</t>
        </is>
      </c>
      <c r="B20" s="9" t="inlineStr">
        <is>
          <t>Marano Home &amp; Lab Stores FZE</t>
        </is>
      </c>
      <c r="C20" s="9" t="inlineStr">
        <is>
          <t>United Arab Emirates</t>
        </is>
      </c>
      <c r="D20" s="9" t="inlineStr">
        <is>
          <t>D/A 60일</t>
        </is>
      </c>
      <c r="E20" s="9" t="inlineStr">
        <is>
          <t>INV-2609-0132</t>
        </is>
      </c>
      <c r="F20" s="12" t="inlineStr">
        <is>
          <t>26.9.25</t>
        </is>
      </c>
      <c r="G20" s="12" t="inlineStr">
        <is>
          <t>26.11.24</t>
        </is>
      </c>
      <c r="H20" s="11" t="n">
        <v>17255</v>
      </c>
      <c r="I20" s="11" t="n">
        <v>12720</v>
      </c>
      <c r="J20" s="12" t="inlineStr">
        <is>
          <t>USD</t>
        </is>
      </c>
      <c r="K20" s="9" t="n"/>
    </row>
    <row r="21" ht="19.5" customHeight="1">
      <c r="A21" s="14" t="inlineStr">
        <is>
          <t>영업3팀 A 소계</t>
        </is>
      </c>
      <c r="B21" s="14" t="n"/>
      <c r="C21" s="14" t="n"/>
      <c r="D21" s="14" t="n"/>
      <c r="E21" s="14" t="n"/>
      <c r="F21" s="14" t="n"/>
      <c r="G21" s="14" t="n"/>
      <c r="H21" s="15">
        <f>SUM(H5:H20)</f>
        <v>487655</v>
      </c>
      <c r="I21" s="14" t="n"/>
      <c r="J21" s="14" t="n"/>
      <c r="K21" s="14" t="n"/>
    </row>
    <row r="22" ht="19.5" customHeight="1"/>
    <row r="23" ht="19.5" customHeight="1">
      <c r="A23" s="9" t="inlineStr">
        <is>
          <t>영업3팀 B</t>
        </is>
      </c>
      <c r="B23" s="9" t="inlineStr">
        <is>
          <t>Bexova Industries Est.</t>
        </is>
      </c>
      <c r="C23" s="9" t="inlineStr">
        <is>
          <t>Saudi Arabia</t>
        </is>
      </c>
      <c r="D23" s="9" t="inlineStr">
        <is>
          <t>DA90days</t>
        </is>
      </c>
      <c r="E23" s="9" t="inlineStr">
        <is>
          <t>INV-2607-0143</t>
        </is>
      </c>
      <c r="F23" s="10" t="n">
        <v>46226</v>
      </c>
      <c r="G23" s="10" t="n">
        <v>46316</v>
      </c>
      <c r="H23" s="11" t="n">
        <v>9321</v>
      </c>
      <c r="I23" s="11" t="n">
        <v>6320</v>
      </c>
      <c r="J23" s="12" t="inlineStr">
        <is>
          <t>USD</t>
        </is>
      </c>
      <c r="K23" s="9" t="n"/>
    </row>
    <row r="24" ht="19.5" customHeight="1">
      <c r="A24" s="9" t="inlineStr">
        <is>
          <t>영업3팀 B</t>
        </is>
      </c>
      <c r="B24" s="9" t="inlineStr">
        <is>
          <t>Bexova Industries Est.</t>
        </is>
      </c>
      <c r="C24" s="9" t="inlineStr">
        <is>
          <t>Saudi Arabia</t>
        </is>
      </c>
      <c r="D24" s="9" t="inlineStr">
        <is>
          <t>DA90days</t>
        </is>
      </c>
      <c r="E24" s="9" t="inlineStr">
        <is>
          <t>INV-2609-0098</t>
        </is>
      </c>
      <c r="F24" s="10" t="n">
        <v>46284</v>
      </c>
      <c r="G24" s="10" t="n">
        <v>46374</v>
      </c>
      <c r="H24" s="11" t="n">
        <v>11728</v>
      </c>
      <c r="I24" s="11" t="n">
        <v>8450</v>
      </c>
      <c r="J24" s="12" t="inlineStr">
        <is>
          <t>USD</t>
        </is>
      </c>
      <c r="K24" s="9" t="n"/>
    </row>
    <row r="25" ht="19.5" customHeight="1">
      <c r="A25" s="9" t="inlineStr">
        <is>
          <t>영업3팀 B</t>
        </is>
      </c>
      <c r="B25" s="9" t="inlineStr">
        <is>
          <t>Camost Ticaret Ltd. Şti.</t>
        </is>
      </c>
      <c r="C25" s="9" t="inlineStr">
        <is>
          <t>Türkiye</t>
        </is>
      </c>
      <c r="D25" s="9" t="inlineStr">
        <is>
          <t>사후송금 60일</t>
        </is>
      </c>
      <c r="E25" s="9" t="inlineStr">
        <is>
          <t>INV-2607-0095</t>
        </is>
      </c>
      <c r="F25" s="12" t="inlineStr">
        <is>
          <t>7월 17일</t>
        </is>
      </c>
      <c r="G25" s="10" t="n">
        <v>46280</v>
      </c>
      <c r="H25" s="11" t="n">
        <v>2741</v>
      </c>
      <c r="I25" s="11" t="n">
        <v>1840</v>
      </c>
      <c r="J25" s="12" t="inlineStr">
        <is>
          <t>USD</t>
        </is>
      </c>
      <c r="K25" s="9" t="n"/>
    </row>
    <row r="26" ht="19.5" customHeight="1">
      <c r="A26" s="9" t="inlineStr">
        <is>
          <t>영업3팀 B</t>
        </is>
      </c>
      <c r="B26" s="9" t="inlineStr">
        <is>
          <t>Camost Ticaret Ltd. Şti.</t>
        </is>
      </c>
      <c r="C26" s="9" t="inlineStr">
        <is>
          <t>Turkey</t>
        </is>
      </c>
      <c r="D26" s="9" t="inlineStr">
        <is>
          <t>O/A 60일</t>
        </is>
      </c>
      <c r="E26" s="9" t="inlineStr">
        <is>
          <t>INV-2608-0013</t>
        </is>
      </c>
      <c r="F26" s="10" t="n">
        <v>46236</v>
      </c>
      <c r="G26" s="10" t="n">
        <v>46296</v>
      </c>
      <c r="H26" s="11" t="n">
        <v>20144</v>
      </c>
      <c r="I26" s="11" t="n">
        <v>14020</v>
      </c>
      <c r="J26" s="12" t="inlineStr">
        <is>
          <t>USD</t>
        </is>
      </c>
      <c r="K26" s="9" t="n"/>
    </row>
    <row r="27" ht="19.5" customHeight="1">
      <c r="A27" s="9" t="inlineStr">
        <is>
          <t>영업3팀 B</t>
        </is>
      </c>
      <c r="B27" s="9" t="inlineStr">
        <is>
          <t>Camost Ticaret Ltd. Şti.</t>
        </is>
      </c>
      <c r="C27" s="9" t="inlineStr">
        <is>
          <t>Türkiye</t>
        </is>
      </c>
      <c r="D27" s="9" t="inlineStr">
        <is>
          <t>사후송금 60일</t>
        </is>
      </c>
      <c r="E27" s="9" t="inlineStr">
        <is>
          <t>INV-2608-0084</t>
        </is>
      </c>
      <c r="F27" s="10" t="n">
        <v>46251</v>
      </c>
      <c r="G27" s="10" t="n">
        <v>46311</v>
      </c>
      <c r="H27" s="11" t="n">
        <v>11090</v>
      </c>
      <c r="I27" s="11" t="n">
        <v>7850</v>
      </c>
      <c r="J27" s="12" t="inlineStr">
        <is>
          <t>USD</t>
        </is>
      </c>
      <c r="K27" s="9" t="n"/>
    </row>
    <row r="28" ht="19.5" customHeight="1">
      <c r="A28" s="9" t="inlineStr">
        <is>
          <t>영업3팀 B</t>
        </is>
      </c>
      <c r="B28" s="9" t="inlineStr">
        <is>
          <t>Camost Ticaret Ltd. Şti.</t>
        </is>
      </c>
      <c r="C28" s="9" t="inlineStr">
        <is>
          <t>Türkiye</t>
        </is>
      </c>
      <c r="D28" s="9" t="inlineStr">
        <is>
          <t>사후송금 60일</t>
        </is>
      </c>
      <c r="E28" s="9" t="inlineStr">
        <is>
          <t>INV-2608-0122</t>
        </is>
      </c>
      <c r="F28" s="10" t="n">
        <v>46258</v>
      </c>
      <c r="G28" s="10" t="n">
        <v>46318</v>
      </c>
      <c r="H28" s="11" t="n">
        <v>1840</v>
      </c>
      <c r="I28" s="11" t="n">
        <v>1330</v>
      </c>
      <c r="J28" s="12" t="inlineStr">
        <is>
          <t>USD</t>
        </is>
      </c>
      <c r="K28" s="9" t="n"/>
    </row>
    <row r="29" ht="19.5" customHeight="1">
      <c r="A29" s="9" t="inlineStr">
        <is>
          <t>영업3팀 B</t>
        </is>
      </c>
      <c r="B29" s="9" t="inlineStr">
        <is>
          <t>Davant Endüstriyel Ölçüm Ltd. Şti.</t>
        </is>
      </c>
      <c r="C29" s="9" t="inlineStr">
        <is>
          <t>Türkiye</t>
        </is>
      </c>
      <c r="D29" s="9" t="inlineStr">
        <is>
          <t>사후송금 30일</t>
        </is>
      </c>
      <c r="E29" s="9" t="inlineStr">
        <is>
          <t>INV-2608-0137</t>
        </is>
      </c>
      <c r="F29" s="10" t="n">
        <v>46262</v>
      </c>
      <c r="G29" s="10" t="n">
        <v>46292</v>
      </c>
      <c r="H29" s="11" t="n">
        <v>15463</v>
      </c>
      <c r="I29" s="11" t="n">
        <v>11210</v>
      </c>
      <c r="J29" s="12" t="inlineStr">
        <is>
          <t>USD</t>
        </is>
      </c>
      <c r="K29" s="9" t="n"/>
    </row>
    <row r="30" ht="19.5" customHeight="1">
      <c r="A30" s="9" t="inlineStr">
        <is>
          <t>영업3팀 B</t>
        </is>
      </c>
      <c r="B30" s="9" t="inlineStr">
        <is>
          <t>Davant Endüstriyel Ölçüm Ltd. Şti.</t>
        </is>
      </c>
      <c r="C30" s="9" t="inlineStr">
        <is>
          <t>Türkiye</t>
        </is>
      </c>
      <c r="D30" s="9" t="inlineStr">
        <is>
          <t>OA30days</t>
        </is>
      </c>
      <c r="E30" s="9" t="inlineStr">
        <is>
          <t>INV-2609-0103</t>
        </is>
      </c>
      <c r="F30" s="12" t="inlineStr">
        <is>
          <t>9월 20일</t>
        </is>
      </c>
      <c r="G30" s="10" t="n">
        <v>46315</v>
      </c>
      <c r="H30" s="11" t="n">
        <v>29106</v>
      </c>
      <c r="I30" s="11" t="n">
        <v>20970</v>
      </c>
      <c r="J30" s="12" t="inlineStr">
        <is>
          <t>US$</t>
        </is>
      </c>
      <c r="K30" s="9" t="n"/>
    </row>
    <row r="31" ht="19.5" customHeight="1">
      <c r="A31" s="9" t="inlineStr">
        <is>
          <t>영업3팀 B</t>
        </is>
      </c>
      <c r="B31" s="9" t="inlineStr">
        <is>
          <t>Davant Endüstriyel Ölçüm Ltd. Şti.</t>
        </is>
      </c>
      <c r="C31" s="9" t="inlineStr">
        <is>
          <t>Turkey</t>
        </is>
      </c>
      <c r="D31" s="9" t="inlineStr">
        <is>
          <t>O/A 30</t>
        </is>
      </c>
      <c r="E31" s="9" t="inlineStr">
        <is>
          <t>INV-2609-0110</t>
        </is>
      </c>
      <c r="F31" s="10" t="n">
        <v>46286</v>
      </c>
      <c r="G31" s="10" t="n">
        <v>46316</v>
      </c>
      <c r="H31" s="11" t="n">
        <v>2928</v>
      </c>
      <c r="I31" s="11" t="n">
        <v>2130</v>
      </c>
      <c r="J31" s="12" t="inlineStr">
        <is>
          <t>USD</t>
        </is>
      </c>
      <c r="K31" s="9" t="n"/>
    </row>
    <row r="32" ht="19.5" customHeight="1">
      <c r="A32" s="9" t="inlineStr">
        <is>
          <t>영업3팀 B</t>
        </is>
      </c>
      <c r="B32" s="9" t="inlineStr">
        <is>
          <t>Davant Endüstriyel Ölçüm Ltd. Şti.</t>
        </is>
      </c>
      <c r="C32" s="9" t="inlineStr">
        <is>
          <t>Turkey</t>
        </is>
      </c>
      <c r="D32" s="9" t="inlineStr">
        <is>
          <t>O/A 30</t>
        </is>
      </c>
      <c r="E32" s="9" t="inlineStr">
        <is>
          <t>INV-2609-0155</t>
        </is>
      </c>
      <c r="F32" s="10" t="n">
        <v>46294</v>
      </c>
      <c r="G32" s="10" t="n">
        <v>46324</v>
      </c>
      <c r="H32" s="11" t="n">
        <v>11191</v>
      </c>
      <c r="I32" s="11" t="n">
        <v>8250</v>
      </c>
      <c r="J32" s="12" t="inlineStr">
        <is>
          <t>USD</t>
        </is>
      </c>
      <c r="K32" s="9" t="n"/>
    </row>
    <row r="33" ht="19.5" customHeight="1">
      <c r="A33" s="9" t="inlineStr">
        <is>
          <t>영업3팀 B</t>
        </is>
      </c>
      <c r="B33" s="9" t="inlineStr">
        <is>
          <t>Morost Automation Ltd</t>
        </is>
      </c>
      <c r="C33" s="9" t="inlineStr">
        <is>
          <t>Nigeria</t>
        </is>
      </c>
      <c r="D33" s="9" t="inlineStr">
        <is>
          <t>L/C at sight</t>
        </is>
      </c>
      <c r="E33" s="9" t="inlineStr">
        <is>
          <t>INV-2609-0153</t>
        </is>
      </c>
      <c r="F33" s="10" t="n">
        <v>46293</v>
      </c>
      <c r="G33" s="10" t="n">
        <v>46300</v>
      </c>
      <c r="H33" s="11" t="n">
        <v>1031</v>
      </c>
      <c r="I33" s="11" t="n">
        <v>760</v>
      </c>
      <c r="J33" s="12" t="inlineStr">
        <is>
          <t>USD</t>
        </is>
      </c>
      <c r="K33" s="9" t="n"/>
    </row>
    <row r="34" ht="19.5" customHeight="1">
      <c r="A34" s="9" t="inlineStr">
        <is>
          <t>영업3팀 B</t>
        </is>
      </c>
      <c r="B34" s="9" t="inlineStr">
        <is>
          <t>Orunde State Water Board</t>
        </is>
      </c>
      <c r="C34" s="9" t="inlineStr">
        <is>
          <t>Nigeria</t>
        </is>
      </c>
      <c r="D34" s="9" t="inlineStr">
        <is>
          <t>OA 30 DAYS</t>
        </is>
      </c>
      <c r="E34" s="9" t="inlineStr">
        <is>
          <t>INV-2609-0058</t>
        </is>
      </c>
      <c r="F34" s="10" t="n">
        <v>46276</v>
      </c>
      <c r="G34" s="10" t="n">
        <v>46306</v>
      </c>
      <c r="H34" s="11" t="n">
        <v>118027</v>
      </c>
      <c r="I34" s="11" t="n">
        <v>88060</v>
      </c>
      <c r="J34" s="12" t="inlineStr">
        <is>
          <t>USD</t>
        </is>
      </c>
      <c r="K34" s="9" t="n"/>
    </row>
    <row r="35" ht="19.5" customHeight="1">
      <c r="A35" s="9" t="inlineStr">
        <is>
          <t>영업3팀 B</t>
        </is>
      </c>
      <c r="B35" s="9" t="inlineStr">
        <is>
          <t>Rovella Water Services FZE</t>
        </is>
      </c>
      <c r="C35" s="9" t="inlineStr">
        <is>
          <t>United Arab Emirates</t>
        </is>
      </c>
      <c r="D35" s="9" t="inlineStr">
        <is>
          <t>사후송금 60일</t>
        </is>
      </c>
      <c r="E35" s="9" t="inlineStr">
        <is>
          <t>INV-2608-0008</t>
        </is>
      </c>
      <c r="F35" s="10" t="n">
        <v>46235</v>
      </c>
      <c r="G35" s="10" t="n">
        <v>46295</v>
      </c>
      <c r="H35" s="11" t="n">
        <v>75361</v>
      </c>
      <c r="I35" s="11" t="n">
        <v>52450</v>
      </c>
      <c r="J35" s="12" t="inlineStr">
        <is>
          <t>USD</t>
        </is>
      </c>
      <c r="K35" s="9" t="n"/>
    </row>
    <row r="36" ht="19.5" customHeight="1">
      <c r="A36" s="9" t="inlineStr">
        <is>
          <t>영업3팀 B</t>
        </is>
      </c>
      <c r="B36" s="9" t="inlineStr">
        <is>
          <t>Rovella Water Services FZE</t>
        </is>
      </c>
      <c r="C36" s="9" t="inlineStr">
        <is>
          <t>United Arab Emirates</t>
        </is>
      </c>
      <c r="D36" s="9" t="inlineStr">
        <is>
          <t>사후송금 60일</t>
        </is>
      </c>
      <c r="E36" s="9" t="inlineStr">
        <is>
          <t>INV-2608-0057</t>
        </is>
      </c>
      <c r="F36" s="10" t="n">
        <v>46246</v>
      </c>
      <c r="G36" s="10" t="n">
        <v>46306</v>
      </c>
      <c r="H36" s="13" t="inlineStr">
        <is>
          <t>38,212</t>
        </is>
      </c>
      <c r="I36" s="11" t="n">
        <v>26980</v>
      </c>
      <c r="J36" s="12" t="inlineStr">
        <is>
          <t>USD</t>
        </is>
      </c>
      <c r="K36" s="9" t="n"/>
    </row>
    <row r="37" ht="19.5" customHeight="1">
      <c r="A37" s="9" t="inlineStr">
        <is>
          <t>영업3팀 B</t>
        </is>
      </c>
      <c r="B37" s="9" t="inlineStr">
        <is>
          <t>Rovella Water Services FZE</t>
        </is>
      </c>
      <c r="C37" s="9" t="inlineStr">
        <is>
          <t>United Arab Emirates</t>
        </is>
      </c>
      <c r="D37" s="9" t="inlineStr">
        <is>
          <t>OA 60 DAYS</t>
        </is>
      </c>
      <c r="E37" s="9" t="inlineStr">
        <is>
          <t>INV-2609-0040</t>
        </is>
      </c>
      <c r="F37" s="10" t="n">
        <v>46271</v>
      </c>
      <c r="G37" s="10" t="n">
        <v>46331</v>
      </c>
      <c r="H37" s="11" t="n">
        <v>25557</v>
      </c>
      <c r="I37" s="11" t="n">
        <v>18980</v>
      </c>
      <c r="J37" s="12" t="inlineStr">
        <is>
          <t>USD</t>
        </is>
      </c>
      <c r="K37" s="9" t="n"/>
    </row>
    <row r="38" ht="19.5" customHeight="1">
      <c r="A38" s="9" t="inlineStr">
        <is>
          <t>영업3팀 B</t>
        </is>
      </c>
      <c r="B38" s="9" t="inlineStr">
        <is>
          <t>Rovella Water Services FZE</t>
        </is>
      </c>
      <c r="C38" s="9" t="inlineStr">
        <is>
          <t>United Arab Emirates</t>
        </is>
      </c>
      <c r="D38" s="9" t="inlineStr">
        <is>
          <t>사후송금 60일</t>
        </is>
      </c>
      <c r="E38" s="9" t="inlineStr">
        <is>
          <t>INV-2609-0126</t>
        </is>
      </c>
      <c r="F38" s="10" t="n">
        <v>46288</v>
      </c>
      <c r="G38" s="10" t="n">
        <v>46348</v>
      </c>
      <c r="H38" s="11" t="n">
        <v>7505</v>
      </c>
      <c r="I38" s="11" t="n">
        <v>5490</v>
      </c>
      <c r="J38" s="12" t="inlineStr">
        <is>
          <t>USD</t>
        </is>
      </c>
      <c r="K38" s="9" t="inlineStr">
        <is>
          <t>10월말까지 일부 입금 약속</t>
        </is>
      </c>
    </row>
    <row r="39" ht="19.5" customHeight="1">
      <c r="A39" s="9" t="inlineStr">
        <is>
          <t>영업3팀 B</t>
        </is>
      </c>
      <c r="B39" s="9" t="inlineStr">
        <is>
          <t>Zarix Ticaret Ltd. Şti.</t>
        </is>
      </c>
      <c r="C39" s="9" t="inlineStr">
        <is>
          <t>Türkiye</t>
        </is>
      </c>
      <c r="D39" s="9" t="inlineStr">
        <is>
          <t>사후송금 30일</t>
        </is>
      </c>
      <c r="E39" s="9" t="inlineStr">
        <is>
          <t>INV-2609-0067</t>
        </is>
      </c>
      <c r="F39" s="10" t="n">
        <v>46277</v>
      </c>
      <c r="G39" s="10" t="n">
        <v>46307</v>
      </c>
      <c r="H39" s="11" t="n">
        <v>19957</v>
      </c>
      <c r="I39" s="11" t="n">
        <v>14890</v>
      </c>
      <c r="J39" s="12" t="inlineStr">
        <is>
          <t>USD</t>
        </is>
      </c>
      <c r="K39" s="9" t="n"/>
    </row>
    <row r="40" ht="19.5" customHeight="1">
      <c r="A40" s="14" t="inlineStr">
        <is>
          <t>영업3팀 B 소계</t>
        </is>
      </c>
      <c r="B40" s="14" t="n"/>
      <c r="C40" s="14" t="n"/>
      <c r="D40" s="14" t="n"/>
      <c r="E40" s="14" t="n"/>
      <c r="F40" s="14" t="n"/>
      <c r="G40" s="14" t="n"/>
      <c r="H40" s="15">
        <f>SUM(H23:H39)</f>
        <v>362990</v>
      </c>
      <c r="I40" s="14" t="n"/>
      <c r="J40" s="14" t="n"/>
      <c r="K40" s="14" t="n"/>
    </row>
    <row r="41" ht="19.5" customHeight="1"/>
    <row r="42">
      <c r="A42" s="16" t="inlineStr">
        <is>
          <t>합계</t>
        </is>
      </c>
      <c r="B42" s="16" t="n"/>
      <c r="C42" s="16" t="n"/>
      <c r="D42" s="16" t="n"/>
      <c r="E42" s="16" t="n"/>
      <c r="F42" s="16" t="n"/>
      <c r="G42" s="16" t="n"/>
      <c r="H42" s="17">
        <f>H21+H40</f>
        <v>850645</v>
      </c>
      <c r="I42" s="16" t="n"/>
      <c r="J42" s="16" t="n"/>
      <c r="K42" s="16" t="n"/>
    </row>
  </sheetData>
  <mergeCells count="10">
    <mergeCell ref="K3:K4"/>
    <mergeCell ref="C3:C4"/>
    <mergeCell ref="B3:B4"/>
    <mergeCell ref="A3:A4"/>
    <mergeCell ref="E3:E4"/>
    <mergeCell ref="G3:G4"/>
    <mergeCell ref="F3:F4"/>
    <mergeCell ref="D3:D4"/>
    <mergeCell ref="H3:J3"/>
    <mergeCell ref="A1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영업지원팀</dc:creator>
  <dc:title xmlns:dc="http://purl.org/dc/elements/1.1/">2026년 9월말 미수금 현황</dc:title>
  <dcterms:created xmlns:dcterms="http://purl.org/dc/terms/" xmlns:xsi="http://www.w3.org/2001/XMLSchema-instance" xsi:type="dcterms:W3CDTF">2026-10-01T09:12:00Z</dcterms:created>
  <dcterms:modified xmlns:dcterms="http://purl.org/dc/terms/" xmlns:xsi="http://www.w3.org/2001/XMLSchema-instance" xsi:type="dcterms:W3CDTF">2026-10-01T09:12:00Z</dcterms:modified>
  <cp:lastModifiedBy>영업지원팀</cp:lastModifiedBy>
</cp:coreProperties>
</file>